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2026_winter\2026_winter\data\"/>
    </mc:Choice>
  </mc:AlternateContent>
  <xr:revisionPtr revIDLastSave="0" documentId="13_ncr:1_{B49A7CF0-3E0F-4691-8860-FD507D685C5A}" xr6:coauthVersionLast="47" xr6:coauthVersionMax="47" xr10:uidLastSave="{00000000-0000-0000-0000-000000000000}"/>
  <bookViews>
    <workbookView xWindow="1035" yWindow="1005" windowWidth="28110" windowHeight="17145" xr2:uid="{77A08FD0-27DB-41F6-BFF4-E8C5E46649A4}"/>
  </bookViews>
  <sheets>
    <sheet name="formated" sheetId="6" r:id="rId1"/>
    <sheet name="cross_pedigree" sheetId="8" r:id="rId2"/>
    <sheet name="CU_ARS_2025_WOF_F2" sheetId="7" r:id="rId3"/>
    <sheet name="update sample" sheetId="4" r:id="rId4"/>
    <sheet name="orig sampl with duplicate" sheetId="5" r:id="rId5"/>
    <sheet name="updated genotyping plate sampl 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" i="6" l="1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3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2" i="6"/>
  <c r="O3" i="6"/>
  <c r="P3" i="6"/>
  <c r="Q3" i="6"/>
  <c r="R3" i="6"/>
  <c r="S3" i="6"/>
  <c r="T3" i="6"/>
  <c r="U3" i="6"/>
  <c r="V3" i="6"/>
  <c r="W3" i="6"/>
  <c r="X3" i="6"/>
  <c r="O4" i="6"/>
  <c r="P4" i="6"/>
  <c r="Q4" i="6"/>
  <c r="R4" i="6"/>
  <c r="S4" i="6"/>
  <c r="T4" i="6"/>
  <c r="U4" i="6"/>
  <c r="V4" i="6"/>
  <c r="W4" i="6"/>
  <c r="X4" i="6"/>
  <c r="O5" i="6"/>
  <c r="P5" i="6"/>
  <c r="Q5" i="6"/>
  <c r="R5" i="6"/>
  <c r="S5" i="6"/>
  <c r="T5" i="6"/>
  <c r="U5" i="6"/>
  <c r="V5" i="6"/>
  <c r="W5" i="6"/>
  <c r="X5" i="6"/>
  <c r="O6" i="6"/>
  <c r="P6" i="6"/>
  <c r="Q6" i="6"/>
  <c r="R6" i="6"/>
  <c r="S6" i="6"/>
  <c r="T6" i="6"/>
  <c r="U6" i="6"/>
  <c r="V6" i="6"/>
  <c r="W6" i="6"/>
  <c r="X6" i="6"/>
  <c r="O7" i="6"/>
  <c r="P7" i="6"/>
  <c r="Q7" i="6"/>
  <c r="R7" i="6"/>
  <c r="S7" i="6"/>
  <c r="T7" i="6"/>
  <c r="U7" i="6"/>
  <c r="V7" i="6"/>
  <c r="W7" i="6"/>
  <c r="X7" i="6"/>
  <c r="O8" i="6"/>
  <c r="P8" i="6"/>
  <c r="Q8" i="6"/>
  <c r="R8" i="6"/>
  <c r="S8" i="6"/>
  <c r="T8" i="6"/>
  <c r="U8" i="6"/>
  <c r="V8" i="6"/>
  <c r="W8" i="6"/>
  <c r="X8" i="6"/>
  <c r="O9" i="6"/>
  <c r="P9" i="6"/>
  <c r="Q9" i="6"/>
  <c r="R9" i="6"/>
  <c r="S9" i="6"/>
  <c r="T9" i="6"/>
  <c r="U9" i="6"/>
  <c r="V9" i="6"/>
  <c r="W9" i="6"/>
  <c r="X9" i="6"/>
  <c r="O10" i="6"/>
  <c r="P10" i="6"/>
  <c r="Q10" i="6"/>
  <c r="R10" i="6"/>
  <c r="S10" i="6"/>
  <c r="T10" i="6"/>
  <c r="U10" i="6"/>
  <c r="V10" i="6"/>
  <c r="W10" i="6"/>
  <c r="X10" i="6"/>
  <c r="O11" i="6"/>
  <c r="P11" i="6"/>
  <c r="Q11" i="6"/>
  <c r="R11" i="6"/>
  <c r="S11" i="6"/>
  <c r="T11" i="6"/>
  <c r="U11" i="6"/>
  <c r="V11" i="6"/>
  <c r="W11" i="6"/>
  <c r="X11" i="6"/>
  <c r="O12" i="6"/>
  <c r="P12" i="6"/>
  <c r="Q12" i="6"/>
  <c r="R12" i="6"/>
  <c r="S12" i="6"/>
  <c r="T12" i="6"/>
  <c r="U12" i="6"/>
  <c r="V12" i="6"/>
  <c r="W12" i="6"/>
  <c r="X12" i="6"/>
  <c r="O13" i="6"/>
  <c r="P13" i="6"/>
  <c r="Q13" i="6"/>
  <c r="R13" i="6"/>
  <c r="S13" i="6"/>
  <c r="T13" i="6"/>
  <c r="U13" i="6"/>
  <c r="V13" i="6"/>
  <c r="W13" i="6"/>
  <c r="X13" i="6"/>
  <c r="O14" i="6"/>
  <c r="P14" i="6"/>
  <c r="Q14" i="6"/>
  <c r="R14" i="6"/>
  <c r="S14" i="6"/>
  <c r="T14" i="6"/>
  <c r="U14" i="6"/>
  <c r="V14" i="6"/>
  <c r="W14" i="6"/>
  <c r="X14" i="6"/>
  <c r="O15" i="6"/>
  <c r="P15" i="6"/>
  <c r="Q15" i="6"/>
  <c r="R15" i="6"/>
  <c r="S15" i="6"/>
  <c r="T15" i="6"/>
  <c r="U15" i="6"/>
  <c r="V15" i="6"/>
  <c r="W15" i="6"/>
  <c r="X15" i="6"/>
  <c r="O16" i="6"/>
  <c r="P16" i="6"/>
  <c r="Q16" i="6"/>
  <c r="R16" i="6"/>
  <c r="S16" i="6"/>
  <c r="T16" i="6"/>
  <c r="U16" i="6"/>
  <c r="V16" i="6"/>
  <c r="W16" i="6"/>
  <c r="X16" i="6"/>
  <c r="O17" i="6"/>
  <c r="P17" i="6"/>
  <c r="Q17" i="6"/>
  <c r="R17" i="6"/>
  <c r="S17" i="6"/>
  <c r="T17" i="6"/>
  <c r="U17" i="6"/>
  <c r="V17" i="6"/>
  <c r="W17" i="6"/>
  <c r="X17" i="6"/>
  <c r="O18" i="6"/>
  <c r="P18" i="6"/>
  <c r="Q18" i="6"/>
  <c r="R18" i="6"/>
  <c r="S18" i="6"/>
  <c r="T18" i="6"/>
  <c r="U18" i="6"/>
  <c r="V18" i="6"/>
  <c r="W18" i="6"/>
  <c r="X18" i="6"/>
  <c r="O19" i="6"/>
  <c r="P19" i="6"/>
  <c r="Q19" i="6"/>
  <c r="R19" i="6"/>
  <c r="S19" i="6"/>
  <c r="T19" i="6"/>
  <c r="U19" i="6"/>
  <c r="V19" i="6"/>
  <c r="W19" i="6"/>
  <c r="X19" i="6"/>
  <c r="O20" i="6"/>
  <c r="P20" i="6"/>
  <c r="Q20" i="6"/>
  <c r="R20" i="6"/>
  <c r="S20" i="6"/>
  <c r="T20" i="6"/>
  <c r="U20" i="6"/>
  <c r="V20" i="6"/>
  <c r="W20" i="6"/>
  <c r="X20" i="6"/>
  <c r="O21" i="6"/>
  <c r="P21" i="6"/>
  <c r="Q21" i="6"/>
  <c r="R21" i="6"/>
  <c r="S21" i="6"/>
  <c r="T21" i="6"/>
  <c r="U21" i="6"/>
  <c r="V21" i="6"/>
  <c r="W21" i="6"/>
  <c r="X21" i="6"/>
  <c r="O22" i="6"/>
  <c r="P22" i="6"/>
  <c r="Q22" i="6"/>
  <c r="R22" i="6"/>
  <c r="S22" i="6"/>
  <c r="T22" i="6"/>
  <c r="U22" i="6"/>
  <c r="V22" i="6"/>
  <c r="W22" i="6"/>
  <c r="X22" i="6"/>
  <c r="O23" i="6"/>
  <c r="P23" i="6"/>
  <c r="Q23" i="6"/>
  <c r="R23" i="6"/>
  <c r="S23" i="6"/>
  <c r="T23" i="6"/>
  <c r="U23" i="6"/>
  <c r="V23" i="6"/>
  <c r="W23" i="6"/>
  <c r="X23" i="6"/>
  <c r="O24" i="6"/>
  <c r="P24" i="6"/>
  <c r="Q24" i="6"/>
  <c r="R24" i="6"/>
  <c r="S24" i="6"/>
  <c r="T24" i="6"/>
  <c r="U24" i="6"/>
  <c r="V24" i="6"/>
  <c r="W24" i="6"/>
  <c r="X24" i="6"/>
  <c r="O25" i="6"/>
  <c r="P25" i="6"/>
  <c r="Q25" i="6"/>
  <c r="R25" i="6"/>
  <c r="S25" i="6"/>
  <c r="T25" i="6"/>
  <c r="U25" i="6"/>
  <c r="V25" i="6"/>
  <c r="W25" i="6"/>
  <c r="X25" i="6"/>
  <c r="O26" i="6"/>
  <c r="P26" i="6"/>
  <c r="Q26" i="6"/>
  <c r="R26" i="6"/>
  <c r="S26" i="6"/>
  <c r="T26" i="6"/>
  <c r="U26" i="6"/>
  <c r="V26" i="6"/>
  <c r="W26" i="6"/>
  <c r="X26" i="6"/>
  <c r="O27" i="6"/>
  <c r="P27" i="6"/>
  <c r="Q27" i="6"/>
  <c r="R27" i="6"/>
  <c r="S27" i="6"/>
  <c r="T27" i="6"/>
  <c r="U27" i="6"/>
  <c r="V27" i="6"/>
  <c r="W27" i="6"/>
  <c r="X27" i="6"/>
  <c r="O28" i="6"/>
  <c r="P28" i="6"/>
  <c r="Q28" i="6"/>
  <c r="R28" i="6"/>
  <c r="S28" i="6"/>
  <c r="T28" i="6"/>
  <c r="U28" i="6"/>
  <c r="V28" i="6"/>
  <c r="W28" i="6"/>
  <c r="X28" i="6"/>
  <c r="O29" i="6"/>
  <c r="P29" i="6"/>
  <c r="Q29" i="6"/>
  <c r="R29" i="6"/>
  <c r="S29" i="6"/>
  <c r="T29" i="6"/>
  <c r="U29" i="6"/>
  <c r="V29" i="6"/>
  <c r="W29" i="6"/>
  <c r="X29" i="6"/>
  <c r="O30" i="6"/>
  <c r="P30" i="6"/>
  <c r="Q30" i="6"/>
  <c r="R30" i="6"/>
  <c r="S30" i="6"/>
  <c r="T30" i="6"/>
  <c r="U30" i="6"/>
  <c r="V30" i="6"/>
  <c r="W30" i="6"/>
  <c r="X30" i="6"/>
  <c r="O31" i="6"/>
  <c r="P31" i="6"/>
  <c r="Q31" i="6"/>
  <c r="R31" i="6"/>
  <c r="S31" i="6"/>
  <c r="T31" i="6"/>
  <c r="U31" i="6"/>
  <c r="V31" i="6"/>
  <c r="W31" i="6"/>
  <c r="X31" i="6"/>
  <c r="O32" i="6"/>
  <c r="P32" i="6"/>
  <c r="Q32" i="6"/>
  <c r="R32" i="6"/>
  <c r="S32" i="6"/>
  <c r="T32" i="6"/>
  <c r="U32" i="6"/>
  <c r="V32" i="6"/>
  <c r="W32" i="6"/>
  <c r="X32" i="6"/>
  <c r="O33" i="6"/>
  <c r="P33" i="6"/>
  <c r="Q33" i="6"/>
  <c r="R33" i="6"/>
  <c r="S33" i="6"/>
  <c r="T33" i="6"/>
  <c r="U33" i="6"/>
  <c r="V33" i="6"/>
  <c r="W33" i="6"/>
  <c r="X33" i="6"/>
  <c r="O34" i="6"/>
  <c r="P34" i="6"/>
  <c r="Q34" i="6"/>
  <c r="R34" i="6"/>
  <c r="S34" i="6"/>
  <c r="T34" i="6"/>
  <c r="U34" i="6"/>
  <c r="V34" i="6"/>
  <c r="W34" i="6"/>
  <c r="X34" i="6"/>
  <c r="O35" i="6"/>
  <c r="P35" i="6"/>
  <c r="Q35" i="6"/>
  <c r="R35" i="6"/>
  <c r="S35" i="6"/>
  <c r="T35" i="6"/>
  <c r="U35" i="6"/>
  <c r="V35" i="6"/>
  <c r="W35" i="6"/>
  <c r="X35" i="6"/>
  <c r="O36" i="6"/>
  <c r="P36" i="6"/>
  <c r="Q36" i="6"/>
  <c r="R36" i="6"/>
  <c r="S36" i="6"/>
  <c r="T36" i="6"/>
  <c r="U36" i="6"/>
  <c r="V36" i="6"/>
  <c r="W36" i="6"/>
  <c r="X36" i="6"/>
  <c r="O37" i="6"/>
  <c r="P37" i="6"/>
  <c r="Q37" i="6"/>
  <c r="R37" i="6"/>
  <c r="S37" i="6"/>
  <c r="T37" i="6"/>
  <c r="U37" i="6"/>
  <c r="V37" i="6"/>
  <c r="W37" i="6"/>
  <c r="X37" i="6"/>
  <c r="O38" i="6"/>
  <c r="P38" i="6"/>
  <c r="Q38" i="6"/>
  <c r="R38" i="6"/>
  <c r="S38" i="6"/>
  <c r="T38" i="6"/>
  <c r="U38" i="6"/>
  <c r="V38" i="6"/>
  <c r="W38" i="6"/>
  <c r="X38" i="6"/>
  <c r="O39" i="6"/>
  <c r="P39" i="6"/>
  <c r="Q39" i="6"/>
  <c r="R39" i="6"/>
  <c r="S39" i="6"/>
  <c r="T39" i="6"/>
  <c r="U39" i="6"/>
  <c r="V39" i="6"/>
  <c r="W39" i="6"/>
  <c r="X39" i="6"/>
  <c r="O40" i="6"/>
  <c r="P40" i="6"/>
  <c r="Q40" i="6"/>
  <c r="R40" i="6"/>
  <c r="S40" i="6"/>
  <c r="T40" i="6"/>
  <c r="U40" i="6"/>
  <c r="V40" i="6"/>
  <c r="W40" i="6"/>
  <c r="X40" i="6"/>
  <c r="O41" i="6"/>
  <c r="P41" i="6"/>
  <c r="Q41" i="6"/>
  <c r="R41" i="6"/>
  <c r="S41" i="6"/>
  <c r="T41" i="6"/>
  <c r="U41" i="6"/>
  <c r="V41" i="6"/>
  <c r="W41" i="6"/>
  <c r="X41" i="6"/>
  <c r="O42" i="6"/>
  <c r="P42" i="6"/>
  <c r="Q42" i="6"/>
  <c r="R42" i="6"/>
  <c r="S42" i="6"/>
  <c r="T42" i="6"/>
  <c r="U42" i="6"/>
  <c r="V42" i="6"/>
  <c r="W42" i="6"/>
  <c r="X42" i="6"/>
  <c r="O43" i="6"/>
  <c r="P43" i="6"/>
  <c r="Q43" i="6"/>
  <c r="R43" i="6"/>
  <c r="S43" i="6"/>
  <c r="T43" i="6"/>
  <c r="U43" i="6"/>
  <c r="V43" i="6"/>
  <c r="W43" i="6"/>
  <c r="X43" i="6"/>
  <c r="O44" i="6"/>
  <c r="P44" i="6"/>
  <c r="Q44" i="6"/>
  <c r="R44" i="6"/>
  <c r="S44" i="6"/>
  <c r="T44" i="6"/>
  <c r="U44" i="6"/>
  <c r="V44" i="6"/>
  <c r="W44" i="6"/>
  <c r="X44" i="6"/>
  <c r="O45" i="6"/>
  <c r="P45" i="6"/>
  <c r="Q45" i="6"/>
  <c r="R45" i="6"/>
  <c r="S45" i="6"/>
  <c r="T45" i="6"/>
  <c r="U45" i="6"/>
  <c r="V45" i="6"/>
  <c r="W45" i="6"/>
  <c r="X45" i="6"/>
  <c r="O46" i="6"/>
  <c r="P46" i="6"/>
  <c r="Q46" i="6"/>
  <c r="R46" i="6"/>
  <c r="S46" i="6"/>
  <c r="T46" i="6"/>
  <c r="U46" i="6"/>
  <c r="V46" i="6"/>
  <c r="W46" i="6"/>
  <c r="X46" i="6"/>
  <c r="O47" i="6"/>
  <c r="P47" i="6"/>
  <c r="Q47" i="6"/>
  <c r="R47" i="6"/>
  <c r="S47" i="6"/>
  <c r="T47" i="6"/>
  <c r="U47" i="6"/>
  <c r="V47" i="6"/>
  <c r="W47" i="6"/>
  <c r="X47" i="6"/>
  <c r="O48" i="6"/>
  <c r="P48" i="6"/>
  <c r="Q48" i="6"/>
  <c r="R48" i="6"/>
  <c r="S48" i="6"/>
  <c r="T48" i="6"/>
  <c r="U48" i="6"/>
  <c r="V48" i="6"/>
  <c r="W48" i="6"/>
  <c r="X48" i="6"/>
  <c r="O49" i="6"/>
  <c r="P49" i="6"/>
  <c r="Q49" i="6"/>
  <c r="R49" i="6"/>
  <c r="S49" i="6"/>
  <c r="T49" i="6"/>
  <c r="U49" i="6"/>
  <c r="V49" i="6"/>
  <c r="W49" i="6"/>
  <c r="X49" i="6"/>
  <c r="O50" i="6"/>
  <c r="P50" i="6"/>
  <c r="Q50" i="6"/>
  <c r="R50" i="6"/>
  <c r="S50" i="6"/>
  <c r="T50" i="6"/>
  <c r="U50" i="6"/>
  <c r="V50" i="6"/>
  <c r="W50" i="6"/>
  <c r="X50" i="6"/>
  <c r="O51" i="6"/>
  <c r="P51" i="6"/>
  <c r="Q51" i="6"/>
  <c r="R51" i="6"/>
  <c r="S51" i="6"/>
  <c r="T51" i="6"/>
  <c r="U51" i="6"/>
  <c r="V51" i="6"/>
  <c r="W51" i="6"/>
  <c r="X51" i="6"/>
  <c r="O52" i="6"/>
  <c r="P52" i="6"/>
  <c r="Q52" i="6"/>
  <c r="R52" i="6"/>
  <c r="S52" i="6"/>
  <c r="T52" i="6"/>
  <c r="U52" i="6"/>
  <c r="V52" i="6"/>
  <c r="W52" i="6"/>
  <c r="X52" i="6"/>
  <c r="O53" i="6"/>
  <c r="P53" i="6"/>
  <c r="Q53" i="6"/>
  <c r="R53" i="6"/>
  <c r="S53" i="6"/>
  <c r="T53" i="6"/>
  <c r="U53" i="6"/>
  <c r="V53" i="6"/>
  <c r="W53" i="6"/>
  <c r="X53" i="6"/>
  <c r="O54" i="6"/>
  <c r="P54" i="6"/>
  <c r="Q54" i="6"/>
  <c r="R54" i="6"/>
  <c r="S54" i="6"/>
  <c r="T54" i="6"/>
  <c r="U54" i="6"/>
  <c r="V54" i="6"/>
  <c r="W54" i="6"/>
  <c r="X54" i="6"/>
  <c r="O55" i="6"/>
  <c r="P55" i="6"/>
  <c r="Q55" i="6"/>
  <c r="R55" i="6"/>
  <c r="S55" i="6"/>
  <c r="T55" i="6"/>
  <c r="U55" i="6"/>
  <c r="V55" i="6"/>
  <c r="W55" i="6"/>
  <c r="X55" i="6"/>
  <c r="O56" i="6"/>
  <c r="P56" i="6"/>
  <c r="Q56" i="6"/>
  <c r="R56" i="6"/>
  <c r="S56" i="6"/>
  <c r="T56" i="6"/>
  <c r="U56" i="6"/>
  <c r="V56" i="6"/>
  <c r="W56" i="6"/>
  <c r="X56" i="6"/>
  <c r="O57" i="6"/>
  <c r="P57" i="6"/>
  <c r="Q57" i="6"/>
  <c r="R57" i="6"/>
  <c r="S57" i="6"/>
  <c r="T57" i="6"/>
  <c r="U57" i="6"/>
  <c r="V57" i="6"/>
  <c r="W57" i="6"/>
  <c r="X57" i="6"/>
  <c r="O58" i="6"/>
  <c r="P58" i="6"/>
  <c r="Q58" i="6"/>
  <c r="R58" i="6"/>
  <c r="S58" i="6"/>
  <c r="T58" i="6"/>
  <c r="U58" i="6"/>
  <c r="V58" i="6"/>
  <c r="W58" i="6"/>
  <c r="X58" i="6"/>
  <c r="O59" i="6"/>
  <c r="P59" i="6"/>
  <c r="Q59" i="6"/>
  <c r="R59" i="6"/>
  <c r="S59" i="6"/>
  <c r="T59" i="6"/>
  <c r="U59" i="6"/>
  <c r="V59" i="6"/>
  <c r="W59" i="6"/>
  <c r="X59" i="6"/>
  <c r="O60" i="6"/>
  <c r="P60" i="6"/>
  <c r="Q60" i="6"/>
  <c r="R60" i="6"/>
  <c r="S60" i="6"/>
  <c r="T60" i="6"/>
  <c r="U60" i="6"/>
  <c r="V60" i="6"/>
  <c r="W60" i="6"/>
  <c r="X60" i="6"/>
  <c r="O61" i="6"/>
  <c r="P61" i="6"/>
  <c r="Q61" i="6"/>
  <c r="R61" i="6"/>
  <c r="S61" i="6"/>
  <c r="T61" i="6"/>
  <c r="U61" i="6"/>
  <c r="V61" i="6"/>
  <c r="W61" i="6"/>
  <c r="X61" i="6"/>
  <c r="O62" i="6"/>
  <c r="P62" i="6"/>
  <c r="Q62" i="6"/>
  <c r="R62" i="6"/>
  <c r="S62" i="6"/>
  <c r="T62" i="6"/>
  <c r="U62" i="6"/>
  <c r="V62" i="6"/>
  <c r="W62" i="6"/>
  <c r="X62" i="6"/>
  <c r="O63" i="6"/>
  <c r="P63" i="6"/>
  <c r="Q63" i="6"/>
  <c r="R63" i="6"/>
  <c r="S63" i="6"/>
  <c r="T63" i="6"/>
  <c r="U63" i="6"/>
  <c r="V63" i="6"/>
  <c r="W63" i="6"/>
  <c r="X63" i="6"/>
  <c r="O64" i="6"/>
  <c r="P64" i="6"/>
  <c r="Q64" i="6"/>
  <c r="R64" i="6"/>
  <c r="S64" i="6"/>
  <c r="T64" i="6"/>
  <c r="U64" i="6"/>
  <c r="V64" i="6"/>
  <c r="W64" i="6"/>
  <c r="X64" i="6"/>
  <c r="O65" i="6"/>
  <c r="P65" i="6"/>
  <c r="Q65" i="6"/>
  <c r="R65" i="6"/>
  <c r="S65" i="6"/>
  <c r="T65" i="6"/>
  <c r="U65" i="6"/>
  <c r="V65" i="6"/>
  <c r="W65" i="6"/>
  <c r="X65" i="6"/>
  <c r="O66" i="6"/>
  <c r="P66" i="6"/>
  <c r="Q66" i="6"/>
  <c r="R66" i="6"/>
  <c r="S66" i="6"/>
  <c r="T66" i="6"/>
  <c r="U66" i="6"/>
  <c r="V66" i="6"/>
  <c r="W66" i="6"/>
  <c r="X66" i="6"/>
  <c r="O67" i="6"/>
  <c r="P67" i="6"/>
  <c r="Q67" i="6"/>
  <c r="R67" i="6"/>
  <c r="S67" i="6"/>
  <c r="T67" i="6"/>
  <c r="U67" i="6"/>
  <c r="V67" i="6"/>
  <c r="W67" i="6"/>
  <c r="X67" i="6"/>
  <c r="O68" i="6"/>
  <c r="P68" i="6"/>
  <c r="Q68" i="6"/>
  <c r="R68" i="6"/>
  <c r="S68" i="6"/>
  <c r="T68" i="6"/>
  <c r="U68" i="6"/>
  <c r="V68" i="6"/>
  <c r="W68" i="6"/>
  <c r="X68" i="6"/>
  <c r="O69" i="6"/>
  <c r="P69" i="6"/>
  <c r="Q69" i="6"/>
  <c r="R69" i="6"/>
  <c r="S69" i="6"/>
  <c r="T69" i="6"/>
  <c r="U69" i="6"/>
  <c r="V69" i="6"/>
  <c r="W69" i="6"/>
  <c r="X69" i="6"/>
  <c r="O70" i="6"/>
  <c r="P70" i="6"/>
  <c r="Q70" i="6"/>
  <c r="R70" i="6"/>
  <c r="S70" i="6"/>
  <c r="T70" i="6"/>
  <c r="U70" i="6"/>
  <c r="V70" i="6"/>
  <c r="W70" i="6"/>
  <c r="X70" i="6"/>
  <c r="O71" i="6"/>
  <c r="P71" i="6"/>
  <c r="Q71" i="6"/>
  <c r="R71" i="6"/>
  <c r="S71" i="6"/>
  <c r="T71" i="6"/>
  <c r="U71" i="6"/>
  <c r="V71" i="6"/>
  <c r="W71" i="6"/>
  <c r="X71" i="6"/>
  <c r="O72" i="6"/>
  <c r="P72" i="6"/>
  <c r="Q72" i="6"/>
  <c r="R72" i="6"/>
  <c r="S72" i="6"/>
  <c r="T72" i="6"/>
  <c r="U72" i="6"/>
  <c r="V72" i="6"/>
  <c r="W72" i="6"/>
  <c r="X72" i="6"/>
  <c r="O73" i="6"/>
  <c r="P73" i="6"/>
  <c r="Q73" i="6"/>
  <c r="R73" i="6"/>
  <c r="S73" i="6"/>
  <c r="T73" i="6"/>
  <c r="U73" i="6"/>
  <c r="V73" i="6"/>
  <c r="W73" i="6"/>
  <c r="X73" i="6"/>
  <c r="O74" i="6"/>
  <c r="P74" i="6"/>
  <c r="Q74" i="6"/>
  <c r="R74" i="6"/>
  <c r="S74" i="6"/>
  <c r="T74" i="6"/>
  <c r="U74" i="6"/>
  <c r="V74" i="6"/>
  <c r="W74" i="6"/>
  <c r="X74" i="6"/>
  <c r="O75" i="6"/>
  <c r="P75" i="6"/>
  <c r="Q75" i="6"/>
  <c r="R75" i="6"/>
  <c r="S75" i="6"/>
  <c r="T75" i="6"/>
  <c r="U75" i="6"/>
  <c r="V75" i="6"/>
  <c r="W75" i="6"/>
  <c r="X75" i="6"/>
  <c r="O76" i="6"/>
  <c r="P76" i="6"/>
  <c r="Q76" i="6"/>
  <c r="R76" i="6"/>
  <c r="S76" i="6"/>
  <c r="T76" i="6"/>
  <c r="U76" i="6"/>
  <c r="V76" i="6"/>
  <c r="W76" i="6"/>
  <c r="X76" i="6"/>
  <c r="O77" i="6"/>
  <c r="P77" i="6"/>
  <c r="Q77" i="6"/>
  <c r="R77" i="6"/>
  <c r="S77" i="6"/>
  <c r="T77" i="6"/>
  <c r="U77" i="6"/>
  <c r="V77" i="6"/>
  <c r="W77" i="6"/>
  <c r="X77" i="6"/>
  <c r="O78" i="6"/>
  <c r="P78" i="6"/>
  <c r="Q78" i="6"/>
  <c r="R78" i="6"/>
  <c r="S78" i="6"/>
  <c r="T78" i="6"/>
  <c r="U78" i="6"/>
  <c r="V78" i="6"/>
  <c r="W78" i="6"/>
  <c r="X78" i="6"/>
  <c r="O79" i="6"/>
  <c r="P79" i="6"/>
  <c r="Q79" i="6"/>
  <c r="R79" i="6"/>
  <c r="S79" i="6"/>
  <c r="T79" i="6"/>
  <c r="U79" i="6"/>
  <c r="V79" i="6"/>
  <c r="W79" i="6"/>
  <c r="X79" i="6"/>
  <c r="O80" i="6"/>
  <c r="P80" i="6"/>
  <c r="Q80" i="6"/>
  <c r="R80" i="6"/>
  <c r="S80" i="6"/>
  <c r="T80" i="6"/>
  <c r="U80" i="6"/>
  <c r="V80" i="6"/>
  <c r="W80" i="6"/>
  <c r="X80" i="6"/>
  <c r="O81" i="6"/>
  <c r="P81" i="6"/>
  <c r="Q81" i="6"/>
  <c r="R81" i="6"/>
  <c r="S81" i="6"/>
  <c r="T81" i="6"/>
  <c r="U81" i="6"/>
  <c r="V81" i="6"/>
  <c r="W81" i="6"/>
  <c r="X81" i="6"/>
  <c r="O82" i="6"/>
  <c r="P82" i="6"/>
  <c r="Q82" i="6"/>
  <c r="R82" i="6"/>
  <c r="S82" i="6"/>
  <c r="T82" i="6"/>
  <c r="U82" i="6"/>
  <c r="V82" i="6"/>
  <c r="W82" i="6"/>
  <c r="X82" i="6"/>
  <c r="O83" i="6"/>
  <c r="P83" i="6"/>
  <c r="Q83" i="6"/>
  <c r="R83" i="6"/>
  <c r="S83" i="6"/>
  <c r="T83" i="6"/>
  <c r="U83" i="6"/>
  <c r="V83" i="6"/>
  <c r="W83" i="6"/>
  <c r="X83" i="6"/>
  <c r="O84" i="6"/>
  <c r="P84" i="6"/>
  <c r="Q84" i="6"/>
  <c r="R84" i="6"/>
  <c r="S84" i="6"/>
  <c r="T84" i="6"/>
  <c r="U84" i="6"/>
  <c r="V84" i="6"/>
  <c r="W84" i="6"/>
  <c r="X84" i="6"/>
  <c r="O85" i="6"/>
  <c r="P85" i="6"/>
  <c r="Q85" i="6"/>
  <c r="R85" i="6"/>
  <c r="S85" i="6"/>
  <c r="T85" i="6"/>
  <c r="U85" i="6"/>
  <c r="V85" i="6"/>
  <c r="W85" i="6"/>
  <c r="X85" i="6"/>
  <c r="O86" i="6"/>
  <c r="P86" i="6"/>
  <c r="Q86" i="6"/>
  <c r="R86" i="6"/>
  <c r="S86" i="6"/>
  <c r="T86" i="6"/>
  <c r="U86" i="6"/>
  <c r="V86" i="6"/>
  <c r="W86" i="6"/>
  <c r="X86" i="6"/>
  <c r="O87" i="6"/>
  <c r="P87" i="6"/>
  <c r="Q87" i="6"/>
  <c r="R87" i="6"/>
  <c r="S87" i="6"/>
  <c r="T87" i="6"/>
  <c r="U87" i="6"/>
  <c r="V87" i="6"/>
  <c r="W87" i="6"/>
  <c r="X87" i="6"/>
  <c r="O88" i="6"/>
  <c r="P88" i="6"/>
  <c r="Q88" i="6"/>
  <c r="R88" i="6"/>
  <c r="S88" i="6"/>
  <c r="T88" i="6"/>
  <c r="U88" i="6"/>
  <c r="V88" i="6"/>
  <c r="W88" i="6"/>
  <c r="X88" i="6"/>
  <c r="O89" i="6"/>
  <c r="P89" i="6"/>
  <c r="Q89" i="6"/>
  <c r="R89" i="6"/>
  <c r="S89" i="6"/>
  <c r="T89" i="6"/>
  <c r="U89" i="6"/>
  <c r="V89" i="6"/>
  <c r="W89" i="6"/>
  <c r="X89" i="6"/>
  <c r="O90" i="6"/>
  <c r="P90" i="6"/>
  <c r="Q90" i="6"/>
  <c r="R90" i="6"/>
  <c r="S90" i="6"/>
  <c r="T90" i="6"/>
  <c r="U90" i="6"/>
  <c r="V90" i="6"/>
  <c r="W90" i="6"/>
  <c r="X90" i="6"/>
  <c r="O91" i="6"/>
  <c r="P91" i="6"/>
  <c r="Q91" i="6"/>
  <c r="R91" i="6"/>
  <c r="S91" i="6"/>
  <c r="T91" i="6"/>
  <c r="U91" i="6"/>
  <c r="V91" i="6"/>
  <c r="W91" i="6"/>
  <c r="X91" i="6"/>
  <c r="O92" i="6"/>
  <c r="P92" i="6"/>
  <c r="Q92" i="6"/>
  <c r="R92" i="6"/>
  <c r="S92" i="6"/>
  <c r="T92" i="6"/>
  <c r="U92" i="6"/>
  <c r="V92" i="6"/>
  <c r="W92" i="6"/>
  <c r="X92" i="6"/>
  <c r="O93" i="6"/>
  <c r="P93" i="6"/>
  <c r="Q93" i="6"/>
  <c r="R93" i="6"/>
  <c r="S93" i="6"/>
  <c r="T93" i="6"/>
  <c r="U93" i="6"/>
  <c r="V93" i="6"/>
  <c r="W93" i="6"/>
  <c r="X93" i="6"/>
  <c r="O94" i="6"/>
  <c r="P94" i="6"/>
  <c r="Q94" i="6"/>
  <c r="R94" i="6"/>
  <c r="S94" i="6"/>
  <c r="T94" i="6"/>
  <c r="U94" i="6"/>
  <c r="V94" i="6"/>
  <c r="W94" i="6"/>
  <c r="X94" i="6"/>
  <c r="O95" i="6"/>
  <c r="P95" i="6"/>
  <c r="Q95" i="6"/>
  <c r="R95" i="6"/>
  <c r="S95" i="6"/>
  <c r="T95" i="6"/>
  <c r="U95" i="6"/>
  <c r="V95" i="6"/>
  <c r="W95" i="6"/>
  <c r="X95" i="6"/>
  <c r="O96" i="6"/>
  <c r="P96" i="6"/>
  <c r="Q96" i="6"/>
  <c r="R96" i="6"/>
  <c r="S96" i="6"/>
  <c r="T96" i="6"/>
  <c r="U96" i="6"/>
  <c r="V96" i="6"/>
  <c r="W96" i="6"/>
  <c r="X96" i="6"/>
  <c r="O97" i="6"/>
  <c r="P97" i="6"/>
  <c r="Q97" i="6"/>
  <c r="R97" i="6"/>
  <c r="S97" i="6"/>
  <c r="T97" i="6"/>
  <c r="U97" i="6"/>
  <c r="V97" i="6"/>
  <c r="W97" i="6"/>
  <c r="X97" i="6"/>
  <c r="O98" i="6"/>
  <c r="P98" i="6"/>
  <c r="Q98" i="6"/>
  <c r="R98" i="6"/>
  <c r="S98" i="6"/>
  <c r="T98" i="6"/>
  <c r="U98" i="6"/>
  <c r="V98" i="6"/>
  <c r="W98" i="6"/>
  <c r="X98" i="6"/>
  <c r="O99" i="6"/>
  <c r="P99" i="6"/>
  <c r="Q99" i="6"/>
  <c r="R99" i="6"/>
  <c r="S99" i="6"/>
  <c r="T99" i="6"/>
  <c r="U99" i="6"/>
  <c r="V99" i="6"/>
  <c r="W99" i="6"/>
  <c r="X99" i="6"/>
  <c r="O100" i="6"/>
  <c r="P100" i="6"/>
  <c r="Q100" i="6"/>
  <c r="R100" i="6"/>
  <c r="S100" i="6"/>
  <c r="T100" i="6"/>
  <c r="U100" i="6"/>
  <c r="V100" i="6"/>
  <c r="W100" i="6"/>
  <c r="X100" i="6"/>
  <c r="O101" i="6"/>
  <c r="P101" i="6"/>
  <c r="Q101" i="6"/>
  <c r="R101" i="6"/>
  <c r="S101" i="6"/>
  <c r="T101" i="6"/>
  <c r="U101" i="6"/>
  <c r="V101" i="6"/>
  <c r="W101" i="6"/>
  <c r="X101" i="6"/>
  <c r="O102" i="6"/>
  <c r="P102" i="6"/>
  <c r="Q102" i="6"/>
  <c r="R102" i="6"/>
  <c r="S102" i="6"/>
  <c r="T102" i="6"/>
  <c r="U102" i="6"/>
  <c r="V102" i="6"/>
  <c r="W102" i="6"/>
  <c r="X102" i="6"/>
  <c r="O103" i="6"/>
  <c r="P103" i="6"/>
  <c r="Q103" i="6"/>
  <c r="R103" i="6"/>
  <c r="S103" i="6"/>
  <c r="T103" i="6"/>
  <c r="U103" i="6"/>
  <c r="V103" i="6"/>
  <c r="W103" i="6"/>
  <c r="X103" i="6"/>
  <c r="O104" i="6"/>
  <c r="P104" i="6"/>
  <c r="Q104" i="6"/>
  <c r="R104" i="6"/>
  <c r="S104" i="6"/>
  <c r="T104" i="6"/>
  <c r="U104" i="6"/>
  <c r="V104" i="6"/>
  <c r="W104" i="6"/>
  <c r="X104" i="6"/>
  <c r="O105" i="6"/>
  <c r="P105" i="6"/>
  <c r="Q105" i="6"/>
  <c r="R105" i="6"/>
  <c r="S105" i="6"/>
  <c r="T105" i="6"/>
  <c r="U105" i="6"/>
  <c r="V105" i="6"/>
  <c r="W105" i="6"/>
  <c r="X105" i="6"/>
  <c r="O106" i="6"/>
  <c r="P106" i="6"/>
  <c r="Q106" i="6"/>
  <c r="R106" i="6"/>
  <c r="S106" i="6"/>
  <c r="T106" i="6"/>
  <c r="U106" i="6"/>
  <c r="V106" i="6"/>
  <c r="W106" i="6"/>
  <c r="X106" i="6"/>
  <c r="O107" i="6"/>
  <c r="P107" i="6"/>
  <c r="Q107" i="6"/>
  <c r="R107" i="6"/>
  <c r="S107" i="6"/>
  <c r="T107" i="6"/>
  <c r="U107" i="6"/>
  <c r="V107" i="6"/>
  <c r="W107" i="6"/>
  <c r="X107" i="6"/>
  <c r="O108" i="6"/>
  <c r="P108" i="6"/>
  <c r="Q108" i="6"/>
  <c r="R108" i="6"/>
  <c r="S108" i="6"/>
  <c r="T108" i="6"/>
  <c r="U108" i="6"/>
  <c r="V108" i="6"/>
  <c r="W108" i="6"/>
  <c r="X108" i="6"/>
  <c r="O109" i="6"/>
  <c r="P109" i="6"/>
  <c r="Q109" i="6"/>
  <c r="R109" i="6"/>
  <c r="S109" i="6"/>
  <c r="T109" i="6"/>
  <c r="U109" i="6"/>
  <c r="V109" i="6"/>
  <c r="W109" i="6"/>
  <c r="X109" i="6"/>
  <c r="O110" i="6"/>
  <c r="P110" i="6"/>
  <c r="Q110" i="6"/>
  <c r="R110" i="6"/>
  <c r="S110" i="6"/>
  <c r="T110" i="6"/>
  <c r="U110" i="6"/>
  <c r="V110" i="6"/>
  <c r="W110" i="6"/>
  <c r="X110" i="6"/>
  <c r="O111" i="6"/>
  <c r="P111" i="6"/>
  <c r="Q111" i="6"/>
  <c r="R111" i="6"/>
  <c r="S111" i="6"/>
  <c r="T111" i="6"/>
  <c r="U111" i="6"/>
  <c r="V111" i="6"/>
  <c r="W111" i="6"/>
  <c r="X111" i="6"/>
  <c r="O112" i="6"/>
  <c r="P112" i="6"/>
  <c r="Q112" i="6"/>
  <c r="R112" i="6"/>
  <c r="S112" i="6"/>
  <c r="T112" i="6"/>
  <c r="U112" i="6"/>
  <c r="V112" i="6"/>
  <c r="W112" i="6"/>
  <c r="X112" i="6"/>
  <c r="O113" i="6"/>
  <c r="P113" i="6"/>
  <c r="Q113" i="6"/>
  <c r="R113" i="6"/>
  <c r="S113" i="6"/>
  <c r="T113" i="6"/>
  <c r="U113" i="6"/>
  <c r="V113" i="6"/>
  <c r="W113" i="6"/>
  <c r="X113" i="6"/>
  <c r="O114" i="6"/>
  <c r="P114" i="6"/>
  <c r="Q114" i="6"/>
  <c r="R114" i="6"/>
  <c r="S114" i="6"/>
  <c r="T114" i="6"/>
  <c r="U114" i="6"/>
  <c r="V114" i="6"/>
  <c r="W114" i="6"/>
  <c r="X114" i="6"/>
  <c r="O115" i="6"/>
  <c r="P115" i="6"/>
  <c r="Q115" i="6"/>
  <c r="R115" i="6"/>
  <c r="S115" i="6"/>
  <c r="T115" i="6"/>
  <c r="U115" i="6"/>
  <c r="V115" i="6"/>
  <c r="W115" i="6"/>
  <c r="X115" i="6"/>
  <c r="O116" i="6"/>
  <c r="P116" i="6"/>
  <c r="Q116" i="6"/>
  <c r="R116" i="6"/>
  <c r="S116" i="6"/>
  <c r="T116" i="6"/>
  <c r="U116" i="6"/>
  <c r="V116" i="6"/>
  <c r="W116" i="6"/>
  <c r="X116" i="6"/>
  <c r="O117" i="6"/>
  <c r="P117" i="6"/>
  <c r="Q117" i="6"/>
  <c r="R117" i="6"/>
  <c r="S117" i="6"/>
  <c r="T117" i="6"/>
  <c r="U117" i="6"/>
  <c r="V117" i="6"/>
  <c r="W117" i="6"/>
  <c r="X117" i="6"/>
  <c r="O118" i="6"/>
  <c r="P118" i="6"/>
  <c r="Q118" i="6"/>
  <c r="R118" i="6"/>
  <c r="S118" i="6"/>
  <c r="T118" i="6"/>
  <c r="U118" i="6"/>
  <c r="V118" i="6"/>
  <c r="W118" i="6"/>
  <c r="X118" i="6"/>
  <c r="O119" i="6"/>
  <c r="P119" i="6"/>
  <c r="Q119" i="6"/>
  <c r="R119" i="6"/>
  <c r="S119" i="6"/>
  <c r="T119" i="6"/>
  <c r="U119" i="6"/>
  <c r="V119" i="6"/>
  <c r="W119" i="6"/>
  <c r="X119" i="6"/>
  <c r="O120" i="6"/>
  <c r="P120" i="6"/>
  <c r="Q120" i="6"/>
  <c r="R120" i="6"/>
  <c r="S120" i="6"/>
  <c r="T120" i="6"/>
  <c r="U120" i="6"/>
  <c r="V120" i="6"/>
  <c r="W120" i="6"/>
  <c r="X120" i="6"/>
  <c r="O121" i="6"/>
  <c r="P121" i="6"/>
  <c r="Q121" i="6"/>
  <c r="R121" i="6"/>
  <c r="S121" i="6"/>
  <c r="T121" i="6"/>
  <c r="U121" i="6"/>
  <c r="V121" i="6"/>
  <c r="W121" i="6"/>
  <c r="X121" i="6"/>
  <c r="O122" i="6"/>
  <c r="P122" i="6"/>
  <c r="Q122" i="6"/>
  <c r="R122" i="6"/>
  <c r="S122" i="6"/>
  <c r="T122" i="6"/>
  <c r="U122" i="6"/>
  <c r="V122" i="6"/>
  <c r="W122" i="6"/>
  <c r="X122" i="6"/>
  <c r="O123" i="6"/>
  <c r="P123" i="6"/>
  <c r="Q123" i="6"/>
  <c r="R123" i="6"/>
  <c r="S123" i="6"/>
  <c r="T123" i="6"/>
  <c r="U123" i="6"/>
  <c r="V123" i="6"/>
  <c r="W123" i="6"/>
  <c r="X123" i="6"/>
  <c r="O124" i="6"/>
  <c r="P124" i="6"/>
  <c r="Q124" i="6"/>
  <c r="R124" i="6"/>
  <c r="S124" i="6"/>
  <c r="T124" i="6"/>
  <c r="U124" i="6"/>
  <c r="V124" i="6"/>
  <c r="W124" i="6"/>
  <c r="X124" i="6"/>
  <c r="O125" i="6"/>
  <c r="P125" i="6"/>
  <c r="Q125" i="6"/>
  <c r="R125" i="6"/>
  <c r="S125" i="6"/>
  <c r="T125" i="6"/>
  <c r="U125" i="6"/>
  <c r="V125" i="6"/>
  <c r="W125" i="6"/>
  <c r="X125" i="6"/>
  <c r="O126" i="6"/>
  <c r="P126" i="6"/>
  <c r="Q126" i="6"/>
  <c r="R126" i="6"/>
  <c r="S126" i="6"/>
  <c r="T126" i="6"/>
  <c r="U126" i="6"/>
  <c r="V126" i="6"/>
  <c r="W126" i="6"/>
  <c r="X126" i="6"/>
  <c r="O127" i="6"/>
  <c r="P127" i="6"/>
  <c r="Q127" i="6"/>
  <c r="R127" i="6"/>
  <c r="S127" i="6"/>
  <c r="T127" i="6"/>
  <c r="U127" i="6"/>
  <c r="V127" i="6"/>
  <c r="W127" i="6"/>
  <c r="X127" i="6"/>
  <c r="O128" i="6"/>
  <c r="P128" i="6"/>
  <c r="Q128" i="6"/>
  <c r="R128" i="6"/>
  <c r="S128" i="6"/>
  <c r="T128" i="6"/>
  <c r="U128" i="6"/>
  <c r="V128" i="6"/>
  <c r="W128" i="6"/>
  <c r="X128" i="6"/>
  <c r="O129" i="6"/>
  <c r="P129" i="6"/>
  <c r="Q129" i="6"/>
  <c r="R129" i="6"/>
  <c r="S129" i="6"/>
  <c r="T129" i="6"/>
  <c r="U129" i="6"/>
  <c r="V129" i="6"/>
  <c r="W129" i="6"/>
  <c r="X129" i="6"/>
  <c r="O130" i="6"/>
  <c r="P130" i="6"/>
  <c r="Q130" i="6"/>
  <c r="R130" i="6"/>
  <c r="S130" i="6"/>
  <c r="T130" i="6"/>
  <c r="U130" i="6"/>
  <c r="V130" i="6"/>
  <c r="W130" i="6"/>
  <c r="X130" i="6"/>
  <c r="O131" i="6"/>
  <c r="P131" i="6"/>
  <c r="Q131" i="6"/>
  <c r="R131" i="6"/>
  <c r="S131" i="6"/>
  <c r="T131" i="6"/>
  <c r="U131" i="6"/>
  <c r="V131" i="6"/>
  <c r="W131" i="6"/>
  <c r="X131" i="6"/>
  <c r="O132" i="6"/>
  <c r="P132" i="6"/>
  <c r="Q132" i="6"/>
  <c r="R132" i="6"/>
  <c r="S132" i="6"/>
  <c r="T132" i="6"/>
  <c r="U132" i="6"/>
  <c r="V132" i="6"/>
  <c r="W132" i="6"/>
  <c r="X132" i="6"/>
  <c r="O133" i="6"/>
  <c r="P133" i="6"/>
  <c r="Q133" i="6"/>
  <c r="R133" i="6"/>
  <c r="S133" i="6"/>
  <c r="T133" i="6"/>
  <c r="U133" i="6"/>
  <c r="V133" i="6"/>
  <c r="W133" i="6"/>
  <c r="X133" i="6"/>
  <c r="O134" i="6"/>
  <c r="P134" i="6"/>
  <c r="Q134" i="6"/>
  <c r="R134" i="6"/>
  <c r="S134" i="6"/>
  <c r="T134" i="6"/>
  <c r="U134" i="6"/>
  <c r="V134" i="6"/>
  <c r="W134" i="6"/>
  <c r="X134" i="6"/>
  <c r="O135" i="6"/>
  <c r="P135" i="6"/>
  <c r="Q135" i="6"/>
  <c r="R135" i="6"/>
  <c r="S135" i="6"/>
  <c r="T135" i="6"/>
  <c r="U135" i="6"/>
  <c r="V135" i="6"/>
  <c r="W135" i="6"/>
  <c r="X135" i="6"/>
  <c r="O136" i="6"/>
  <c r="P136" i="6"/>
  <c r="Q136" i="6"/>
  <c r="R136" i="6"/>
  <c r="S136" i="6"/>
  <c r="T136" i="6"/>
  <c r="U136" i="6"/>
  <c r="V136" i="6"/>
  <c r="W136" i="6"/>
  <c r="X136" i="6"/>
  <c r="O137" i="6"/>
  <c r="P137" i="6"/>
  <c r="Q137" i="6"/>
  <c r="R137" i="6"/>
  <c r="S137" i="6"/>
  <c r="T137" i="6"/>
  <c r="U137" i="6"/>
  <c r="V137" i="6"/>
  <c r="W137" i="6"/>
  <c r="X137" i="6"/>
  <c r="O138" i="6"/>
  <c r="P138" i="6"/>
  <c r="Q138" i="6"/>
  <c r="R138" i="6"/>
  <c r="S138" i="6"/>
  <c r="T138" i="6"/>
  <c r="U138" i="6"/>
  <c r="V138" i="6"/>
  <c r="W138" i="6"/>
  <c r="X138" i="6"/>
  <c r="O139" i="6"/>
  <c r="P139" i="6"/>
  <c r="Q139" i="6"/>
  <c r="R139" i="6"/>
  <c r="S139" i="6"/>
  <c r="T139" i="6"/>
  <c r="U139" i="6"/>
  <c r="V139" i="6"/>
  <c r="W139" i="6"/>
  <c r="X139" i="6"/>
  <c r="O140" i="6"/>
  <c r="P140" i="6"/>
  <c r="Q140" i="6"/>
  <c r="R140" i="6"/>
  <c r="S140" i="6"/>
  <c r="T140" i="6"/>
  <c r="U140" i="6"/>
  <c r="V140" i="6"/>
  <c r="W140" i="6"/>
  <c r="X140" i="6"/>
  <c r="O141" i="6"/>
  <c r="P141" i="6"/>
  <c r="Q141" i="6"/>
  <c r="R141" i="6"/>
  <c r="S141" i="6"/>
  <c r="T141" i="6"/>
  <c r="U141" i="6"/>
  <c r="V141" i="6"/>
  <c r="W141" i="6"/>
  <c r="X141" i="6"/>
  <c r="O142" i="6"/>
  <c r="P142" i="6"/>
  <c r="Q142" i="6"/>
  <c r="R142" i="6"/>
  <c r="S142" i="6"/>
  <c r="T142" i="6"/>
  <c r="U142" i="6"/>
  <c r="V142" i="6"/>
  <c r="W142" i="6"/>
  <c r="X142" i="6"/>
  <c r="O143" i="6"/>
  <c r="P143" i="6"/>
  <c r="Q143" i="6"/>
  <c r="R143" i="6"/>
  <c r="S143" i="6"/>
  <c r="T143" i="6"/>
  <c r="U143" i="6"/>
  <c r="V143" i="6"/>
  <c r="W143" i="6"/>
  <c r="X143" i="6"/>
  <c r="O144" i="6"/>
  <c r="P144" i="6"/>
  <c r="Q144" i="6"/>
  <c r="R144" i="6"/>
  <c r="S144" i="6"/>
  <c r="T144" i="6"/>
  <c r="U144" i="6"/>
  <c r="V144" i="6"/>
  <c r="W144" i="6"/>
  <c r="X144" i="6"/>
  <c r="O145" i="6"/>
  <c r="P145" i="6"/>
  <c r="Q145" i="6"/>
  <c r="R145" i="6"/>
  <c r="S145" i="6"/>
  <c r="T145" i="6"/>
  <c r="U145" i="6"/>
  <c r="V145" i="6"/>
  <c r="W145" i="6"/>
  <c r="X145" i="6"/>
  <c r="O146" i="6"/>
  <c r="P146" i="6"/>
  <c r="Q146" i="6"/>
  <c r="R146" i="6"/>
  <c r="S146" i="6"/>
  <c r="T146" i="6"/>
  <c r="U146" i="6"/>
  <c r="V146" i="6"/>
  <c r="W146" i="6"/>
  <c r="X146" i="6"/>
  <c r="O147" i="6"/>
  <c r="P147" i="6"/>
  <c r="Q147" i="6"/>
  <c r="R147" i="6"/>
  <c r="S147" i="6"/>
  <c r="T147" i="6"/>
  <c r="U147" i="6"/>
  <c r="V147" i="6"/>
  <c r="W147" i="6"/>
  <c r="X147" i="6"/>
  <c r="O148" i="6"/>
  <c r="P148" i="6"/>
  <c r="Q148" i="6"/>
  <c r="R148" i="6"/>
  <c r="S148" i="6"/>
  <c r="T148" i="6"/>
  <c r="U148" i="6"/>
  <c r="V148" i="6"/>
  <c r="W148" i="6"/>
  <c r="X148" i="6"/>
  <c r="O149" i="6"/>
  <c r="P149" i="6"/>
  <c r="Q149" i="6"/>
  <c r="R149" i="6"/>
  <c r="S149" i="6"/>
  <c r="T149" i="6"/>
  <c r="U149" i="6"/>
  <c r="V149" i="6"/>
  <c r="W149" i="6"/>
  <c r="X149" i="6"/>
  <c r="O150" i="6"/>
  <c r="P150" i="6"/>
  <c r="Q150" i="6"/>
  <c r="R150" i="6"/>
  <c r="S150" i="6"/>
  <c r="T150" i="6"/>
  <c r="U150" i="6"/>
  <c r="V150" i="6"/>
  <c r="W150" i="6"/>
  <c r="X150" i="6"/>
  <c r="O151" i="6"/>
  <c r="P151" i="6"/>
  <c r="Q151" i="6"/>
  <c r="R151" i="6"/>
  <c r="S151" i="6"/>
  <c r="T151" i="6"/>
  <c r="U151" i="6"/>
  <c r="V151" i="6"/>
  <c r="W151" i="6"/>
  <c r="X151" i="6"/>
  <c r="O152" i="6"/>
  <c r="P152" i="6"/>
  <c r="Q152" i="6"/>
  <c r="R152" i="6"/>
  <c r="S152" i="6"/>
  <c r="T152" i="6"/>
  <c r="U152" i="6"/>
  <c r="V152" i="6"/>
  <c r="W152" i="6"/>
  <c r="X152" i="6"/>
  <c r="O153" i="6"/>
  <c r="P153" i="6"/>
  <c r="Q153" i="6"/>
  <c r="R153" i="6"/>
  <c r="S153" i="6"/>
  <c r="T153" i="6"/>
  <c r="U153" i="6"/>
  <c r="V153" i="6"/>
  <c r="W153" i="6"/>
  <c r="X153" i="6"/>
  <c r="O154" i="6"/>
  <c r="P154" i="6"/>
  <c r="Q154" i="6"/>
  <c r="R154" i="6"/>
  <c r="S154" i="6"/>
  <c r="T154" i="6"/>
  <c r="U154" i="6"/>
  <c r="V154" i="6"/>
  <c r="W154" i="6"/>
  <c r="X154" i="6"/>
  <c r="O155" i="6"/>
  <c r="P155" i="6"/>
  <c r="Q155" i="6"/>
  <c r="R155" i="6"/>
  <c r="S155" i="6"/>
  <c r="T155" i="6"/>
  <c r="U155" i="6"/>
  <c r="V155" i="6"/>
  <c r="W155" i="6"/>
  <c r="X155" i="6"/>
  <c r="O156" i="6"/>
  <c r="P156" i="6"/>
  <c r="Q156" i="6"/>
  <c r="R156" i="6"/>
  <c r="S156" i="6"/>
  <c r="T156" i="6"/>
  <c r="U156" i="6"/>
  <c r="V156" i="6"/>
  <c r="W156" i="6"/>
  <c r="X156" i="6"/>
  <c r="O157" i="6"/>
  <c r="P157" i="6"/>
  <c r="Q157" i="6"/>
  <c r="R157" i="6"/>
  <c r="S157" i="6"/>
  <c r="T157" i="6"/>
  <c r="U157" i="6"/>
  <c r="V157" i="6"/>
  <c r="W157" i="6"/>
  <c r="X157" i="6"/>
  <c r="O158" i="6"/>
  <c r="P158" i="6"/>
  <c r="Q158" i="6"/>
  <c r="R158" i="6"/>
  <c r="S158" i="6"/>
  <c r="T158" i="6"/>
  <c r="U158" i="6"/>
  <c r="V158" i="6"/>
  <c r="W158" i="6"/>
  <c r="X158" i="6"/>
  <c r="O159" i="6"/>
  <c r="P159" i="6"/>
  <c r="Q159" i="6"/>
  <c r="R159" i="6"/>
  <c r="S159" i="6"/>
  <c r="T159" i="6"/>
  <c r="U159" i="6"/>
  <c r="V159" i="6"/>
  <c r="W159" i="6"/>
  <c r="X159" i="6"/>
  <c r="O160" i="6"/>
  <c r="P160" i="6"/>
  <c r="Q160" i="6"/>
  <c r="R160" i="6"/>
  <c r="S160" i="6"/>
  <c r="T160" i="6"/>
  <c r="U160" i="6"/>
  <c r="V160" i="6"/>
  <c r="W160" i="6"/>
  <c r="X160" i="6"/>
  <c r="O161" i="6"/>
  <c r="P161" i="6"/>
  <c r="Q161" i="6"/>
  <c r="R161" i="6"/>
  <c r="S161" i="6"/>
  <c r="T161" i="6"/>
  <c r="U161" i="6"/>
  <c r="V161" i="6"/>
  <c r="W161" i="6"/>
  <c r="X161" i="6"/>
  <c r="O162" i="6"/>
  <c r="P162" i="6"/>
  <c r="Q162" i="6"/>
  <c r="R162" i="6"/>
  <c r="S162" i="6"/>
  <c r="T162" i="6"/>
  <c r="U162" i="6"/>
  <c r="V162" i="6"/>
  <c r="W162" i="6"/>
  <c r="X162" i="6"/>
  <c r="O163" i="6"/>
  <c r="P163" i="6"/>
  <c r="Q163" i="6"/>
  <c r="R163" i="6"/>
  <c r="S163" i="6"/>
  <c r="T163" i="6"/>
  <c r="U163" i="6"/>
  <c r="V163" i="6"/>
  <c r="W163" i="6"/>
  <c r="X163" i="6"/>
  <c r="O164" i="6"/>
  <c r="P164" i="6"/>
  <c r="Q164" i="6"/>
  <c r="R164" i="6"/>
  <c r="S164" i="6"/>
  <c r="T164" i="6"/>
  <c r="U164" i="6"/>
  <c r="V164" i="6"/>
  <c r="W164" i="6"/>
  <c r="X164" i="6"/>
  <c r="O165" i="6"/>
  <c r="P165" i="6"/>
  <c r="Q165" i="6"/>
  <c r="R165" i="6"/>
  <c r="S165" i="6"/>
  <c r="T165" i="6"/>
  <c r="U165" i="6"/>
  <c r="V165" i="6"/>
  <c r="W165" i="6"/>
  <c r="X165" i="6"/>
  <c r="O166" i="6"/>
  <c r="P166" i="6"/>
  <c r="Q166" i="6"/>
  <c r="R166" i="6"/>
  <c r="S166" i="6"/>
  <c r="T166" i="6"/>
  <c r="U166" i="6"/>
  <c r="V166" i="6"/>
  <c r="W166" i="6"/>
  <c r="X166" i="6"/>
  <c r="O167" i="6"/>
  <c r="P167" i="6"/>
  <c r="Q167" i="6"/>
  <c r="R167" i="6"/>
  <c r="S167" i="6"/>
  <c r="T167" i="6"/>
  <c r="U167" i="6"/>
  <c r="V167" i="6"/>
  <c r="W167" i="6"/>
  <c r="X167" i="6"/>
  <c r="O168" i="6"/>
  <c r="P168" i="6"/>
  <c r="Q168" i="6"/>
  <c r="R168" i="6"/>
  <c r="S168" i="6"/>
  <c r="T168" i="6"/>
  <c r="U168" i="6"/>
  <c r="V168" i="6"/>
  <c r="W168" i="6"/>
  <c r="X168" i="6"/>
  <c r="O169" i="6"/>
  <c r="P169" i="6"/>
  <c r="Q169" i="6"/>
  <c r="R169" i="6"/>
  <c r="S169" i="6"/>
  <c r="T169" i="6"/>
  <c r="U169" i="6"/>
  <c r="V169" i="6"/>
  <c r="W169" i="6"/>
  <c r="X169" i="6"/>
  <c r="O170" i="6"/>
  <c r="P170" i="6"/>
  <c r="Q170" i="6"/>
  <c r="R170" i="6"/>
  <c r="S170" i="6"/>
  <c r="T170" i="6"/>
  <c r="U170" i="6"/>
  <c r="V170" i="6"/>
  <c r="W170" i="6"/>
  <c r="X170" i="6"/>
  <c r="O171" i="6"/>
  <c r="P171" i="6"/>
  <c r="Q171" i="6"/>
  <c r="R171" i="6"/>
  <c r="S171" i="6"/>
  <c r="T171" i="6"/>
  <c r="U171" i="6"/>
  <c r="V171" i="6"/>
  <c r="W171" i="6"/>
  <c r="X171" i="6"/>
  <c r="O172" i="6"/>
  <c r="P172" i="6"/>
  <c r="Q172" i="6"/>
  <c r="R172" i="6"/>
  <c r="S172" i="6"/>
  <c r="T172" i="6"/>
  <c r="U172" i="6"/>
  <c r="V172" i="6"/>
  <c r="W172" i="6"/>
  <c r="X172" i="6"/>
  <c r="O173" i="6"/>
  <c r="P173" i="6"/>
  <c r="Q173" i="6"/>
  <c r="R173" i="6"/>
  <c r="S173" i="6"/>
  <c r="T173" i="6"/>
  <c r="U173" i="6"/>
  <c r="V173" i="6"/>
  <c r="W173" i="6"/>
  <c r="X173" i="6"/>
  <c r="O174" i="6"/>
  <c r="P174" i="6"/>
  <c r="Q174" i="6"/>
  <c r="R174" i="6"/>
  <c r="S174" i="6"/>
  <c r="T174" i="6"/>
  <c r="U174" i="6"/>
  <c r="V174" i="6"/>
  <c r="W174" i="6"/>
  <c r="X174" i="6"/>
  <c r="O175" i="6"/>
  <c r="P175" i="6"/>
  <c r="Q175" i="6"/>
  <c r="R175" i="6"/>
  <c r="S175" i="6"/>
  <c r="T175" i="6"/>
  <c r="U175" i="6"/>
  <c r="V175" i="6"/>
  <c r="W175" i="6"/>
  <c r="X175" i="6"/>
  <c r="O176" i="6"/>
  <c r="P176" i="6"/>
  <c r="Q176" i="6"/>
  <c r="R176" i="6"/>
  <c r="S176" i="6"/>
  <c r="T176" i="6"/>
  <c r="U176" i="6"/>
  <c r="V176" i="6"/>
  <c r="W176" i="6"/>
  <c r="X176" i="6"/>
  <c r="O177" i="6"/>
  <c r="P177" i="6"/>
  <c r="Q177" i="6"/>
  <c r="R177" i="6"/>
  <c r="S177" i="6"/>
  <c r="T177" i="6"/>
  <c r="U177" i="6"/>
  <c r="V177" i="6"/>
  <c r="W177" i="6"/>
  <c r="X177" i="6"/>
  <c r="O178" i="6"/>
  <c r="P178" i="6"/>
  <c r="Q178" i="6"/>
  <c r="R178" i="6"/>
  <c r="S178" i="6"/>
  <c r="T178" i="6"/>
  <c r="U178" i="6"/>
  <c r="V178" i="6"/>
  <c r="W178" i="6"/>
  <c r="X178" i="6"/>
  <c r="O179" i="6"/>
  <c r="P179" i="6"/>
  <c r="Q179" i="6"/>
  <c r="R179" i="6"/>
  <c r="S179" i="6"/>
  <c r="T179" i="6"/>
  <c r="U179" i="6"/>
  <c r="V179" i="6"/>
  <c r="W179" i="6"/>
  <c r="X179" i="6"/>
  <c r="O180" i="6"/>
  <c r="P180" i="6"/>
  <c r="Q180" i="6"/>
  <c r="R180" i="6"/>
  <c r="S180" i="6"/>
  <c r="T180" i="6"/>
  <c r="U180" i="6"/>
  <c r="V180" i="6"/>
  <c r="W180" i="6"/>
  <c r="X180" i="6"/>
  <c r="O181" i="6"/>
  <c r="P181" i="6"/>
  <c r="Q181" i="6"/>
  <c r="R181" i="6"/>
  <c r="S181" i="6"/>
  <c r="T181" i="6"/>
  <c r="U181" i="6"/>
  <c r="V181" i="6"/>
  <c r="W181" i="6"/>
  <c r="X181" i="6"/>
  <c r="O182" i="6"/>
  <c r="P182" i="6"/>
  <c r="Q182" i="6"/>
  <c r="R182" i="6"/>
  <c r="S182" i="6"/>
  <c r="T182" i="6"/>
  <c r="U182" i="6"/>
  <c r="V182" i="6"/>
  <c r="W182" i="6"/>
  <c r="X182" i="6"/>
  <c r="O183" i="6"/>
  <c r="P183" i="6"/>
  <c r="Q183" i="6"/>
  <c r="R183" i="6"/>
  <c r="S183" i="6"/>
  <c r="T183" i="6"/>
  <c r="U183" i="6"/>
  <c r="V183" i="6"/>
  <c r="W183" i="6"/>
  <c r="X183" i="6"/>
  <c r="O184" i="6"/>
  <c r="P184" i="6"/>
  <c r="Q184" i="6"/>
  <c r="R184" i="6"/>
  <c r="S184" i="6"/>
  <c r="T184" i="6"/>
  <c r="U184" i="6"/>
  <c r="V184" i="6"/>
  <c r="W184" i="6"/>
  <c r="X184" i="6"/>
  <c r="O185" i="6"/>
  <c r="P185" i="6"/>
  <c r="Q185" i="6"/>
  <c r="R185" i="6"/>
  <c r="S185" i="6"/>
  <c r="T185" i="6"/>
  <c r="U185" i="6"/>
  <c r="V185" i="6"/>
  <c r="W185" i="6"/>
  <c r="X185" i="6"/>
  <c r="O186" i="6"/>
  <c r="P186" i="6"/>
  <c r="Q186" i="6"/>
  <c r="R186" i="6"/>
  <c r="S186" i="6"/>
  <c r="T186" i="6"/>
  <c r="U186" i="6"/>
  <c r="V186" i="6"/>
  <c r="W186" i="6"/>
  <c r="X186" i="6"/>
  <c r="O187" i="6"/>
  <c r="P187" i="6"/>
  <c r="Q187" i="6"/>
  <c r="R187" i="6"/>
  <c r="S187" i="6"/>
  <c r="T187" i="6"/>
  <c r="U187" i="6"/>
  <c r="V187" i="6"/>
  <c r="W187" i="6"/>
  <c r="X187" i="6"/>
  <c r="O188" i="6"/>
  <c r="P188" i="6"/>
  <c r="Q188" i="6"/>
  <c r="R188" i="6"/>
  <c r="S188" i="6"/>
  <c r="T188" i="6"/>
  <c r="U188" i="6"/>
  <c r="V188" i="6"/>
  <c r="W188" i="6"/>
  <c r="X188" i="6"/>
  <c r="O189" i="6"/>
  <c r="P189" i="6"/>
  <c r="Q189" i="6"/>
  <c r="R189" i="6"/>
  <c r="S189" i="6"/>
  <c r="T189" i="6"/>
  <c r="U189" i="6"/>
  <c r="V189" i="6"/>
  <c r="W189" i="6"/>
  <c r="X189" i="6"/>
  <c r="O190" i="6"/>
  <c r="P190" i="6"/>
  <c r="Q190" i="6"/>
  <c r="R190" i="6"/>
  <c r="S190" i="6"/>
  <c r="T190" i="6"/>
  <c r="U190" i="6"/>
  <c r="V190" i="6"/>
  <c r="W190" i="6"/>
  <c r="X190" i="6"/>
  <c r="O191" i="6"/>
  <c r="P191" i="6"/>
  <c r="Q191" i="6"/>
  <c r="R191" i="6"/>
  <c r="S191" i="6"/>
  <c r="T191" i="6"/>
  <c r="U191" i="6"/>
  <c r="V191" i="6"/>
  <c r="W191" i="6"/>
  <c r="X191" i="6"/>
  <c r="O192" i="6"/>
  <c r="P192" i="6"/>
  <c r="Q192" i="6"/>
  <c r="R192" i="6"/>
  <c r="S192" i="6"/>
  <c r="T192" i="6"/>
  <c r="U192" i="6"/>
  <c r="V192" i="6"/>
  <c r="W192" i="6"/>
  <c r="X192" i="6"/>
  <c r="O193" i="6"/>
  <c r="P193" i="6"/>
  <c r="Q193" i="6"/>
  <c r="R193" i="6"/>
  <c r="S193" i="6"/>
  <c r="T193" i="6"/>
  <c r="U193" i="6"/>
  <c r="V193" i="6"/>
  <c r="W193" i="6"/>
  <c r="X193" i="6"/>
  <c r="O194" i="6"/>
  <c r="P194" i="6"/>
  <c r="Q194" i="6"/>
  <c r="R194" i="6"/>
  <c r="S194" i="6"/>
  <c r="T194" i="6"/>
  <c r="U194" i="6"/>
  <c r="V194" i="6"/>
  <c r="W194" i="6"/>
  <c r="X194" i="6"/>
  <c r="O195" i="6"/>
  <c r="P195" i="6"/>
  <c r="Q195" i="6"/>
  <c r="R195" i="6"/>
  <c r="S195" i="6"/>
  <c r="T195" i="6"/>
  <c r="U195" i="6"/>
  <c r="V195" i="6"/>
  <c r="W195" i="6"/>
  <c r="X195" i="6"/>
  <c r="O196" i="6"/>
  <c r="P196" i="6"/>
  <c r="Q196" i="6"/>
  <c r="R196" i="6"/>
  <c r="S196" i="6"/>
  <c r="T196" i="6"/>
  <c r="U196" i="6"/>
  <c r="V196" i="6"/>
  <c r="W196" i="6"/>
  <c r="X196" i="6"/>
  <c r="O197" i="6"/>
  <c r="P197" i="6"/>
  <c r="Q197" i="6"/>
  <c r="R197" i="6"/>
  <c r="S197" i="6"/>
  <c r="T197" i="6"/>
  <c r="U197" i="6"/>
  <c r="V197" i="6"/>
  <c r="W197" i="6"/>
  <c r="X197" i="6"/>
  <c r="O198" i="6"/>
  <c r="P198" i="6"/>
  <c r="Q198" i="6"/>
  <c r="R198" i="6"/>
  <c r="S198" i="6"/>
  <c r="T198" i="6"/>
  <c r="U198" i="6"/>
  <c r="V198" i="6"/>
  <c r="W198" i="6"/>
  <c r="X198" i="6"/>
  <c r="O199" i="6"/>
  <c r="P199" i="6"/>
  <c r="Q199" i="6"/>
  <c r="R199" i="6"/>
  <c r="S199" i="6"/>
  <c r="T199" i="6"/>
  <c r="U199" i="6"/>
  <c r="V199" i="6"/>
  <c r="W199" i="6"/>
  <c r="X199" i="6"/>
  <c r="O200" i="6"/>
  <c r="P200" i="6"/>
  <c r="Q200" i="6"/>
  <c r="R200" i="6"/>
  <c r="S200" i="6"/>
  <c r="T200" i="6"/>
  <c r="U200" i="6"/>
  <c r="V200" i="6"/>
  <c r="W200" i="6"/>
  <c r="X200" i="6"/>
  <c r="O201" i="6"/>
  <c r="P201" i="6"/>
  <c r="Q201" i="6"/>
  <c r="R201" i="6"/>
  <c r="S201" i="6"/>
  <c r="T201" i="6"/>
  <c r="U201" i="6"/>
  <c r="V201" i="6"/>
  <c r="W201" i="6"/>
  <c r="X201" i="6"/>
  <c r="O202" i="6"/>
  <c r="P202" i="6"/>
  <c r="Q202" i="6"/>
  <c r="R202" i="6"/>
  <c r="S202" i="6"/>
  <c r="T202" i="6"/>
  <c r="U202" i="6"/>
  <c r="V202" i="6"/>
  <c r="W202" i="6"/>
  <c r="X202" i="6"/>
  <c r="O203" i="6"/>
  <c r="P203" i="6"/>
  <c r="Q203" i="6"/>
  <c r="R203" i="6"/>
  <c r="S203" i="6"/>
  <c r="T203" i="6"/>
  <c r="U203" i="6"/>
  <c r="V203" i="6"/>
  <c r="W203" i="6"/>
  <c r="X203" i="6"/>
  <c r="O204" i="6"/>
  <c r="P204" i="6"/>
  <c r="Q204" i="6"/>
  <c r="R204" i="6"/>
  <c r="S204" i="6"/>
  <c r="T204" i="6"/>
  <c r="U204" i="6"/>
  <c r="V204" i="6"/>
  <c r="W204" i="6"/>
  <c r="X204" i="6"/>
  <c r="O205" i="6"/>
  <c r="P205" i="6"/>
  <c r="Q205" i="6"/>
  <c r="R205" i="6"/>
  <c r="S205" i="6"/>
  <c r="T205" i="6"/>
  <c r="U205" i="6"/>
  <c r="V205" i="6"/>
  <c r="W205" i="6"/>
  <c r="X205" i="6"/>
  <c r="O206" i="6"/>
  <c r="P206" i="6"/>
  <c r="Q206" i="6"/>
  <c r="R206" i="6"/>
  <c r="S206" i="6"/>
  <c r="T206" i="6"/>
  <c r="U206" i="6"/>
  <c r="V206" i="6"/>
  <c r="W206" i="6"/>
  <c r="X206" i="6"/>
  <c r="O207" i="6"/>
  <c r="P207" i="6"/>
  <c r="Q207" i="6"/>
  <c r="R207" i="6"/>
  <c r="S207" i="6"/>
  <c r="T207" i="6"/>
  <c r="U207" i="6"/>
  <c r="V207" i="6"/>
  <c r="W207" i="6"/>
  <c r="X207" i="6"/>
  <c r="O208" i="6"/>
  <c r="P208" i="6"/>
  <c r="Q208" i="6"/>
  <c r="R208" i="6"/>
  <c r="S208" i="6"/>
  <c r="T208" i="6"/>
  <c r="U208" i="6"/>
  <c r="V208" i="6"/>
  <c r="W208" i="6"/>
  <c r="X208" i="6"/>
  <c r="O209" i="6"/>
  <c r="P209" i="6"/>
  <c r="Q209" i="6"/>
  <c r="R209" i="6"/>
  <c r="S209" i="6"/>
  <c r="T209" i="6"/>
  <c r="U209" i="6"/>
  <c r="V209" i="6"/>
  <c r="W209" i="6"/>
  <c r="X209" i="6"/>
  <c r="O210" i="6"/>
  <c r="P210" i="6"/>
  <c r="Q210" i="6"/>
  <c r="R210" i="6"/>
  <c r="S210" i="6"/>
  <c r="T210" i="6"/>
  <c r="U210" i="6"/>
  <c r="V210" i="6"/>
  <c r="W210" i="6"/>
  <c r="X210" i="6"/>
  <c r="O211" i="6"/>
  <c r="P211" i="6"/>
  <c r="Q211" i="6"/>
  <c r="R211" i="6"/>
  <c r="S211" i="6"/>
  <c r="T211" i="6"/>
  <c r="U211" i="6"/>
  <c r="V211" i="6"/>
  <c r="W211" i="6"/>
  <c r="X211" i="6"/>
  <c r="O212" i="6"/>
  <c r="P212" i="6"/>
  <c r="Q212" i="6"/>
  <c r="R212" i="6"/>
  <c r="S212" i="6"/>
  <c r="T212" i="6"/>
  <c r="U212" i="6"/>
  <c r="V212" i="6"/>
  <c r="W212" i="6"/>
  <c r="X212" i="6"/>
  <c r="O213" i="6"/>
  <c r="P213" i="6"/>
  <c r="Q213" i="6"/>
  <c r="R213" i="6"/>
  <c r="S213" i="6"/>
  <c r="T213" i="6"/>
  <c r="U213" i="6"/>
  <c r="V213" i="6"/>
  <c r="W213" i="6"/>
  <c r="X213" i="6"/>
  <c r="O214" i="6"/>
  <c r="P214" i="6"/>
  <c r="Q214" i="6"/>
  <c r="R214" i="6"/>
  <c r="S214" i="6"/>
  <c r="T214" i="6"/>
  <c r="U214" i="6"/>
  <c r="V214" i="6"/>
  <c r="W214" i="6"/>
  <c r="X214" i="6"/>
  <c r="O215" i="6"/>
  <c r="P215" i="6"/>
  <c r="Q215" i="6"/>
  <c r="R215" i="6"/>
  <c r="S215" i="6"/>
  <c r="T215" i="6"/>
  <c r="U215" i="6"/>
  <c r="V215" i="6"/>
  <c r="W215" i="6"/>
  <c r="X215" i="6"/>
  <c r="O216" i="6"/>
  <c r="P216" i="6"/>
  <c r="Q216" i="6"/>
  <c r="R216" i="6"/>
  <c r="S216" i="6"/>
  <c r="T216" i="6"/>
  <c r="U216" i="6"/>
  <c r="V216" i="6"/>
  <c r="W216" i="6"/>
  <c r="X216" i="6"/>
  <c r="O217" i="6"/>
  <c r="P217" i="6"/>
  <c r="Q217" i="6"/>
  <c r="R217" i="6"/>
  <c r="S217" i="6"/>
  <c r="T217" i="6"/>
  <c r="U217" i="6"/>
  <c r="V217" i="6"/>
  <c r="W217" i="6"/>
  <c r="X217" i="6"/>
  <c r="O218" i="6"/>
  <c r="P218" i="6"/>
  <c r="Q218" i="6"/>
  <c r="R218" i="6"/>
  <c r="S218" i="6"/>
  <c r="T218" i="6"/>
  <c r="U218" i="6"/>
  <c r="V218" i="6"/>
  <c r="W218" i="6"/>
  <c r="X218" i="6"/>
  <c r="O219" i="6"/>
  <c r="P219" i="6"/>
  <c r="Q219" i="6"/>
  <c r="R219" i="6"/>
  <c r="S219" i="6"/>
  <c r="T219" i="6"/>
  <c r="U219" i="6"/>
  <c r="V219" i="6"/>
  <c r="W219" i="6"/>
  <c r="X219" i="6"/>
  <c r="O220" i="6"/>
  <c r="P220" i="6"/>
  <c r="Q220" i="6"/>
  <c r="R220" i="6"/>
  <c r="S220" i="6"/>
  <c r="T220" i="6"/>
  <c r="U220" i="6"/>
  <c r="V220" i="6"/>
  <c r="W220" i="6"/>
  <c r="X220" i="6"/>
  <c r="O221" i="6"/>
  <c r="P221" i="6"/>
  <c r="Q221" i="6"/>
  <c r="R221" i="6"/>
  <c r="S221" i="6"/>
  <c r="T221" i="6"/>
  <c r="U221" i="6"/>
  <c r="V221" i="6"/>
  <c r="W221" i="6"/>
  <c r="X221" i="6"/>
  <c r="O222" i="6"/>
  <c r="P222" i="6"/>
  <c r="Q222" i="6"/>
  <c r="R222" i="6"/>
  <c r="S222" i="6"/>
  <c r="T222" i="6"/>
  <c r="U222" i="6"/>
  <c r="V222" i="6"/>
  <c r="W222" i="6"/>
  <c r="X222" i="6"/>
  <c r="O223" i="6"/>
  <c r="P223" i="6"/>
  <c r="Q223" i="6"/>
  <c r="R223" i="6"/>
  <c r="S223" i="6"/>
  <c r="T223" i="6"/>
  <c r="U223" i="6"/>
  <c r="V223" i="6"/>
  <c r="W223" i="6"/>
  <c r="X223" i="6"/>
  <c r="O224" i="6"/>
  <c r="P224" i="6"/>
  <c r="Q224" i="6"/>
  <c r="R224" i="6"/>
  <c r="S224" i="6"/>
  <c r="T224" i="6"/>
  <c r="U224" i="6"/>
  <c r="V224" i="6"/>
  <c r="W224" i="6"/>
  <c r="X224" i="6"/>
  <c r="O225" i="6"/>
  <c r="P225" i="6"/>
  <c r="Q225" i="6"/>
  <c r="R225" i="6"/>
  <c r="S225" i="6"/>
  <c r="T225" i="6"/>
  <c r="U225" i="6"/>
  <c r="V225" i="6"/>
  <c r="W225" i="6"/>
  <c r="X225" i="6"/>
  <c r="O226" i="6"/>
  <c r="P226" i="6"/>
  <c r="Q226" i="6"/>
  <c r="R226" i="6"/>
  <c r="S226" i="6"/>
  <c r="T226" i="6"/>
  <c r="U226" i="6"/>
  <c r="V226" i="6"/>
  <c r="W226" i="6"/>
  <c r="X226" i="6"/>
  <c r="O227" i="6"/>
  <c r="P227" i="6"/>
  <c r="Q227" i="6"/>
  <c r="R227" i="6"/>
  <c r="S227" i="6"/>
  <c r="T227" i="6"/>
  <c r="U227" i="6"/>
  <c r="V227" i="6"/>
  <c r="W227" i="6"/>
  <c r="X227" i="6"/>
  <c r="O228" i="6"/>
  <c r="P228" i="6"/>
  <c r="Q228" i="6"/>
  <c r="R228" i="6"/>
  <c r="S228" i="6"/>
  <c r="T228" i="6"/>
  <c r="U228" i="6"/>
  <c r="V228" i="6"/>
  <c r="W228" i="6"/>
  <c r="X228" i="6"/>
  <c r="O229" i="6"/>
  <c r="P229" i="6"/>
  <c r="Q229" i="6"/>
  <c r="R229" i="6"/>
  <c r="S229" i="6"/>
  <c r="T229" i="6"/>
  <c r="U229" i="6"/>
  <c r="V229" i="6"/>
  <c r="W229" i="6"/>
  <c r="X229" i="6"/>
  <c r="O230" i="6"/>
  <c r="P230" i="6"/>
  <c r="Q230" i="6"/>
  <c r="R230" i="6"/>
  <c r="S230" i="6"/>
  <c r="T230" i="6"/>
  <c r="U230" i="6"/>
  <c r="V230" i="6"/>
  <c r="W230" i="6"/>
  <c r="X230" i="6"/>
  <c r="O231" i="6"/>
  <c r="P231" i="6"/>
  <c r="Q231" i="6"/>
  <c r="R231" i="6"/>
  <c r="S231" i="6"/>
  <c r="T231" i="6"/>
  <c r="U231" i="6"/>
  <c r="V231" i="6"/>
  <c r="W231" i="6"/>
  <c r="X231" i="6"/>
  <c r="O232" i="6"/>
  <c r="P232" i="6"/>
  <c r="Q232" i="6"/>
  <c r="R232" i="6"/>
  <c r="S232" i="6"/>
  <c r="T232" i="6"/>
  <c r="U232" i="6"/>
  <c r="V232" i="6"/>
  <c r="W232" i="6"/>
  <c r="X232" i="6"/>
  <c r="O233" i="6"/>
  <c r="P233" i="6"/>
  <c r="Q233" i="6"/>
  <c r="R233" i="6"/>
  <c r="S233" i="6"/>
  <c r="T233" i="6"/>
  <c r="U233" i="6"/>
  <c r="V233" i="6"/>
  <c r="W233" i="6"/>
  <c r="X233" i="6"/>
  <c r="O234" i="6"/>
  <c r="P234" i="6"/>
  <c r="Q234" i="6"/>
  <c r="R234" i="6"/>
  <c r="S234" i="6"/>
  <c r="T234" i="6"/>
  <c r="U234" i="6"/>
  <c r="V234" i="6"/>
  <c r="W234" i="6"/>
  <c r="X234" i="6"/>
  <c r="O235" i="6"/>
  <c r="P235" i="6"/>
  <c r="Q235" i="6"/>
  <c r="R235" i="6"/>
  <c r="S235" i="6"/>
  <c r="T235" i="6"/>
  <c r="U235" i="6"/>
  <c r="V235" i="6"/>
  <c r="W235" i="6"/>
  <c r="X235" i="6"/>
  <c r="O236" i="6"/>
  <c r="P236" i="6"/>
  <c r="Q236" i="6"/>
  <c r="R236" i="6"/>
  <c r="S236" i="6"/>
  <c r="T236" i="6"/>
  <c r="U236" i="6"/>
  <c r="V236" i="6"/>
  <c r="W236" i="6"/>
  <c r="X236" i="6"/>
  <c r="O237" i="6"/>
  <c r="P237" i="6"/>
  <c r="Q237" i="6"/>
  <c r="R237" i="6"/>
  <c r="S237" i="6"/>
  <c r="T237" i="6"/>
  <c r="U237" i="6"/>
  <c r="V237" i="6"/>
  <c r="W237" i="6"/>
  <c r="X237" i="6"/>
  <c r="O238" i="6"/>
  <c r="P238" i="6"/>
  <c r="Q238" i="6"/>
  <c r="R238" i="6"/>
  <c r="S238" i="6"/>
  <c r="T238" i="6"/>
  <c r="U238" i="6"/>
  <c r="V238" i="6"/>
  <c r="W238" i="6"/>
  <c r="X238" i="6"/>
  <c r="O239" i="6"/>
  <c r="P239" i="6"/>
  <c r="Q239" i="6"/>
  <c r="R239" i="6"/>
  <c r="S239" i="6"/>
  <c r="T239" i="6"/>
  <c r="U239" i="6"/>
  <c r="V239" i="6"/>
  <c r="W239" i="6"/>
  <c r="X239" i="6"/>
  <c r="O240" i="6"/>
  <c r="P240" i="6"/>
  <c r="Q240" i="6"/>
  <c r="R240" i="6"/>
  <c r="S240" i="6"/>
  <c r="T240" i="6"/>
  <c r="U240" i="6"/>
  <c r="V240" i="6"/>
  <c r="W240" i="6"/>
  <c r="X240" i="6"/>
  <c r="O241" i="6"/>
  <c r="P241" i="6"/>
  <c r="Q241" i="6"/>
  <c r="R241" i="6"/>
  <c r="S241" i="6"/>
  <c r="T241" i="6"/>
  <c r="U241" i="6"/>
  <c r="V241" i="6"/>
  <c r="W241" i="6"/>
  <c r="X241" i="6"/>
  <c r="O242" i="6"/>
  <c r="P242" i="6"/>
  <c r="Q242" i="6"/>
  <c r="R242" i="6"/>
  <c r="S242" i="6"/>
  <c r="T242" i="6"/>
  <c r="U242" i="6"/>
  <c r="V242" i="6"/>
  <c r="W242" i="6"/>
  <c r="X242" i="6"/>
  <c r="O243" i="6"/>
  <c r="P243" i="6"/>
  <c r="Q243" i="6"/>
  <c r="R243" i="6"/>
  <c r="S243" i="6"/>
  <c r="T243" i="6"/>
  <c r="U243" i="6"/>
  <c r="V243" i="6"/>
  <c r="W243" i="6"/>
  <c r="X243" i="6"/>
  <c r="O244" i="6"/>
  <c r="P244" i="6"/>
  <c r="Q244" i="6"/>
  <c r="R244" i="6"/>
  <c r="S244" i="6"/>
  <c r="T244" i="6"/>
  <c r="U244" i="6"/>
  <c r="V244" i="6"/>
  <c r="W244" i="6"/>
  <c r="X244" i="6"/>
  <c r="O245" i="6"/>
  <c r="P245" i="6"/>
  <c r="Q245" i="6"/>
  <c r="R245" i="6"/>
  <c r="S245" i="6"/>
  <c r="T245" i="6"/>
  <c r="U245" i="6"/>
  <c r="V245" i="6"/>
  <c r="W245" i="6"/>
  <c r="X245" i="6"/>
  <c r="O246" i="6"/>
  <c r="P246" i="6"/>
  <c r="Q246" i="6"/>
  <c r="R246" i="6"/>
  <c r="S246" i="6"/>
  <c r="T246" i="6"/>
  <c r="U246" i="6"/>
  <c r="V246" i="6"/>
  <c r="W246" i="6"/>
  <c r="X246" i="6"/>
  <c r="O247" i="6"/>
  <c r="P247" i="6"/>
  <c r="Q247" i="6"/>
  <c r="R247" i="6"/>
  <c r="S247" i="6"/>
  <c r="T247" i="6"/>
  <c r="U247" i="6"/>
  <c r="V247" i="6"/>
  <c r="W247" i="6"/>
  <c r="X247" i="6"/>
  <c r="O248" i="6"/>
  <c r="P248" i="6"/>
  <c r="Q248" i="6"/>
  <c r="R248" i="6"/>
  <c r="S248" i="6"/>
  <c r="T248" i="6"/>
  <c r="U248" i="6"/>
  <c r="V248" i="6"/>
  <c r="W248" i="6"/>
  <c r="X248" i="6"/>
  <c r="O249" i="6"/>
  <c r="P249" i="6"/>
  <c r="Q249" i="6"/>
  <c r="R249" i="6"/>
  <c r="S249" i="6"/>
  <c r="T249" i="6"/>
  <c r="U249" i="6"/>
  <c r="V249" i="6"/>
  <c r="W249" i="6"/>
  <c r="X249" i="6"/>
  <c r="O250" i="6"/>
  <c r="P250" i="6"/>
  <c r="Q250" i="6"/>
  <c r="R250" i="6"/>
  <c r="S250" i="6"/>
  <c r="T250" i="6"/>
  <c r="U250" i="6"/>
  <c r="V250" i="6"/>
  <c r="W250" i="6"/>
  <c r="X250" i="6"/>
  <c r="O251" i="6"/>
  <c r="P251" i="6"/>
  <c r="Q251" i="6"/>
  <c r="R251" i="6"/>
  <c r="S251" i="6"/>
  <c r="T251" i="6"/>
  <c r="U251" i="6"/>
  <c r="V251" i="6"/>
  <c r="W251" i="6"/>
  <c r="X251" i="6"/>
  <c r="O252" i="6"/>
  <c r="P252" i="6"/>
  <c r="Q252" i="6"/>
  <c r="R252" i="6"/>
  <c r="S252" i="6"/>
  <c r="T252" i="6"/>
  <c r="U252" i="6"/>
  <c r="V252" i="6"/>
  <c r="W252" i="6"/>
  <c r="X252" i="6"/>
  <c r="O253" i="6"/>
  <c r="P253" i="6"/>
  <c r="Q253" i="6"/>
  <c r="R253" i="6"/>
  <c r="S253" i="6"/>
  <c r="T253" i="6"/>
  <c r="U253" i="6"/>
  <c r="V253" i="6"/>
  <c r="W253" i="6"/>
  <c r="X253" i="6"/>
  <c r="O254" i="6"/>
  <c r="P254" i="6"/>
  <c r="Q254" i="6"/>
  <c r="R254" i="6"/>
  <c r="S254" i="6"/>
  <c r="T254" i="6"/>
  <c r="U254" i="6"/>
  <c r="V254" i="6"/>
  <c r="W254" i="6"/>
  <c r="X254" i="6"/>
  <c r="O255" i="6"/>
  <c r="P255" i="6"/>
  <c r="Q255" i="6"/>
  <c r="R255" i="6"/>
  <c r="S255" i="6"/>
  <c r="T255" i="6"/>
  <c r="U255" i="6"/>
  <c r="V255" i="6"/>
  <c r="W255" i="6"/>
  <c r="X255" i="6"/>
  <c r="O256" i="6"/>
  <c r="P256" i="6"/>
  <c r="Q256" i="6"/>
  <c r="R256" i="6"/>
  <c r="S256" i="6"/>
  <c r="T256" i="6"/>
  <c r="U256" i="6"/>
  <c r="V256" i="6"/>
  <c r="W256" i="6"/>
  <c r="X256" i="6"/>
  <c r="O257" i="6"/>
  <c r="P257" i="6"/>
  <c r="Q257" i="6"/>
  <c r="R257" i="6"/>
  <c r="S257" i="6"/>
  <c r="T257" i="6"/>
  <c r="U257" i="6"/>
  <c r="V257" i="6"/>
  <c r="W257" i="6"/>
  <c r="X257" i="6"/>
  <c r="O258" i="6"/>
  <c r="P258" i="6"/>
  <c r="Q258" i="6"/>
  <c r="R258" i="6"/>
  <c r="S258" i="6"/>
  <c r="T258" i="6"/>
  <c r="U258" i="6"/>
  <c r="V258" i="6"/>
  <c r="W258" i="6"/>
  <c r="X258" i="6"/>
  <c r="O259" i="6"/>
  <c r="P259" i="6"/>
  <c r="Q259" i="6"/>
  <c r="R259" i="6"/>
  <c r="S259" i="6"/>
  <c r="T259" i="6"/>
  <c r="U259" i="6"/>
  <c r="V259" i="6"/>
  <c r="W259" i="6"/>
  <c r="X259" i="6"/>
  <c r="O260" i="6"/>
  <c r="P260" i="6"/>
  <c r="Q260" i="6"/>
  <c r="R260" i="6"/>
  <c r="S260" i="6"/>
  <c r="T260" i="6"/>
  <c r="U260" i="6"/>
  <c r="V260" i="6"/>
  <c r="W260" i="6"/>
  <c r="X260" i="6"/>
  <c r="O261" i="6"/>
  <c r="P261" i="6"/>
  <c r="Q261" i="6"/>
  <c r="R261" i="6"/>
  <c r="S261" i="6"/>
  <c r="T261" i="6"/>
  <c r="U261" i="6"/>
  <c r="V261" i="6"/>
  <c r="W261" i="6"/>
  <c r="X261" i="6"/>
  <c r="O262" i="6"/>
  <c r="P262" i="6"/>
  <c r="Q262" i="6"/>
  <c r="R262" i="6"/>
  <c r="S262" i="6"/>
  <c r="T262" i="6"/>
  <c r="U262" i="6"/>
  <c r="V262" i="6"/>
  <c r="W262" i="6"/>
  <c r="X262" i="6"/>
  <c r="O263" i="6"/>
  <c r="P263" i="6"/>
  <c r="Q263" i="6"/>
  <c r="R263" i="6"/>
  <c r="S263" i="6"/>
  <c r="T263" i="6"/>
  <c r="U263" i="6"/>
  <c r="V263" i="6"/>
  <c r="W263" i="6"/>
  <c r="X263" i="6"/>
  <c r="O264" i="6"/>
  <c r="P264" i="6"/>
  <c r="Q264" i="6"/>
  <c r="R264" i="6"/>
  <c r="S264" i="6"/>
  <c r="T264" i="6"/>
  <c r="U264" i="6"/>
  <c r="V264" i="6"/>
  <c r="W264" i="6"/>
  <c r="X264" i="6"/>
  <c r="O265" i="6"/>
  <c r="P265" i="6"/>
  <c r="Q265" i="6"/>
  <c r="R265" i="6"/>
  <c r="S265" i="6"/>
  <c r="T265" i="6"/>
  <c r="U265" i="6"/>
  <c r="V265" i="6"/>
  <c r="W265" i="6"/>
  <c r="X265" i="6"/>
  <c r="O266" i="6"/>
  <c r="P266" i="6"/>
  <c r="Q266" i="6"/>
  <c r="R266" i="6"/>
  <c r="S266" i="6"/>
  <c r="T266" i="6"/>
  <c r="U266" i="6"/>
  <c r="V266" i="6"/>
  <c r="W266" i="6"/>
  <c r="X266" i="6"/>
  <c r="O267" i="6"/>
  <c r="P267" i="6"/>
  <c r="Q267" i="6"/>
  <c r="R267" i="6"/>
  <c r="S267" i="6"/>
  <c r="T267" i="6"/>
  <c r="U267" i="6"/>
  <c r="V267" i="6"/>
  <c r="W267" i="6"/>
  <c r="X267" i="6"/>
  <c r="O268" i="6"/>
  <c r="P268" i="6"/>
  <c r="Q268" i="6"/>
  <c r="R268" i="6"/>
  <c r="S268" i="6"/>
  <c r="T268" i="6"/>
  <c r="U268" i="6"/>
  <c r="V268" i="6"/>
  <c r="W268" i="6"/>
  <c r="X268" i="6"/>
  <c r="O269" i="6"/>
  <c r="P269" i="6"/>
  <c r="Q269" i="6"/>
  <c r="R269" i="6"/>
  <c r="S269" i="6"/>
  <c r="T269" i="6"/>
  <c r="U269" i="6"/>
  <c r="V269" i="6"/>
  <c r="W269" i="6"/>
  <c r="X269" i="6"/>
  <c r="O270" i="6"/>
  <c r="P270" i="6"/>
  <c r="Q270" i="6"/>
  <c r="R270" i="6"/>
  <c r="S270" i="6"/>
  <c r="T270" i="6"/>
  <c r="U270" i="6"/>
  <c r="V270" i="6"/>
  <c r="W270" i="6"/>
  <c r="X270" i="6"/>
  <c r="O271" i="6"/>
  <c r="P271" i="6"/>
  <c r="Q271" i="6"/>
  <c r="R271" i="6"/>
  <c r="S271" i="6"/>
  <c r="T271" i="6"/>
  <c r="U271" i="6"/>
  <c r="V271" i="6"/>
  <c r="W271" i="6"/>
  <c r="X271" i="6"/>
  <c r="O272" i="6"/>
  <c r="P272" i="6"/>
  <c r="Q272" i="6"/>
  <c r="R272" i="6"/>
  <c r="S272" i="6"/>
  <c r="T272" i="6"/>
  <c r="U272" i="6"/>
  <c r="V272" i="6"/>
  <c r="W272" i="6"/>
  <c r="X272" i="6"/>
  <c r="O273" i="6"/>
  <c r="P273" i="6"/>
  <c r="Q273" i="6"/>
  <c r="R273" i="6"/>
  <c r="S273" i="6"/>
  <c r="T273" i="6"/>
  <c r="U273" i="6"/>
  <c r="V273" i="6"/>
  <c r="W273" i="6"/>
  <c r="X273" i="6"/>
  <c r="O274" i="6"/>
  <c r="P274" i="6"/>
  <c r="Q274" i="6"/>
  <c r="R274" i="6"/>
  <c r="S274" i="6"/>
  <c r="T274" i="6"/>
  <c r="U274" i="6"/>
  <c r="V274" i="6"/>
  <c r="W274" i="6"/>
  <c r="X274" i="6"/>
  <c r="O275" i="6"/>
  <c r="P275" i="6"/>
  <c r="Q275" i="6"/>
  <c r="R275" i="6"/>
  <c r="S275" i="6"/>
  <c r="T275" i="6"/>
  <c r="U275" i="6"/>
  <c r="V275" i="6"/>
  <c r="W275" i="6"/>
  <c r="X275" i="6"/>
  <c r="O276" i="6"/>
  <c r="P276" i="6"/>
  <c r="Q276" i="6"/>
  <c r="R276" i="6"/>
  <c r="S276" i="6"/>
  <c r="T276" i="6"/>
  <c r="U276" i="6"/>
  <c r="V276" i="6"/>
  <c r="W276" i="6"/>
  <c r="X276" i="6"/>
  <c r="O277" i="6"/>
  <c r="P277" i="6"/>
  <c r="Q277" i="6"/>
  <c r="R277" i="6"/>
  <c r="S277" i="6"/>
  <c r="T277" i="6"/>
  <c r="U277" i="6"/>
  <c r="V277" i="6"/>
  <c r="W277" i="6"/>
  <c r="X277" i="6"/>
  <c r="O278" i="6"/>
  <c r="P278" i="6"/>
  <c r="Q278" i="6"/>
  <c r="R278" i="6"/>
  <c r="S278" i="6"/>
  <c r="T278" i="6"/>
  <c r="U278" i="6"/>
  <c r="V278" i="6"/>
  <c r="W278" i="6"/>
  <c r="X278" i="6"/>
  <c r="O279" i="6"/>
  <c r="P279" i="6"/>
  <c r="Q279" i="6"/>
  <c r="R279" i="6"/>
  <c r="S279" i="6"/>
  <c r="T279" i="6"/>
  <c r="U279" i="6"/>
  <c r="V279" i="6"/>
  <c r="W279" i="6"/>
  <c r="X279" i="6"/>
  <c r="O280" i="6"/>
  <c r="P280" i="6"/>
  <c r="Q280" i="6"/>
  <c r="R280" i="6"/>
  <c r="S280" i="6"/>
  <c r="T280" i="6"/>
  <c r="U280" i="6"/>
  <c r="V280" i="6"/>
  <c r="W280" i="6"/>
  <c r="X280" i="6"/>
  <c r="O281" i="6"/>
  <c r="P281" i="6"/>
  <c r="Q281" i="6"/>
  <c r="R281" i="6"/>
  <c r="S281" i="6"/>
  <c r="T281" i="6"/>
  <c r="U281" i="6"/>
  <c r="V281" i="6"/>
  <c r="W281" i="6"/>
  <c r="X281" i="6"/>
  <c r="O282" i="6"/>
  <c r="P282" i="6"/>
  <c r="Q282" i="6"/>
  <c r="R282" i="6"/>
  <c r="S282" i="6"/>
  <c r="T282" i="6"/>
  <c r="U282" i="6"/>
  <c r="V282" i="6"/>
  <c r="W282" i="6"/>
  <c r="X282" i="6"/>
  <c r="O283" i="6"/>
  <c r="P283" i="6"/>
  <c r="Q283" i="6"/>
  <c r="R283" i="6"/>
  <c r="S283" i="6"/>
  <c r="T283" i="6"/>
  <c r="U283" i="6"/>
  <c r="V283" i="6"/>
  <c r="W283" i="6"/>
  <c r="X283" i="6"/>
  <c r="O284" i="6"/>
  <c r="P284" i="6"/>
  <c r="Q284" i="6"/>
  <c r="R284" i="6"/>
  <c r="S284" i="6"/>
  <c r="T284" i="6"/>
  <c r="U284" i="6"/>
  <c r="V284" i="6"/>
  <c r="W284" i="6"/>
  <c r="X284" i="6"/>
  <c r="O285" i="6"/>
  <c r="P285" i="6"/>
  <c r="Q285" i="6"/>
  <c r="R285" i="6"/>
  <c r="S285" i="6"/>
  <c r="T285" i="6"/>
  <c r="U285" i="6"/>
  <c r="V285" i="6"/>
  <c r="W285" i="6"/>
  <c r="X285" i="6"/>
  <c r="O286" i="6"/>
  <c r="P286" i="6"/>
  <c r="Q286" i="6"/>
  <c r="R286" i="6"/>
  <c r="S286" i="6"/>
  <c r="T286" i="6"/>
  <c r="U286" i="6"/>
  <c r="V286" i="6"/>
  <c r="W286" i="6"/>
  <c r="X286" i="6"/>
  <c r="O287" i="6"/>
  <c r="P287" i="6"/>
  <c r="Q287" i="6"/>
  <c r="R287" i="6"/>
  <c r="S287" i="6"/>
  <c r="T287" i="6"/>
  <c r="U287" i="6"/>
  <c r="V287" i="6"/>
  <c r="W287" i="6"/>
  <c r="X287" i="6"/>
  <c r="O288" i="6"/>
  <c r="P288" i="6"/>
  <c r="Q288" i="6"/>
  <c r="R288" i="6"/>
  <c r="S288" i="6"/>
  <c r="T288" i="6"/>
  <c r="U288" i="6"/>
  <c r="V288" i="6"/>
  <c r="W288" i="6"/>
  <c r="X288" i="6"/>
  <c r="O289" i="6"/>
  <c r="P289" i="6"/>
  <c r="Q289" i="6"/>
  <c r="R289" i="6"/>
  <c r="S289" i="6"/>
  <c r="T289" i="6"/>
  <c r="U289" i="6"/>
  <c r="V289" i="6"/>
  <c r="W289" i="6"/>
  <c r="X289" i="6"/>
  <c r="O290" i="6"/>
  <c r="P290" i="6"/>
  <c r="Q290" i="6"/>
  <c r="R290" i="6"/>
  <c r="S290" i="6"/>
  <c r="T290" i="6"/>
  <c r="U290" i="6"/>
  <c r="V290" i="6"/>
  <c r="W290" i="6"/>
  <c r="X290" i="6"/>
  <c r="O291" i="6"/>
  <c r="P291" i="6"/>
  <c r="Q291" i="6"/>
  <c r="R291" i="6"/>
  <c r="S291" i="6"/>
  <c r="T291" i="6"/>
  <c r="U291" i="6"/>
  <c r="V291" i="6"/>
  <c r="W291" i="6"/>
  <c r="X291" i="6"/>
  <c r="O292" i="6"/>
  <c r="P292" i="6"/>
  <c r="Q292" i="6"/>
  <c r="R292" i="6"/>
  <c r="S292" i="6"/>
  <c r="T292" i="6"/>
  <c r="U292" i="6"/>
  <c r="V292" i="6"/>
  <c r="W292" i="6"/>
  <c r="X292" i="6"/>
  <c r="O293" i="6"/>
  <c r="P293" i="6"/>
  <c r="Q293" i="6"/>
  <c r="R293" i="6"/>
  <c r="S293" i="6"/>
  <c r="T293" i="6"/>
  <c r="U293" i="6"/>
  <c r="V293" i="6"/>
  <c r="W293" i="6"/>
  <c r="X293" i="6"/>
  <c r="O294" i="6"/>
  <c r="P294" i="6"/>
  <c r="Q294" i="6"/>
  <c r="R294" i="6"/>
  <c r="S294" i="6"/>
  <c r="T294" i="6"/>
  <c r="U294" i="6"/>
  <c r="V294" i="6"/>
  <c r="W294" i="6"/>
  <c r="X294" i="6"/>
  <c r="O295" i="6"/>
  <c r="P295" i="6"/>
  <c r="Q295" i="6"/>
  <c r="R295" i="6"/>
  <c r="S295" i="6"/>
  <c r="T295" i="6"/>
  <c r="U295" i="6"/>
  <c r="V295" i="6"/>
  <c r="W295" i="6"/>
  <c r="X295" i="6"/>
  <c r="O296" i="6"/>
  <c r="P296" i="6"/>
  <c r="Q296" i="6"/>
  <c r="R296" i="6"/>
  <c r="S296" i="6"/>
  <c r="T296" i="6"/>
  <c r="U296" i="6"/>
  <c r="V296" i="6"/>
  <c r="W296" i="6"/>
  <c r="X296" i="6"/>
  <c r="O297" i="6"/>
  <c r="P297" i="6"/>
  <c r="Q297" i="6"/>
  <c r="R297" i="6"/>
  <c r="S297" i="6"/>
  <c r="T297" i="6"/>
  <c r="U297" i="6"/>
  <c r="V297" i="6"/>
  <c r="W297" i="6"/>
  <c r="X297" i="6"/>
  <c r="O298" i="6"/>
  <c r="P298" i="6"/>
  <c r="Q298" i="6"/>
  <c r="R298" i="6"/>
  <c r="S298" i="6"/>
  <c r="T298" i="6"/>
  <c r="U298" i="6"/>
  <c r="V298" i="6"/>
  <c r="W298" i="6"/>
  <c r="X298" i="6"/>
  <c r="O299" i="6"/>
  <c r="P299" i="6"/>
  <c r="Q299" i="6"/>
  <c r="R299" i="6"/>
  <c r="S299" i="6"/>
  <c r="T299" i="6"/>
  <c r="U299" i="6"/>
  <c r="V299" i="6"/>
  <c r="W299" i="6"/>
  <c r="X299" i="6"/>
  <c r="O300" i="6"/>
  <c r="P300" i="6"/>
  <c r="Q300" i="6"/>
  <c r="R300" i="6"/>
  <c r="S300" i="6"/>
  <c r="T300" i="6"/>
  <c r="U300" i="6"/>
  <c r="V300" i="6"/>
  <c r="W300" i="6"/>
  <c r="X300" i="6"/>
  <c r="O301" i="6"/>
  <c r="P301" i="6"/>
  <c r="Q301" i="6"/>
  <c r="R301" i="6"/>
  <c r="S301" i="6"/>
  <c r="T301" i="6"/>
  <c r="U301" i="6"/>
  <c r="V301" i="6"/>
  <c r="W301" i="6"/>
  <c r="X301" i="6"/>
  <c r="O302" i="6"/>
  <c r="P302" i="6"/>
  <c r="Q302" i="6"/>
  <c r="R302" i="6"/>
  <c r="S302" i="6"/>
  <c r="T302" i="6"/>
  <c r="U302" i="6"/>
  <c r="V302" i="6"/>
  <c r="W302" i="6"/>
  <c r="X302" i="6"/>
  <c r="O303" i="6"/>
  <c r="P303" i="6"/>
  <c r="Q303" i="6"/>
  <c r="R303" i="6"/>
  <c r="S303" i="6"/>
  <c r="T303" i="6"/>
  <c r="U303" i="6"/>
  <c r="V303" i="6"/>
  <c r="W303" i="6"/>
  <c r="X303" i="6"/>
  <c r="O304" i="6"/>
  <c r="P304" i="6"/>
  <c r="Q304" i="6"/>
  <c r="R304" i="6"/>
  <c r="S304" i="6"/>
  <c r="T304" i="6"/>
  <c r="U304" i="6"/>
  <c r="V304" i="6"/>
  <c r="W304" i="6"/>
  <c r="X304" i="6"/>
  <c r="O305" i="6"/>
  <c r="P305" i="6"/>
  <c r="Q305" i="6"/>
  <c r="R305" i="6"/>
  <c r="S305" i="6"/>
  <c r="T305" i="6"/>
  <c r="U305" i="6"/>
  <c r="V305" i="6"/>
  <c r="W305" i="6"/>
  <c r="X305" i="6"/>
  <c r="O306" i="6"/>
  <c r="P306" i="6"/>
  <c r="Q306" i="6"/>
  <c r="R306" i="6"/>
  <c r="S306" i="6"/>
  <c r="T306" i="6"/>
  <c r="U306" i="6"/>
  <c r="V306" i="6"/>
  <c r="W306" i="6"/>
  <c r="X306" i="6"/>
  <c r="O307" i="6"/>
  <c r="P307" i="6"/>
  <c r="Q307" i="6"/>
  <c r="R307" i="6"/>
  <c r="S307" i="6"/>
  <c r="T307" i="6"/>
  <c r="U307" i="6"/>
  <c r="V307" i="6"/>
  <c r="W307" i="6"/>
  <c r="X307" i="6"/>
  <c r="O308" i="6"/>
  <c r="P308" i="6"/>
  <c r="Q308" i="6"/>
  <c r="R308" i="6"/>
  <c r="S308" i="6"/>
  <c r="T308" i="6"/>
  <c r="U308" i="6"/>
  <c r="V308" i="6"/>
  <c r="W308" i="6"/>
  <c r="X308" i="6"/>
  <c r="O309" i="6"/>
  <c r="P309" i="6"/>
  <c r="Q309" i="6"/>
  <c r="R309" i="6"/>
  <c r="S309" i="6"/>
  <c r="T309" i="6"/>
  <c r="U309" i="6"/>
  <c r="V309" i="6"/>
  <c r="W309" i="6"/>
  <c r="X309" i="6"/>
  <c r="O310" i="6"/>
  <c r="P310" i="6"/>
  <c r="Q310" i="6"/>
  <c r="R310" i="6"/>
  <c r="S310" i="6"/>
  <c r="T310" i="6"/>
  <c r="U310" i="6"/>
  <c r="V310" i="6"/>
  <c r="W310" i="6"/>
  <c r="X310" i="6"/>
  <c r="O311" i="6"/>
  <c r="P311" i="6"/>
  <c r="Q311" i="6"/>
  <c r="R311" i="6"/>
  <c r="S311" i="6"/>
  <c r="T311" i="6"/>
  <c r="U311" i="6"/>
  <c r="V311" i="6"/>
  <c r="W311" i="6"/>
  <c r="X311" i="6"/>
  <c r="O312" i="6"/>
  <c r="P312" i="6"/>
  <c r="Q312" i="6"/>
  <c r="R312" i="6"/>
  <c r="S312" i="6"/>
  <c r="T312" i="6"/>
  <c r="U312" i="6"/>
  <c r="V312" i="6"/>
  <c r="W312" i="6"/>
  <c r="X312" i="6"/>
  <c r="O313" i="6"/>
  <c r="P313" i="6"/>
  <c r="Q313" i="6"/>
  <c r="R313" i="6"/>
  <c r="S313" i="6"/>
  <c r="T313" i="6"/>
  <c r="U313" i="6"/>
  <c r="V313" i="6"/>
  <c r="W313" i="6"/>
  <c r="X313" i="6"/>
  <c r="O314" i="6"/>
  <c r="P314" i="6"/>
  <c r="Q314" i="6"/>
  <c r="R314" i="6"/>
  <c r="S314" i="6"/>
  <c r="T314" i="6"/>
  <c r="U314" i="6"/>
  <c r="V314" i="6"/>
  <c r="W314" i="6"/>
  <c r="X314" i="6"/>
  <c r="O315" i="6"/>
  <c r="P315" i="6"/>
  <c r="Q315" i="6"/>
  <c r="R315" i="6"/>
  <c r="S315" i="6"/>
  <c r="T315" i="6"/>
  <c r="U315" i="6"/>
  <c r="V315" i="6"/>
  <c r="W315" i="6"/>
  <c r="X315" i="6"/>
  <c r="O316" i="6"/>
  <c r="P316" i="6"/>
  <c r="Q316" i="6"/>
  <c r="R316" i="6"/>
  <c r="S316" i="6"/>
  <c r="T316" i="6"/>
  <c r="U316" i="6"/>
  <c r="V316" i="6"/>
  <c r="W316" i="6"/>
  <c r="X316" i="6"/>
  <c r="O317" i="6"/>
  <c r="P317" i="6"/>
  <c r="Q317" i="6"/>
  <c r="R317" i="6"/>
  <c r="S317" i="6"/>
  <c r="T317" i="6"/>
  <c r="U317" i="6"/>
  <c r="V317" i="6"/>
  <c r="W317" i="6"/>
  <c r="X317" i="6"/>
  <c r="O318" i="6"/>
  <c r="P318" i="6"/>
  <c r="Q318" i="6"/>
  <c r="R318" i="6"/>
  <c r="S318" i="6"/>
  <c r="T318" i="6"/>
  <c r="U318" i="6"/>
  <c r="V318" i="6"/>
  <c r="W318" i="6"/>
  <c r="X318" i="6"/>
  <c r="O319" i="6"/>
  <c r="P319" i="6"/>
  <c r="Q319" i="6"/>
  <c r="R319" i="6"/>
  <c r="S319" i="6"/>
  <c r="T319" i="6"/>
  <c r="U319" i="6"/>
  <c r="V319" i="6"/>
  <c r="W319" i="6"/>
  <c r="X319" i="6"/>
  <c r="O320" i="6"/>
  <c r="P320" i="6"/>
  <c r="Q320" i="6"/>
  <c r="R320" i="6"/>
  <c r="S320" i="6"/>
  <c r="T320" i="6"/>
  <c r="U320" i="6"/>
  <c r="V320" i="6"/>
  <c r="W320" i="6"/>
  <c r="X320" i="6"/>
  <c r="O321" i="6"/>
  <c r="P321" i="6"/>
  <c r="Q321" i="6"/>
  <c r="R321" i="6"/>
  <c r="S321" i="6"/>
  <c r="T321" i="6"/>
  <c r="U321" i="6"/>
  <c r="V321" i="6"/>
  <c r="W321" i="6"/>
  <c r="X321" i="6"/>
  <c r="O322" i="6"/>
  <c r="P322" i="6"/>
  <c r="Q322" i="6"/>
  <c r="R322" i="6"/>
  <c r="S322" i="6"/>
  <c r="T322" i="6"/>
  <c r="U322" i="6"/>
  <c r="V322" i="6"/>
  <c r="W322" i="6"/>
  <c r="X322" i="6"/>
  <c r="O323" i="6"/>
  <c r="P323" i="6"/>
  <c r="Q323" i="6"/>
  <c r="R323" i="6"/>
  <c r="S323" i="6"/>
  <c r="T323" i="6"/>
  <c r="U323" i="6"/>
  <c r="V323" i="6"/>
  <c r="W323" i="6"/>
  <c r="X323" i="6"/>
  <c r="O324" i="6"/>
  <c r="P324" i="6"/>
  <c r="Q324" i="6"/>
  <c r="R324" i="6"/>
  <c r="S324" i="6"/>
  <c r="T324" i="6"/>
  <c r="U324" i="6"/>
  <c r="V324" i="6"/>
  <c r="W324" i="6"/>
  <c r="X324" i="6"/>
  <c r="O325" i="6"/>
  <c r="P325" i="6"/>
  <c r="Q325" i="6"/>
  <c r="R325" i="6"/>
  <c r="S325" i="6"/>
  <c r="T325" i="6"/>
  <c r="U325" i="6"/>
  <c r="V325" i="6"/>
  <c r="W325" i="6"/>
  <c r="X325" i="6"/>
  <c r="O326" i="6"/>
  <c r="P326" i="6"/>
  <c r="Q326" i="6"/>
  <c r="R326" i="6"/>
  <c r="S326" i="6"/>
  <c r="T326" i="6"/>
  <c r="U326" i="6"/>
  <c r="V326" i="6"/>
  <c r="W326" i="6"/>
  <c r="X326" i="6"/>
  <c r="O327" i="6"/>
  <c r="P327" i="6"/>
  <c r="Q327" i="6"/>
  <c r="R327" i="6"/>
  <c r="S327" i="6"/>
  <c r="T327" i="6"/>
  <c r="U327" i="6"/>
  <c r="V327" i="6"/>
  <c r="W327" i="6"/>
  <c r="X327" i="6"/>
  <c r="O328" i="6"/>
  <c r="P328" i="6"/>
  <c r="Q328" i="6"/>
  <c r="R328" i="6"/>
  <c r="S328" i="6"/>
  <c r="T328" i="6"/>
  <c r="U328" i="6"/>
  <c r="V328" i="6"/>
  <c r="W328" i="6"/>
  <c r="X328" i="6"/>
  <c r="O329" i="6"/>
  <c r="P329" i="6"/>
  <c r="Q329" i="6"/>
  <c r="R329" i="6"/>
  <c r="S329" i="6"/>
  <c r="T329" i="6"/>
  <c r="U329" i="6"/>
  <c r="V329" i="6"/>
  <c r="W329" i="6"/>
  <c r="X329" i="6"/>
  <c r="O330" i="6"/>
  <c r="P330" i="6"/>
  <c r="Q330" i="6"/>
  <c r="R330" i="6"/>
  <c r="S330" i="6"/>
  <c r="T330" i="6"/>
  <c r="U330" i="6"/>
  <c r="V330" i="6"/>
  <c r="W330" i="6"/>
  <c r="X330" i="6"/>
  <c r="O331" i="6"/>
  <c r="P331" i="6"/>
  <c r="Q331" i="6"/>
  <c r="R331" i="6"/>
  <c r="S331" i="6"/>
  <c r="T331" i="6"/>
  <c r="U331" i="6"/>
  <c r="V331" i="6"/>
  <c r="W331" i="6"/>
  <c r="X331" i="6"/>
  <c r="O332" i="6"/>
  <c r="P332" i="6"/>
  <c r="Q332" i="6"/>
  <c r="R332" i="6"/>
  <c r="S332" i="6"/>
  <c r="T332" i="6"/>
  <c r="U332" i="6"/>
  <c r="V332" i="6"/>
  <c r="W332" i="6"/>
  <c r="X332" i="6"/>
  <c r="O333" i="6"/>
  <c r="P333" i="6"/>
  <c r="Q333" i="6"/>
  <c r="R333" i="6"/>
  <c r="S333" i="6"/>
  <c r="T333" i="6"/>
  <c r="U333" i="6"/>
  <c r="V333" i="6"/>
  <c r="W333" i="6"/>
  <c r="X333" i="6"/>
  <c r="O334" i="6"/>
  <c r="P334" i="6"/>
  <c r="Q334" i="6"/>
  <c r="R334" i="6"/>
  <c r="S334" i="6"/>
  <c r="T334" i="6"/>
  <c r="U334" i="6"/>
  <c r="V334" i="6"/>
  <c r="W334" i="6"/>
  <c r="X334" i="6"/>
  <c r="O335" i="6"/>
  <c r="P335" i="6"/>
  <c r="Q335" i="6"/>
  <c r="R335" i="6"/>
  <c r="S335" i="6"/>
  <c r="T335" i="6"/>
  <c r="U335" i="6"/>
  <c r="V335" i="6"/>
  <c r="W335" i="6"/>
  <c r="X335" i="6"/>
  <c r="O336" i="6"/>
  <c r="P336" i="6"/>
  <c r="Q336" i="6"/>
  <c r="R336" i="6"/>
  <c r="S336" i="6"/>
  <c r="T336" i="6"/>
  <c r="U336" i="6"/>
  <c r="V336" i="6"/>
  <c r="W336" i="6"/>
  <c r="X336" i="6"/>
  <c r="O337" i="6"/>
  <c r="P337" i="6"/>
  <c r="Q337" i="6"/>
  <c r="R337" i="6"/>
  <c r="S337" i="6"/>
  <c r="T337" i="6"/>
  <c r="U337" i="6"/>
  <c r="V337" i="6"/>
  <c r="W337" i="6"/>
  <c r="X337" i="6"/>
  <c r="O338" i="6"/>
  <c r="P338" i="6"/>
  <c r="Q338" i="6"/>
  <c r="R338" i="6"/>
  <c r="S338" i="6"/>
  <c r="T338" i="6"/>
  <c r="U338" i="6"/>
  <c r="V338" i="6"/>
  <c r="W338" i="6"/>
  <c r="X338" i="6"/>
  <c r="O339" i="6"/>
  <c r="P339" i="6"/>
  <c r="Q339" i="6"/>
  <c r="R339" i="6"/>
  <c r="S339" i="6"/>
  <c r="T339" i="6"/>
  <c r="U339" i="6"/>
  <c r="V339" i="6"/>
  <c r="W339" i="6"/>
  <c r="X339" i="6"/>
  <c r="O340" i="6"/>
  <c r="P340" i="6"/>
  <c r="Q340" i="6"/>
  <c r="R340" i="6"/>
  <c r="S340" i="6"/>
  <c r="T340" i="6"/>
  <c r="U340" i="6"/>
  <c r="V340" i="6"/>
  <c r="W340" i="6"/>
  <c r="X340" i="6"/>
  <c r="O341" i="6"/>
  <c r="P341" i="6"/>
  <c r="Q341" i="6"/>
  <c r="R341" i="6"/>
  <c r="S341" i="6"/>
  <c r="T341" i="6"/>
  <c r="U341" i="6"/>
  <c r="V341" i="6"/>
  <c r="W341" i="6"/>
  <c r="X341" i="6"/>
  <c r="O342" i="6"/>
  <c r="P342" i="6"/>
  <c r="Q342" i="6"/>
  <c r="R342" i="6"/>
  <c r="S342" i="6"/>
  <c r="T342" i="6"/>
  <c r="U342" i="6"/>
  <c r="V342" i="6"/>
  <c r="W342" i="6"/>
  <c r="X342" i="6"/>
  <c r="O343" i="6"/>
  <c r="P343" i="6"/>
  <c r="Q343" i="6"/>
  <c r="R343" i="6"/>
  <c r="S343" i="6"/>
  <c r="T343" i="6"/>
  <c r="U343" i="6"/>
  <c r="V343" i="6"/>
  <c r="W343" i="6"/>
  <c r="X343" i="6"/>
  <c r="O344" i="6"/>
  <c r="P344" i="6"/>
  <c r="Q344" i="6"/>
  <c r="R344" i="6"/>
  <c r="S344" i="6"/>
  <c r="T344" i="6"/>
  <c r="U344" i="6"/>
  <c r="V344" i="6"/>
  <c r="W344" i="6"/>
  <c r="X344" i="6"/>
  <c r="O345" i="6"/>
  <c r="P345" i="6"/>
  <c r="Q345" i="6"/>
  <c r="R345" i="6"/>
  <c r="S345" i="6"/>
  <c r="T345" i="6"/>
  <c r="U345" i="6"/>
  <c r="V345" i="6"/>
  <c r="W345" i="6"/>
  <c r="X345" i="6"/>
  <c r="O346" i="6"/>
  <c r="P346" i="6"/>
  <c r="Q346" i="6"/>
  <c r="R346" i="6"/>
  <c r="S346" i="6"/>
  <c r="T346" i="6"/>
  <c r="U346" i="6"/>
  <c r="V346" i="6"/>
  <c r="W346" i="6"/>
  <c r="X346" i="6"/>
  <c r="O347" i="6"/>
  <c r="P347" i="6"/>
  <c r="Q347" i="6"/>
  <c r="R347" i="6"/>
  <c r="S347" i="6"/>
  <c r="T347" i="6"/>
  <c r="U347" i="6"/>
  <c r="V347" i="6"/>
  <c r="W347" i="6"/>
  <c r="X347" i="6"/>
  <c r="O348" i="6"/>
  <c r="P348" i="6"/>
  <c r="Q348" i="6"/>
  <c r="R348" i="6"/>
  <c r="S348" i="6"/>
  <c r="T348" i="6"/>
  <c r="U348" i="6"/>
  <c r="V348" i="6"/>
  <c r="W348" i="6"/>
  <c r="X348" i="6"/>
  <c r="O349" i="6"/>
  <c r="P349" i="6"/>
  <c r="Q349" i="6"/>
  <c r="R349" i="6"/>
  <c r="S349" i="6"/>
  <c r="T349" i="6"/>
  <c r="U349" i="6"/>
  <c r="V349" i="6"/>
  <c r="W349" i="6"/>
  <c r="X349" i="6"/>
  <c r="O350" i="6"/>
  <c r="P350" i="6"/>
  <c r="Q350" i="6"/>
  <c r="R350" i="6"/>
  <c r="S350" i="6"/>
  <c r="T350" i="6"/>
  <c r="U350" i="6"/>
  <c r="V350" i="6"/>
  <c r="W350" i="6"/>
  <c r="X350" i="6"/>
  <c r="O351" i="6"/>
  <c r="P351" i="6"/>
  <c r="Q351" i="6"/>
  <c r="R351" i="6"/>
  <c r="S351" i="6"/>
  <c r="T351" i="6"/>
  <c r="U351" i="6"/>
  <c r="V351" i="6"/>
  <c r="W351" i="6"/>
  <c r="X351" i="6"/>
  <c r="O352" i="6"/>
  <c r="P352" i="6"/>
  <c r="Q352" i="6"/>
  <c r="R352" i="6"/>
  <c r="S352" i="6"/>
  <c r="T352" i="6"/>
  <c r="U352" i="6"/>
  <c r="V352" i="6"/>
  <c r="W352" i="6"/>
  <c r="X352" i="6"/>
  <c r="O353" i="6"/>
  <c r="P353" i="6"/>
  <c r="Q353" i="6"/>
  <c r="R353" i="6"/>
  <c r="S353" i="6"/>
  <c r="T353" i="6"/>
  <c r="U353" i="6"/>
  <c r="V353" i="6"/>
  <c r="W353" i="6"/>
  <c r="X353" i="6"/>
  <c r="O354" i="6"/>
  <c r="P354" i="6"/>
  <c r="Q354" i="6"/>
  <c r="R354" i="6"/>
  <c r="S354" i="6"/>
  <c r="T354" i="6"/>
  <c r="U354" i="6"/>
  <c r="V354" i="6"/>
  <c r="W354" i="6"/>
  <c r="X354" i="6"/>
  <c r="O355" i="6"/>
  <c r="P355" i="6"/>
  <c r="Q355" i="6"/>
  <c r="R355" i="6"/>
  <c r="S355" i="6"/>
  <c r="T355" i="6"/>
  <c r="U355" i="6"/>
  <c r="V355" i="6"/>
  <c r="W355" i="6"/>
  <c r="X355" i="6"/>
  <c r="O356" i="6"/>
  <c r="P356" i="6"/>
  <c r="Q356" i="6"/>
  <c r="R356" i="6"/>
  <c r="S356" i="6"/>
  <c r="T356" i="6"/>
  <c r="U356" i="6"/>
  <c r="V356" i="6"/>
  <c r="W356" i="6"/>
  <c r="X356" i="6"/>
  <c r="O357" i="6"/>
  <c r="P357" i="6"/>
  <c r="Q357" i="6"/>
  <c r="R357" i="6"/>
  <c r="S357" i="6"/>
  <c r="T357" i="6"/>
  <c r="U357" i="6"/>
  <c r="V357" i="6"/>
  <c r="W357" i="6"/>
  <c r="X357" i="6"/>
  <c r="O358" i="6"/>
  <c r="P358" i="6"/>
  <c r="Q358" i="6"/>
  <c r="R358" i="6"/>
  <c r="S358" i="6"/>
  <c r="T358" i="6"/>
  <c r="U358" i="6"/>
  <c r="V358" i="6"/>
  <c r="W358" i="6"/>
  <c r="X358" i="6"/>
  <c r="O359" i="6"/>
  <c r="P359" i="6"/>
  <c r="Q359" i="6"/>
  <c r="R359" i="6"/>
  <c r="S359" i="6"/>
  <c r="T359" i="6"/>
  <c r="U359" i="6"/>
  <c r="V359" i="6"/>
  <c r="W359" i="6"/>
  <c r="X359" i="6"/>
  <c r="O360" i="6"/>
  <c r="P360" i="6"/>
  <c r="Q360" i="6"/>
  <c r="R360" i="6"/>
  <c r="S360" i="6"/>
  <c r="T360" i="6"/>
  <c r="U360" i="6"/>
  <c r="V360" i="6"/>
  <c r="W360" i="6"/>
  <c r="X360" i="6"/>
  <c r="O361" i="6"/>
  <c r="P361" i="6"/>
  <c r="Q361" i="6"/>
  <c r="R361" i="6"/>
  <c r="S361" i="6"/>
  <c r="T361" i="6"/>
  <c r="U361" i="6"/>
  <c r="V361" i="6"/>
  <c r="W361" i="6"/>
  <c r="X361" i="6"/>
  <c r="O362" i="6"/>
  <c r="P362" i="6"/>
  <c r="Q362" i="6"/>
  <c r="R362" i="6"/>
  <c r="S362" i="6"/>
  <c r="T362" i="6"/>
  <c r="U362" i="6"/>
  <c r="V362" i="6"/>
  <c r="W362" i="6"/>
  <c r="X362" i="6"/>
  <c r="O363" i="6"/>
  <c r="P363" i="6"/>
  <c r="Q363" i="6"/>
  <c r="R363" i="6"/>
  <c r="S363" i="6"/>
  <c r="T363" i="6"/>
  <c r="U363" i="6"/>
  <c r="V363" i="6"/>
  <c r="W363" i="6"/>
  <c r="X363" i="6"/>
  <c r="O364" i="6"/>
  <c r="P364" i="6"/>
  <c r="Q364" i="6"/>
  <c r="R364" i="6"/>
  <c r="S364" i="6"/>
  <c r="T364" i="6"/>
  <c r="U364" i="6"/>
  <c r="V364" i="6"/>
  <c r="W364" i="6"/>
  <c r="X364" i="6"/>
  <c r="O365" i="6"/>
  <c r="P365" i="6"/>
  <c r="Q365" i="6"/>
  <c r="R365" i="6"/>
  <c r="S365" i="6"/>
  <c r="T365" i="6"/>
  <c r="U365" i="6"/>
  <c r="V365" i="6"/>
  <c r="W365" i="6"/>
  <c r="X365" i="6"/>
  <c r="O366" i="6"/>
  <c r="P366" i="6"/>
  <c r="Q366" i="6"/>
  <c r="R366" i="6"/>
  <c r="S366" i="6"/>
  <c r="T366" i="6"/>
  <c r="U366" i="6"/>
  <c r="V366" i="6"/>
  <c r="W366" i="6"/>
  <c r="X366" i="6"/>
  <c r="O367" i="6"/>
  <c r="P367" i="6"/>
  <c r="Q367" i="6"/>
  <c r="R367" i="6"/>
  <c r="S367" i="6"/>
  <c r="T367" i="6"/>
  <c r="U367" i="6"/>
  <c r="V367" i="6"/>
  <c r="W367" i="6"/>
  <c r="X367" i="6"/>
  <c r="O368" i="6"/>
  <c r="P368" i="6"/>
  <c r="Q368" i="6"/>
  <c r="R368" i="6"/>
  <c r="S368" i="6"/>
  <c r="T368" i="6"/>
  <c r="U368" i="6"/>
  <c r="V368" i="6"/>
  <c r="W368" i="6"/>
  <c r="X368" i="6"/>
  <c r="O369" i="6"/>
  <c r="P369" i="6"/>
  <c r="Q369" i="6"/>
  <c r="R369" i="6"/>
  <c r="S369" i="6"/>
  <c r="T369" i="6"/>
  <c r="U369" i="6"/>
  <c r="V369" i="6"/>
  <c r="W369" i="6"/>
  <c r="X369" i="6"/>
  <c r="O370" i="6"/>
  <c r="P370" i="6"/>
  <c r="Q370" i="6"/>
  <c r="R370" i="6"/>
  <c r="S370" i="6"/>
  <c r="T370" i="6"/>
  <c r="U370" i="6"/>
  <c r="V370" i="6"/>
  <c r="W370" i="6"/>
  <c r="X370" i="6"/>
  <c r="O371" i="6"/>
  <c r="P371" i="6"/>
  <c r="Q371" i="6"/>
  <c r="R371" i="6"/>
  <c r="S371" i="6"/>
  <c r="T371" i="6"/>
  <c r="U371" i="6"/>
  <c r="V371" i="6"/>
  <c r="W371" i="6"/>
  <c r="X371" i="6"/>
  <c r="O372" i="6"/>
  <c r="P372" i="6"/>
  <c r="Q372" i="6"/>
  <c r="R372" i="6"/>
  <c r="S372" i="6"/>
  <c r="T372" i="6"/>
  <c r="U372" i="6"/>
  <c r="V372" i="6"/>
  <c r="W372" i="6"/>
  <c r="X372" i="6"/>
  <c r="O373" i="6"/>
  <c r="P373" i="6"/>
  <c r="Q373" i="6"/>
  <c r="R373" i="6"/>
  <c r="S373" i="6"/>
  <c r="T373" i="6"/>
  <c r="U373" i="6"/>
  <c r="V373" i="6"/>
  <c r="W373" i="6"/>
  <c r="X373" i="6"/>
  <c r="O374" i="6"/>
  <c r="P374" i="6"/>
  <c r="Q374" i="6"/>
  <c r="R374" i="6"/>
  <c r="S374" i="6"/>
  <c r="T374" i="6"/>
  <c r="U374" i="6"/>
  <c r="V374" i="6"/>
  <c r="W374" i="6"/>
  <c r="X374" i="6"/>
  <c r="O375" i="6"/>
  <c r="P375" i="6"/>
  <c r="Q375" i="6"/>
  <c r="R375" i="6"/>
  <c r="S375" i="6"/>
  <c r="T375" i="6"/>
  <c r="U375" i="6"/>
  <c r="V375" i="6"/>
  <c r="W375" i="6"/>
  <c r="X375" i="6"/>
  <c r="O376" i="6"/>
  <c r="P376" i="6"/>
  <c r="Q376" i="6"/>
  <c r="R376" i="6"/>
  <c r="S376" i="6"/>
  <c r="T376" i="6"/>
  <c r="U376" i="6"/>
  <c r="V376" i="6"/>
  <c r="W376" i="6"/>
  <c r="X376" i="6"/>
  <c r="O377" i="6"/>
  <c r="P377" i="6"/>
  <c r="Q377" i="6"/>
  <c r="R377" i="6"/>
  <c r="S377" i="6"/>
  <c r="T377" i="6"/>
  <c r="U377" i="6"/>
  <c r="V377" i="6"/>
  <c r="W377" i="6"/>
  <c r="X377" i="6"/>
  <c r="O378" i="6"/>
  <c r="P378" i="6"/>
  <c r="Q378" i="6"/>
  <c r="R378" i="6"/>
  <c r="S378" i="6"/>
  <c r="T378" i="6"/>
  <c r="U378" i="6"/>
  <c r="V378" i="6"/>
  <c r="W378" i="6"/>
  <c r="X378" i="6"/>
  <c r="O379" i="6"/>
  <c r="P379" i="6"/>
  <c r="Q379" i="6"/>
  <c r="R379" i="6"/>
  <c r="S379" i="6"/>
  <c r="T379" i="6"/>
  <c r="U379" i="6"/>
  <c r="V379" i="6"/>
  <c r="W379" i="6"/>
  <c r="X379" i="6"/>
  <c r="O380" i="6"/>
  <c r="P380" i="6"/>
  <c r="Q380" i="6"/>
  <c r="R380" i="6"/>
  <c r="S380" i="6"/>
  <c r="T380" i="6"/>
  <c r="U380" i="6"/>
  <c r="V380" i="6"/>
  <c r="W380" i="6"/>
  <c r="X380" i="6"/>
  <c r="O381" i="6"/>
  <c r="P381" i="6"/>
  <c r="Q381" i="6"/>
  <c r="R381" i="6"/>
  <c r="S381" i="6"/>
  <c r="T381" i="6"/>
  <c r="U381" i="6"/>
  <c r="V381" i="6"/>
  <c r="W381" i="6"/>
  <c r="X381" i="6"/>
  <c r="O382" i="6"/>
  <c r="P382" i="6"/>
  <c r="Q382" i="6"/>
  <c r="R382" i="6"/>
  <c r="S382" i="6"/>
  <c r="T382" i="6"/>
  <c r="U382" i="6"/>
  <c r="V382" i="6"/>
  <c r="W382" i="6"/>
  <c r="X382" i="6"/>
  <c r="O383" i="6"/>
  <c r="P383" i="6"/>
  <c r="Q383" i="6"/>
  <c r="R383" i="6"/>
  <c r="S383" i="6"/>
  <c r="T383" i="6"/>
  <c r="U383" i="6"/>
  <c r="V383" i="6"/>
  <c r="W383" i="6"/>
  <c r="X383" i="6"/>
  <c r="O384" i="6"/>
  <c r="P384" i="6"/>
  <c r="Q384" i="6"/>
  <c r="R384" i="6"/>
  <c r="S384" i="6"/>
  <c r="T384" i="6"/>
  <c r="U384" i="6"/>
  <c r="V384" i="6"/>
  <c r="W384" i="6"/>
  <c r="X384" i="6"/>
  <c r="O385" i="6"/>
  <c r="P385" i="6"/>
  <c r="Q385" i="6"/>
  <c r="R385" i="6"/>
  <c r="S385" i="6"/>
  <c r="T385" i="6"/>
  <c r="U385" i="6"/>
  <c r="V385" i="6"/>
  <c r="W385" i="6"/>
  <c r="X385" i="6"/>
  <c r="O386" i="6"/>
  <c r="P386" i="6"/>
  <c r="Q386" i="6"/>
  <c r="R386" i="6"/>
  <c r="S386" i="6"/>
  <c r="T386" i="6"/>
  <c r="U386" i="6"/>
  <c r="V386" i="6"/>
  <c r="W386" i="6"/>
  <c r="X386" i="6"/>
  <c r="O387" i="6"/>
  <c r="P387" i="6"/>
  <c r="Q387" i="6"/>
  <c r="R387" i="6"/>
  <c r="S387" i="6"/>
  <c r="T387" i="6"/>
  <c r="U387" i="6"/>
  <c r="V387" i="6"/>
  <c r="W387" i="6"/>
  <c r="X387" i="6"/>
  <c r="O388" i="6"/>
  <c r="P388" i="6"/>
  <c r="Q388" i="6"/>
  <c r="R388" i="6"/>
  <c r="S388" i="6"/>
  <c r="T388" i="6"/>
  <c r="U388" i="6"/>
  <c r="V388" i="6"/>
  <c r="W388" i="6"/>
  <c r="X388" i="6"/>
  <c r="O389" i="6"/>
  <c r="P389" i="6"/>
  <c r="Q389" i="6"/>
  <c r="R389" i="6"/>
  <c r="S389" i="6"/>
  <c r="T389" i="6"/>
  <c r="U389" i="6"/>
  <c r="V389" i="6"/>
  <c r="W389" i="6"/>
  <c r="X389" i="6"/>
  <c r="O390" i="6"/>
  <c r="P390" i="6"/>
  <c r="Q390" i="6"/>
  <c r="R390" i="6"/>
  <c r="S390" i="6"/>
  <c r="T390" i="6"/>
  <c r="U390" i="6"/>
  <c r="V390" i="6"/>
  <c r="W390" i="6"/>
  <c r="X390" i="6"/>
  <c r="O391" i="6"/>
  <c r="P391" i="6"/>
  <c r="Q391" i="6"/>
  <c r="R391" i="6"/>
  <c r="S391" i="6"/>
  <c r="T391" i="6"/>
  <c r="U391" i="6"/>
  <c r="V391" i="6"/>
  <c r="W391" i="6"/>
  <c r="X391" i="6"/>
  <c r="O392" i="6"/>
  <c r="P392" i="6"/>
  <c r="Q392" i="6"/>
  <c r="R392" i="6"/>
  <c r="S392" i="6"/>
  <c r="T392" i="6"/>
  <c r="U392" i="6"/>
  <c r="V392" i="6"/>
  <c r="W392" i="6"/>
  <c r="X392" i="6"/>
  <c r="O393" i="6"/>
  <c r="P393" i="6"/>
  <c r="Q393" i="6"/>
  <c r="R393" i="6"/>
  <c r="S393" i="6"/>
  <c r="T393" i="6"/>
  <c r="U393" i="6"/>
  <c r="V393" i="6"/>
  <c r="W393" i="6"/>
  <c r="X393" i="6"/>
  <c r="O394" i="6"/>
  <c r="P394" i="6"/>
  <c r="Q394" i="6"/>
  <c r="R394" i="6"/>
  <c r="S394" i="6"/>
  <c r="T394" i="6"/>
  <c r="U394" i="6"/>
  <c r="V394" i="6"/>
  <c r="W394" i="6"/>
  <c r="X394" i="6"/>
  <c r="O395" i="6"/>
  <c r="P395" i="6"/>
  <c r="Q395" i="6"/>
  <c r="R395" i="6"/>
  <c r="S395" i="6"/>
  <c r="T395" i="6"/>
  <c r="U395" i="6"/>
  <c r="V395" i="6"/>
  <c r="W395" i="6"/>
  <c r="X395" i="6"/>
  <c r="O396" i="6"/>
  <c r="P396" i="6"/>
  <c r="Q396" i="6"/>
  <c r="R396" i="6"/>
  <c r="S396" i="6"/>
  <c r="T396" i="6"/>
  <c r="U396" i="6"/>
  <c r="V396" i="6"/>
  <c r="W396" i="6"/>
  <c r="X396" i="6"/>
  <c r="O397" i="6"/>
  <c r="P397" i="6"/>
  <c r="Q397" i="6"/>
  <c r="R397" i="6"/>
  <c r="S397" i="6"/>
  <c r="T397" i="6"/>
  <c r="U397" i="6"/>
  <c r="V397" i="6"/>
  <c r="W397" i="6"/>
  <c r="X397" i="6"/>
  <c r="O398" i="6"/>
  <c r="P398" i="6"/>
  <c r="Q398" i="6"/>
  <c r="R398" i="6"/>
  <c r="S398" i="6"/>
  <c r="T398" i="6"/>
  <c r="U398" i="6"/>
  <c r="V398" i="6"/>
  <c r="W398" i="6"/>
  <c r="X398" i="6"/>
  <c r="O399" i="6"/>
  <c r="P399" i="6"/>
  <c r="Q399" i="6"/>
  <c r="R399" i="6"/>
  <c r="S399" i="6"/>
  <c r="T399" i="6"/>
  <c r="U399" i="6"/>
  <c r="V399" i="6"/>
  <c r="W399" i="6"/>
  <c r="X399" i="6"/>
  <c r="O400" i="6"/>
  <c r="P400" i="6"/>
  <c r="Q400" i="6"/>
  <c r="R400" i="6"/>
  <c r="S400" i="6"/>
  <c r="T400" i="6"/>
  <c r="U400" i="6"/>
  <c r="V400" i="6"/>
  <c r="W400" i="6"/>
  <c r="X400" i="6"/>
  <c r="O401" i="6"/>
  <c r="P401" i="6"/>
  <c r="Q401" i="6"/>
  <c r="R401" i="6"/>
  <c r="S401" i="6"/>
  <c r="T401" i="6"/>
  <c r="U401" i="6"/>
  <c r="V401" i="6"/>
  <c r="W401" i="6"/>
  <c r="X401" i="6"/>
  <c r="O402" i="6"/>
  <c r="P402" i="6"/>
  <c r="Q402" i="6"/>
  <c r="R402" i="6"/>
  <c r="S402" i="6"/>
  <c r="T402" i="6"/>
  <c r="U402" i="6"/>
  <c r="V402" i="6"/>
  <c r="W402" i="6"/>
  <c r="X402" i="6"/>
  <c r="O403" i="6"/>
  <c r="P403" i="6"/>
  <c r="Q403" i="6"/>
  <c r="R403" i="6"/>
  <c r="S403" i="6"/>
  <c r="T403" i="6"/>
  <c r="U403" i="6"/>
  <c r="V403" i="6"/>
  <c r="W403" i="6"/>
  <c r="X403" i="6"/>
  <c r="O404" i="6"/>
  <c r="P404" i="6"/>
  <c r="Q404" i="6"/>
  <c r="R404" i="6"/>
  <c r="S404" i="6"/>
  <c r="T404" i="6"/>
  <c r="U404" i="6"/>
  <c r="V404" i="6"/>
  <c r="W404" i="6"/>
  <c r="X404" i="6"/>
  <c r="O405" i="6"/>
  <c r="P405" i="6"/>
  <c r="Q405" i="6"/>
  <c r="R405" i="6"/>
  <c r="S405" i="6"/>
  <c r="T405" i="6"/>
  <c r="U405" i="6"/>
  <c r="V405" i="6"/>
  <c r="W405" i="6"/>
  <c r="X405" i="6"/>
  <c r="O406" i="6"/>
  <c r="P406" i="6"/>
  <c r="Q406" i="6"/>
  <c r="R406" i="6"/>
  <c r="S406" i="6"/>
  <c r="T406" i="6"/>
  <c r="U406" i="6"/>
  <c r="V406" i="6"/>
  <c r="W406" i="6"/>
  <c r="X406" i="6"/>
  <c r="O407" i="6"/>
  <c r="P407" i="6"/>
  <c r="Q407" i="6"/>
  <c r="R407" i="6"/>
  <c r="S407" i="6"/>
  <c r="T407" i="6"/>
  <c r="U407" i="6"/>
  <c r="V407" i="6"/>
  <c r="W407" i="6"/>
  <c r="X407" i="6"/>
  <c r="O408" i="6"/>
  <c r="P408" i="6"/>
  <c r="Q408" i="6"/>
  <c r="R408" i="6"/>
  <c r="S408" i="6"/>
  <c r="T408" i="6"/>
  <c r="U408" i="6"/>
  <c r="V408" i="6"/>
  <c r="W408" i="6"/>
  <c r="X408" i="6"/>
  <c r="O409" i="6"/>
  <c r="P409" i="6"/>
  <c r="Q409" i="6"/>
  <c r="R409" i="6"/>
  <c r="S409" i="6"/>
  <c r="T409" i="6"/>
  <c r="U409" i="6"/>
  <c r="V409" i="6"/>
  <c r="W409" i="6"/>
  <c r="X409" i="6"/>
  <c r="O410" i="6"/>
  <c r="P410" i="6"/>
  <c r="Q410" i="6"/>
  <c r="R410" i="6"/>
  <c r="S410" i="6"/>
  <c r="T410" i="6"/>
  <c r="U410" i="6"/>
  <c r="V410" i="6"/>
  <c r="W410" i="6"/>
  <c r="X410" i="6"/>
  <c r="O411" i="6"/>
  <c r="P411" i="6"/>
  <c r="Q411" i="6"/>
  <c r="R411" i="6"/>
  <c r="S411" i="6"/>
  <c r="T411" i="6"/>
  <c r="U411" i="6"/>
  <c r="V411" i="6"/>
  <c r="W411" i="6"/>
  <c r="X411" i="6"/>
  <c r="O412" i="6"/>
  <c r="P412" i="6"/>
  <c r="Q412" i="6"/>
  <c r="R412" i="6"/>
  <c r="S412" i="6"/>
  <c r="T412" i="6"/>
  <c r="U412" i="6"/>
  <c r="V412" i="6"/>
  <c r="W412" i="6"/>
  <c r="X412" i="6"/>
  <c r="O413" i="6"/>
  <c r="P413" i="6"/>
  <c r="Q413" i="6"/>
  <c r="R413" i="6"/>
  <c r="S413" i="6"/>
  <c r="T413" i="6"/>
  <c r="U413" i="6"/>
  <c r="V413" i="6"/>
  <c r="W413" i="6"/>
  <c r="X413" i="6"/>
  <c r="O414" i="6"/>
  <c r="P414" i="6"/>
  <c r="Q414" i="6"/>
  <c r="R414" i="6"/>
  <c r="S414" i="6"/>
  <c r="T414" i="6"/>
  <c r="U414" i="6"/>
  <c r="V414" i="6"/>
  <c r="W414" i="6"/>
  <c r="X414" i="6"/>
  <c r="O415" i="6"/>
  <c r="P415" i="6"/>
  <c r="Q415" i="6"/>
  <c r="R415" i="6"/>
  <c r="S415" i="6"/>
  <c r="T415" i="6"/>
  <c r="U415" i="6"/>
  <c r="V415" i="6"/>
  <c r="W415" i="6"/>
  <c r="X415" i="6"/>
  <c r="O416" i="6"/>
  <c r="P416" i="6"/>
  <c r="Q416" i="6"/>
  <c r="R416" i="6"/>
  <c r="S416" i="6"/>
  <c r="T416" i="6"/>
  <c r="U416" i="6"/>
  <c r="V416" i="6"/>
  <c r="W416" i="6"/>
  <c r="X416" i="6"/>
  <c r="O417" i="6"/>
  <c r="P417" i="6"/>
  <c r="Q417" i="6"/>
  <c r="R417" i="6"/>
  <c r="S417" i="6"/>
  <c r="T417" i="6"/>
  <c r="U417" i="6"/>
  <c r="V417" i="6"/>
  <c r="W417" i="6"/>
  <c r="X417" i="6"/>
  <c r="O418" i="6"/>
  <c r="P418" i="6"/>
  <c r="Q418" i="6"/>
  <c r="R418" i="6"/>
  <c r="S418" i="6"/>
  <c r="T418" i="6"/>
  <c r="U418" i="6"/>
  <c r="V418" i="6"/>
  <c r="W418" i="6"/>
  <c r="X418" i="6"/>
  <c r="O419" i="6"/>
  <c r="P419" i="6"/>
  <c r="Q419" i="6"/>
  <c r="R419" i="6"/>
  <c r="S419" i="6"/>
  <c r="T419" i="6"/>
  <c r="U419" i="6"/>
  <c r="V419" i="6"/>
  <c r="W419" i="6"/>
  <c r="X419" i="6"/>
  <c r="O420" i="6"/>
  <c r="P420" i="6"/>
  <c r="Q420" i="6"/>
  <c r="R420" i="6"/>
  <c r="S420" i="6"/>
  <c r="T420" i="6"/>
  <c r="U420" i="6"/>
  <c r="V420" i="6"/>
  <c r="W420" i="6"/>
  <c r="X420" i="6"/>
  <c r="O421" i="6"/>
  <c r="P421" i="6"/>
  <c r="Q421" i="6"/>
  <c r="R421" i="6"/>
  <c r="S421" i="6"/>
  <c r="T421" i="6"/>
  <c r="U421" i="6"/>
  <c r="V421" i="6"/>
  <c r="W421" i="6"/>
  <c r="X421" i="6"/>
  <c r="O422" i="6"/>
  <c r="P422" i="6"/>
  <c r="Q422" i="6"/>
  <c r="R422" i="6"/>
  <c r="S422" i="6"/>
  <c r="T422" i="6"/>
  <c r="U422" i="6"/>
  <c r="V422" i="6"/>
  <c r="W422" i="6"/>
  <c r="X422" i="6"/>
  <c r="O423" i="6"/>
  <c r="P423" i="6"/>
  <c r="Q423" i="6"/>
  <c r="R423" i="6"/>
  <c r="S423" i="6"/>
  <c r="T423" i="6"/>
  <c r="U423" i="6"/>
  <c r="V423" i="6"/>
  <c r="W423" i="6"/>
  <c r="X423" i="6"/>
  <c r="O424" i="6"/>
  <c r="P424" i="6"/>
  <c r="Q424" i="6"/>
  <c r="R424" i="6"/>
  <c r="S424" i="6"/>
  <c r="T424" i="6"/>
  <c r="U424" i="6"/>
  <c r="V424" i="6"/>
  <c r="W424" i="6"/>
  <c r="X424" i="6"/>
  <c r="O425" i="6"/>
  <c r="P425" i="6"/>
  <c r="Q425" i="6"/>
  <c r="R425" i="6"/>
  <c r="S425" i="6"/>
  <c r="T425" i="6"/>
  <c r="U425" i="6"/>
  <c r="V425" i="6"/>
  <c r="W425" i="6"/>
  <c r="X425" i="6"/>
  <c r="O426" i="6"/>
  <c r="P426" i="6"/>
  <c r="Q426" i="6"/>
  <c r="R426" i="6"/>
  <c r="S426" i="6"/>
  <c r="T426" i="6"/>
  <c r="U426" i="6"/>
  <c r="V426" i="6"/>
  <c r="W426" i="6"/>
  <c r="X426" i="6"/>
  <c r="O427" i="6"/>
  <c r="P427" i="6"/>
  <c r="Q427" i="6"/>
  <c r="R427" i="6"/>
  <c r="S427" i="6"/>
  <c r="T427" i="6"/>
  <c r="U427" i="6"/>
  <c r="V427" i="6"/>
  <c r="W427" i="6"/>
  <c r="X427" i="6"/>
  <c r="O428" i="6"/>
  <c r="P428" i="6"/>
  <c r="Q428" i="6"/>
  <c r="R428" i="6"/>
  <c r="S428" i="6"/>
  <c r="T428" i="6"/>
  <c r="U428" i="6"/>
  <c r="V428" i="6"/>
  <c r="W428" i="6"/>
  <c r="X428" i="6"/>
  <c r="O429" i="6"/>
  <c r="P429" i="6"/>
  <c r="Q429" i="6"/>
  <c r="R429" i="6"/>
  <c r="S429" i="6"/>
  <c r="T429" i="6"/>
  <c r="U429" i="6"/>
  <c r="V429" i="6"/>
  <c r="W429" i="6"/>
  <c r="X429" i="6"/>
  <c r="O430" i="6"/>
  <c r="P430" i="6"/>
  <c r="Q430" i="6"/>
  <c r="R430" i="6"/>
  <c r="S430" i="6"/>
  <c r="T430" i="6"/>
  <c r="U430" i="6"/>
  <c r="V430" i="6"/>
  <c r="W430" i="6"/>
  <c r="X430" i="6"/>
  <c r="O431" i="6"/>
  <c r="P431" i="6"/>
  <c r="Q431" i="6"/>
  <c r="R431" i="6"/>
  <c r="S431" i="6"/>
  <c r="T431" i="6"/>
  <c r="U431" i="6"/>
  <c r="V431" i="6"/>
  <c r="W431" i="6"/>
  <c r="X431" i="6"/>
  <c r="O432" i="6"/>
  <c r="P432" i="6"/>
  <c r="Q432" i="6"/>
  <c r="R432" i="6"/>
  <c r="S432" i="6"/>
  <c r="T432" i="6"/>
  <c r="U432" i="6"/>
  <c r="V432" i="6"/>
  <c r="W432" i="6"/>
  <c r="X432" i="6"/>
  <c r="O433" i="6"/>
  <c r="P433" i="6"/>
  <c r="Q433" i="6"/>
  <c r="R433" i="6"/>
  <c r="S433" i="6"/>
  <c r="T433" i="6"/>
  <c r="U433" i="6"/>
  <c r="V433" i="6"/>
  <c r="W433" i="6"/>
  <c r="X433" i="6"/>
  <c r="O434" i="6"/>
  <c r="P434" i="6"/>
  <c r="Q434" i="6"/>
  <c r="R434" i="6"/>
  <c r="S434" i="6"/>
  <c r="T434" i="6"/>
  <c r="U434" i="6"/>
  <c r="V434" i="6"/>
  <c r="W434" i="6"/>
  <c r="X434" i="6"/>
  <c r="O435" i="6"/>
  <c r="P435" i="6"/>
  <c r="Q435" i="6"/>
  <c r="R435" i="6"/>
  <c r="S435" i="6"/>
  <c r="T435" i="6"/>
  <c r="U435" i="6"/>
  <c r="V435" i="6"/>
  <c r="W435" i="6"/>
  <c r="X435" i="6"/>
  <c r="O436" i="6"/>
  <c r="P436" i="6"/>
  <c r="Q436" i="6"/>
  <c r="R436" i="6"/>
  <c r="S436" i="6"/>
  <c r="T436" i="6"/>
  <c r="U436" i="6"/>
  <c r="V436" i="6"/>
  <c r="W436" i="6"/>
  <c r="X436" i="6"/>
  <c r="O437" i="6"/>
  <c r="P437" i="6"/>
  <c r="Q437" i="6"/>
  <c r="R437" i="6"/>
  <c r="S437" i="6"/>
  <c r="T437" i="6"/>
  <c r="U437" i="6"/>
  <c r="V437" i="6"/>
  <c r="W437" i="6"/>
  <c r="X437" i="6"/>
  <c r="O438" i="6"/>
  <c r="P438" i="6"/>
  <c r="Q438" i="6"/>
  <c r="R438" i="6"/>
  <c r="S438" i="6"/>
  <c r="T438" i="6"/>
  <c r="U438" i="6"/>
  <c r="V438" i="6"/>
  <c r="W438" i="6"/>
  <c r="X438" i="6"/>
  <c r="O439" i="6"/>
  <c r="P439" i="6"/>
  <c r="Q439" i="6"/>
  <c r="R439" i="6"/>
  <c r="S439" i="6"/>
  <c r="T439" i="6"/>
  <c r="U439" i="6"/>
  <c r="V439" i="6"/>
  <c r="W439" i="6"/>
  <c r="X439" i="6"/>
  <c r="O440" i="6"/>
  <c r="P440" i="6"/>
  <c r="Q440" i="6"/>
  <c r="R440" i="6"/>
  <c r="S440" i="6"/>
  <c r="T440" i="6"/>
  <c r="U440" i="6"/>
  <c r="V440" i="6"/>
  <c r="W440" i="6"/>
  <c r="X440" i="6"/>
  <c r="O441" i="6"/>
  <c r="P441" i="6"/>
  <c r="Q441" i="6"/>
  <c r="R441" i="6"/>
  <c r="S441" i="6"/>
  <c r="T441" i="6"/>
  <c r="U441" i="6"/>
  <c r="V441" i="6"/>
  <c r="W441" i="6"/>
  <c r="X441" i="6"/>
  <c r="O442" i="6"/>
  <c r="P442" i="6"/>
  <c r="Q442" i="6"/>
  <c r="R442" i="6"/>
  <c r="S442" i="6"/>
  <c r="T442" i="6"/>
  <c r="U442" i="6"/>
  <c r="V442" i="6"/>
  <c r="W442" i="6"/>
  <c r="X442" i="6"/>
  <c r="O443" i="6"/>
  <c r="P443" i="6"/>
  <c r="Q443" i="6"/>
  <c r="R443" i="6"/>
  <c r="S443" i="6"/>
  <c r="T443" i="6"/>
  <c r="U443" i="6"/>
  <c r="V443" i="6"/>
  <c r="W443" i="6"/>
  <c r="X443" i="6"/>
  <c r="O444" i="6"/>
  <c r="P444" i="6"/>
  <c r="Q444" i="6"/>
  <c r="R444" i="6"/>
  <c r="S444" i="6"/>
  <c r="T444" i="6"/>
  <c r="U444" i="6"/>
  <c r="V444" i="6"/>
  <c r="W444" i="6"/>
  <c r="X444" i="6"/>
  <c r="O445" i="6"/>
  <c r="P445" i="6"/>
  <c r="Q445" i="6"/>
  <c r="R445" i="6"/>
  <c r="S445" i="6"/>
  <c r="T445" i="6"/>
  <c r="U445" i="6"/>
  <c r="V445" i="6"/>
  <c r="W445" i="6"/>
  <c r="X445" i="6"/>
  <c r="O446" i="6"/>
  <c r="P446" i="6"/>
  <c r="Q446" i="6"/>
  <c r="R446" i="6"/>
  <c r="S446" i="6"/>
  <c r="T446" i="6"/>
  <c r="U446" i="6"/>
  <c r="V446" i="6"/>
  <c r="W446" i="6"/>
  <c r="X446" i="6"/>
  <c r="O447" i="6"/>
  <c r="P447" i="6"/>
  <c r="Q447" i="6"/>
  <c r="R447" i="6"/>
  <c r="S447" i="6"/>
  <c r="T447" i="6"/>
  <c r="U447" i="6"/>
  <c r="V447" i="6"/>
  <c r="W447" i="6"/>
  <c r="X447" i="6"/>
  <c r="O448" i="6"/>
  <c r="P448" i="6"/>
  <c r="Q448" i="6"/>
  <c r="R448" i="6"/>
  <c r="S448" i="6"/>
  <c r="T448" i="6"/>
  <c r="U448" i="6"/>
  <c r="V448" i="6"/>
  <c r="W448" i="6"/>
  <c r="X448" i="6"/>
  <c r="O449" i="6"/>
  <c r="P449" i="6"/>
  <c r="Q449" i="6"/>
  <c r="R449" i="6"/>
  <c r="S449" i="6"/>
  <c r="T449" i="6"/>
  <c r="U449" i="6"/>
  <c r="V449" i="6"/>
  <c r="W449" i="6"/>
  <c r="X449" i="6"/>
  <c r="O450" i="6"/>
  <c r="P450" i="6"/>
  <c r="Q450" i="6"/>
  <c r="R450" i="6"/>
  <c r="S450" i="6"/>
  <c r="T450" i="6"/>
  <c r="U450" i="6"/>
  <c r="V450" i="6"/>
  <c r="W450" i="6"/>
  <c r="X450" i="6"/>
  <c r="O451" i="6"/>
  <c r="P451" i="6"/>
  <c r="Q451" i="6"/>
  <c r="R451" i="6"/>
  <c r="S451" i="6"/>
  <c r="T451" i="6"/>
  <c r="U451" i="6"/>
  <c r="V451" i="6"/>
  <c r="W451" i="6"/>
  <c r="X451" i="6"/>
  <c r="O452" i="6"/>
  <c r="P452" i="6"/>
  <c r="Q452" i="6"/>
  <c r="R452" i="6"/>
  <c r="S452" i="6"/>
  <c r="T452" i="6"/>
  <c r="U452" i="6"/>
  <c r="V452" i="6"/>
  <c r="W452" i="6"/>
  <c r="X452" i="6"/>
  <c r="O453" i="6"/>
  <c r="P453" i="6"/>
  <c r="Q453" i="6"/>
  <c r="R453" i="6"/>
  <c r="S453" i="6"/>
  <c r="T453" i="6"/>
  <c r="U453" i="6"/>
  <c r="V453" i="6"/>
  <c r="W453" i="6"/>
  <c r="X453" i="6"/>
  <c r="O454" i="6"/>
  <c r="P454" i="6"/>
  <c r="Q454" i="6"/>
  <c r="R454" i="6"/>
  <c r="S454" i="6"/>
  <c r="T454" i="6"/>
  <c r="U454" i="6"/>
  <c r="V454" i="6"/>
  <c r="W454" i="6"/>
  <c r="X454" i="6"/>
  <c r="O455" i="6"/>
  <c r="P455" i="6"/>
  <c r="Q455" i="6"/>
  <c r="R455" i="6"/>
  <c r="S455" i="6"/>
  <c r="T455" i="6"/>
  <c r="U455" i="6"/>
  <c r="V455" i="6"/>
  <c r="W455" i="6"/>
  <c r="X455" i="6"/>
  <c r="O456" i="6"/>
  <c r="P456" i="6"/>
  <c r="Q456" i="6"/>
  <c r="R456" i="6"/>
  <c r="S456" i="6"/>
  <c r="T456" i="6"/>
  <c r="U456" i="6"/>
  <c r="V456" i="6"/>
  <c r="W456" i="6"/>
  <c r="X456" i="6"/>
  <c r="O457" i="6"/>
  <c r="P457" i="6"/>
  <c r="Q457" i="6"/>
  <c r="R457" i="6"/>
  <c r="S457" i="6"/>
  <c r="T457" i="6"/>
  <c r="U457" i="6"/>
  <c r="V457" i="6"/>
  <c r="W457" i="6"/>
  <c r="X457" i="6"/>
  <c r="O458" i="6"/>
  <c r="P458" i="6"/>
  <c r="Q458" i="6"/>
  <c r="R458" i="6"/>
  <c r="S458" i="6"/>
  <c r="T458" i="6"/>
  <c r="U458" i="6"/>
  <c r="V458" i="6"/>
  <c r="W458" i="6"/>
  <c r="X458" i="6"/>
  <c r="O459" i="6"/>
  <c r="P459" i="6"/>
  <c r="Q459" i="6"/>
  <c r="R459" i="6"/>
  <c r="S459" i="6"/>
  <c r="T459" i="6"/>
  <c r="U459" i="6"/>
  <c r="V459" i="6"/>
  <c r="W459" i="6"/>
  <c r="X459" i="6"/>
  <c r="O460" i="6"/>
  <c r="P460" i="6"/>
  <c r="Q460" i="6"/>
  <c r="R460" i="6"/>
  <c r="S460" i="6"/>
  <c r="T460" i="6"/>
  <c r="U460" i="6"/>
  <c r="V460" i="6"/>
  <c r="W460" i="6"/>
  <c r="X460" i="6"/>
  <c r="O461" i="6"/>
  <c r="P461" i="6"/>
  <c r="Q461" i="6"/>
  <c r="R461" i="6"/>
  <c r="S461" i="6"/>
  <c r="T461" i="6"/>
  <c r="U461" i="6"/>
  <c r="V461" i="6"/>
  <c r="W461" i="6"/>
  <c r="X461" i="6"/>
  <c r="O462" i="6"/>
  <c r="P462" i="6"/>
  <c r="Q462" i="6"/>
  <c r="R462" i="6"/>
  <c r="S462" i="6"/>
  <c r="T462" i="6"/>
  <c r="U462" i="6"/>
  <c r="V462" i="6"/>
  <c r="W462" i="6"/>
  <c r="X462" i="6"/>
  <c r="O463" i="6"/>
  <c r="P463" i="6"/>
  <c r="Q463" i="6"/>
  <c r="R463" i="6"/>
  <c r="S463" i="6"/>
  <c r="T463" i="6"/>
  <c r="U463" i="6"/>
  <c r="V463" i="6"/>
  <c r="W463" i="6"/>
  <c r="X463" i="6"/>
  <c r="O464" i="6"/>
  <c r="P464" i="6"/>
  <c r="Q464" i="6"/>
  <c r="R464" i="6"/>
  <c r="S464" i="6"/>
  <c r="T464" i="6"/>
  <c r="U464" i="6"/>
  <c r="V464" i="6"/>
  <c r="W464" i="6"/>
  <c r="X464" i="6"/>
  <c r="O465" i="6"/>
  <c r="P465" i="6"/>
  <c r="Q465" i="6"/>
  <c r="R465" i="6"/>
  <c r="S465" i="6"/>
  <c r="T465" i="6"/>
  <c r="U465" i="6"/>
  <c r="V465" i="6"/>
  <c r="W465" i="6"/>
  <c r="X465" i="6"/>
  <c r="O466" i="6"/>
  <c r="P466" i="6"/>
  <c r="Q466" i="6"/>
  <c r="R466" i="6"/>
  <c r="S466" i="6"/>
  <c r="T466" i="6"/>
  <c r="U466" i="6"/>
  <c r="V466" i="6"/>
  <c r="W466" i="6"/>
  <c r="X466" i="6"/>
  <c r="O467" i="6"/>
  <c r="P467" i="6"/>
  <c r="Q467" i="6"/>
  <c r="R467" i="6"/>
  <c r="S467" i="6"/>
  <c r="T467" i="6"/>
  <c r="U467" i="6"/>
  <c r="V467" i="6"/>
  <c r="W467" i="6"/>
  <c r="X467" i="6"/>
  <c r="O468" i="6"/>
  <c r="P468" i="6"/>
  <c r="Q468" i="6"/>
  <c r="R468" i="6"/>
  <c r="S468" i="6"/>
  <c r="T468" i="6"/>
  <c r="U468" i="6"/>
  <c r="V468" i="6"/>
  <c r="W468" i="6"/>
  <c r="X468" i="6"/>
  <c r="O469" i="6"/>
  <c r="P469" i="6"/>
  <c r="Q469" i="6"/>
  <c r="R469" i="6"/>
  <c r="S469" i="6"/>
  <c r="T469" i="6"/>
  <c r="U469" i="6"/>
  <c r="V469" i="6"/>
  <c r="W469" i="6"/>
  <c r="X469" i="6"/>
  <c r="O470" i="6"/>
  <c r="P470" i="6"/>
  <c r="Q470" i="6"/>
  <c r="R470" i="6"/>
  <c r="S470" i="6"/>
  <c r="T470" i="6"/>
  <c r="U470" i="6"/>
  <c r="V470" i="6"/>
  <c r="W470" i="6"/>
  <c r="X470" i="6"/>
  <c r="O471" i="6"/>
  <c r="P471" i="6"/>
  <c r="Q471" i="6"/>
  <c r="R471" i="6"/>
  <c r="S471" i="6"/>
  <c r="T471" i="6"/>
  <c r="U471" i="6"/>
  <c r="V471" i="6"/>
  <c r="W471" i="6"/>
  <c r="X471" i="6"/>
  <c r="O472" i="6"/>
  <c r="P472" i="6"/>
  <c r="Q472" i="6"/>
  <c r="R472" i="6"/>
  <c r="S472" i="6"/>
  <c r="T472" i="6"/>
  <c r="U472" i="6"/>
  <c r="V472" i="6"/>
  <c r="W472" i="6"/>
  <c r="X472" i="6"/>
  <c r="O473" i="6"/>
  <c r="P473" i="6"/>
  <c r="Q473" i="6"/>
  <c r="R473" i="6"/>
  <c r="S473" i="6"/>
  <c r="T473" i="6"/>
  <c r="U473" i="6"/>
  <c r="V473" i="6"/>
  <c r="W473" i="6"/>
  <c r="X473" i="6"/>
  <c r="O474" i="6"/>
  <c r="P474" i="6"/>
  <c r="Q474" i="6"/>
  <c r="R474" i="6"/>
  <c r="S474" i="6"/>
  <c r="T474" i="6"/>
  <c r="U474" i="6"/>
  <c r="V474" i="6"/>
  <c r="W474" i="6"/>
  <c r="X474" i="6"/>
  <c r="O475" i="6"/>
  <c r="P475" i="6"/>
  <c r="Q475" i="6"/>
  <c r="R475" i="6"/>
  <c r="S475" i="6"/>
  <c r="T475" i="6"/>
  <c r="U475" i="6"/>
  <c r="V475" i="6"/>
  <c r="W475" i="6"/>
  <c r="X475" i="6"/>
  <c r="O476" i="6"/>
  <c r="P476" i="6"/>
  <c r="Q476" i="6"/>
  <c r="R476" i="6"/>
  <c r="S476" i="6"/>
  <c r="T476" i="6"/>
  <c r="U476" i="6"/>
  <c r="V476" i="6"/>
  <c r="W476" i="6"/>
  <c r="X476" i="6"/>
  <c r="O477" i="6"/>
  <c r="P477" i="6"/>
  <c r="Q477" i="6"/>
  <c r="R477" i="6"/>
  <c r="S477" i="6"/>
  <c r="T477" i="6"/>
  <c r="U477" i="6"/>
  <c r="V477" i="6"/>
  <c r="W477" i="6"/>
  <c r="X477" i="6"/>
  <c r="O478" i="6"/>
  <c r="P478" i="6"/>
  <c r="Q478" i="6"/>
  <c r="R478" i="6"/>
  <c r="S478" i="6"/>
  <c r="T478" i="6"/>
  <c r="U478" i="6"/>
  <c r="V478" i="6"/>
  <c r="W478" i="6"/>
  <c r="X478" i="6"/>
  <c r="O479" i="6"/>
  <c r="P479" i="6"/>
  <c r="Q479" i="6"/>
  <c r="R479" i="6"/>
  <c r="S479" i="6"/>
  <c r="T479" i="6"/>
  <c r="U479" i="6"/>
  <c r="V479" i="6"/>
  <c r="W479" i="6"/>
  <c r="X479" i="6"/>
  <c r="O480" i="6"/>
  <c r="P480" i="6"/>
  <c r="Q480" i="6"/>
  <c r="R480" i="6"/>
  <c r="S480" i="6"/>
  <c r="T480" i="6"/>
  <c r="U480" i="6"/>
  <c r="V480" i="6"/>
  <c r="W480" i="6"/>
  <c r="X480" i="6"/>
  <c r="O481" i="6"/>
  <c r="P481" i="6"/>
  <c r="Q481" i="6"/>
  <c r="R481" i="6"/>
  <c r="S481" i="6"/>
  <c r="T481" i="6"/>
  <c r="U481" i="6"/>
  <c r="V481" i="6"/>
  <c r="W481" i="6"/>
  <c r="X481" i="6"/>
  <c r="O482" i="6"/>
  <c r="P482" i="6"/>
  <c r="Q482" i="6"/>
  <c r="R482" i="6"/>
  <c r="S482" i="6"/>
  <c r="T482" i="6"/>
  <c r="U482" i="6"/>
  <c r="V482" i="6"/>
  <c r="W482" i="6"/>
  <c r="X482" i="6"/>
  <c r="O483" i="6"/>
  <c r="P483" i="6"/>
  <c r="Q483" i="6"/>
  <c r="R483" i="6"/>
  <c r="S483" i="6"/>
  <c r="T483" i="6"/>
  <c r="U483" i="6"/>
  <c r="V483" i="6"/>
  <c r="W483" i="6"/>
  <c r="X483" i="6"/>
  <c r="O484" i="6"/>
  <c r="P484" i="6"/>
  <c r="Q484" i="6"/>
  <c r="R484" i="6"/>
  <c r="S484" i="6"/>
  <c r="T484" i="6"/>
  <c r="U484" i="6"/>
  <c r="V484" i="6"/>
  <c r="W484" i="6"/>
  <c r="X484" i="6"/>
  <c r="O485" i="6"/>
  <c r="P485" i="6"/>
  <c r="Q485" i="6"/>
  <c r="R485" i="6"/>
  <c r="S485" i="6"/>
  <c r="T485" i="6"/>
  <c r="U485" i="6"/>
  <c r="V485" i="6"/>
  <c r="W485" i="6"/>
  <c r="X485" i="6"/>
  <c r="O486" i="6"/>
  <c r="P486" i="6"/>
  <c r="Q486" i="6"/>
  <c r="R486" i="6"/>
  <c r="S486" i="6"/>
  <c r="T486" i="6"/>
  <c r="U486" i="6"/>
  <c r="V486" i="6"/>
  <c r="W486" i="6"/>
  <c r="X486" i="6"/>
  <c r="O487" i="6"/>
  <c r="P487" i="6"/>
  <c r="Q487" i="6"/>
  <c r="R487" i="6"/>
  <c r="S487" i="6"/>
  <c r="T487" i="6"/>
  <c r="U487" i="6"/>
  <c r="V487" i="6"/>
  <c r="W487" i="6"/>
  <c r="X487" i="6"/>
  <c r="O488" i="6"/>
  <c r="P488" i="6"/>
  <c r="Q488" i="6"/>
  <c r="R488" i="6"/>
  <c r="S488" i="6"/>
  <c r="T488" i="6"/>
  <c r="U488" i="6"/>
  <c r="V488" i="6"/>
  <c r="W488" i="6"/>
  <c r="X488" i="6"/>
  <c r="O489" i="6"/>
  <c r="P489" i="6"/>
  <c r="Q489" i="6"/>
  <c r="R489" i="6"/>
  <c r="S489" i="6"/>
  <c r="T489" i="6"/>
  <c r="U489" i="6"/>
  <c r="V489" i="6"/>
  <c r="W489" i="6"/>
  <c r="X489" i="6"/>
  <c r="O490" i="6"/>
  <c r="P490" i="6"/>
  <c r="Q490" i="6"/>
  <c r="R490" i="6"/>
  <c r="S490" i="6"/>
  <c r="T490" i="6"/>
  <c r="U490" i="6"/>
  <c r="V490" i="6"/>
  <c r="W490" i="6"/>
  <c r="X490" i="6"/>
  <c r="O491" i="6"/>
  <c r="P491" i="6"/>
  <c r="Q491" i="6"/>
  <c r="R491" i="6"/>
  <c r="S491" i="6"/>
  <c r="T491" i="6"/>
  <c r="U491" i="6"/>
  <c r="V491" i="6"/>
  <c r="W491" i="6"/>
  <c r="X491" i="6"/>
  <c r="O492" i="6"/>
  <c r="P492" i="6"/>
  <c r="Q492" i="6"/>
  <c r="R492" i="6"/>
  <c r="S492" i="6"/>
  <c r="T492" i="6"/>
  <c r="U492" i="6"/>
  <c r="V492" i="6"/>
  <c r="W492" i="6"/>
  <c r="X492" i="6"/>
  <c r="O493" i="6"/>
  <c r="P493" i="6"/>
  <c r="Q493" i="6"/>
  <c r="R493" i="6"/>
  <c r="S493" i="6"/>
  <c r="T493" i="6"/>
  <c r="U493" i="6"/>
  <c r="V493" i="6"/>
  <c r="W493" i="6"/>
  <c r="X493" i="6"/>
  <c r="O494" i="6"/>
  <c r="P494" i="6"/>
  <c r="Q494" i="6"/>
  <c r="R494" i="6"/>
  <c r="S494" i="6"/>
  <c r="T494" i="6"/>
  <c r="U494" i="6"/>
  <c r="V494" i="6"/>
  <c r="W494" i="6"/>
  <c r="X494" i="6"/>
  <c r="O495" i="6"/>
  <c r="P495" i="6"/>
  <c r="Q495" i="6"/>
  <c r="R495" i="6"/>
  <c r="S495" i="6"/>
  <c r="T495" i="6"/>
  <c r="U495" i="6"/>
  <c r="V495" i="6"/>
  <c r="W495" i="6"/>
  <c r="X495" i="6"/>
  <c r="O496" i="6"/>
  <c r="P496" i="6"/>
  <c r="Q496" i="6"/>
  <c r="R496" i="6"/>
  <c r="S496" i="6"/>
  <c r="T496" i="6"/>
  <c r="U496" i="6"/>
  <c r="V496" i="6"/>
  <c r="W496" i="6"/>
  <c r="X496" i="6"/>
  <c r="O497" i="6"/>
  <c r="P497" i="6"/>
  <c r="Q497" i="6"/>
  <c r="R497" i="6"/>
  <c r="S497" i="6"/>
  <c r="T497" i="6"/>
  <c r="U497" i="6"/>
  <c r="V497" i="6"/>
  <c r="W497" i="6"/>
  <c r="X497" i="6"/>
  <c r="O498" i="6"/>
  <c r="P498" i="6"/>
  <c r="Q498" i="6"/>
  <c r="R498" i="6"/>
  <c r="S498" i="6"/>
  <c r="T498" i="6"/>
  <c r="U498" i="6"/>
  <c r="V498" i="6"/>
  <c r="W498" i="6"/>
  <c r="X498" i="6"/>
  <c r="O499" i="6"/>
  <c r="P499" i="6"/>
  <c r="Q499" i="6"/>
  <c r="R499" i="6"/>
  <c r="S499" i="6"/>
  <c r="T499" i="6"/>
  <c r="U499" i="6"/>
  <c r="V499" i="6"/>
  <c r="W499" i="6"/>
  <c r="X499" i="6"/>
  <c r="O500" i="6"/>
  <c r="P500" i="6"/>
  <c r="Q500" i="6"/>
  <c r="R500" i="6"/>
  <c r="S500" i="6"/>
  <c r="T500" i="6"/>
  <c r="U500" i="6"/>
  <c r="V500" i="6"/>
  <c r="W500" i="6"/>
  <c r="X500" i="6"/>
  <c r="O501" i="6"/>
  <c r="P501" i="6"/>
  <c r="Q501" i="6"/>
  <c r="R501" i="6"/>
  <c r="S501" i="6"/>
  <c r="T501" i="6"/>
  <c r="U501" i="6"/>
  <c r="V501" i="6"/>
  <c r="W501" i="6"/>
  <c r="X501" i="6"/>
  <c r="O502" i="6"/>
  <c r="P502" i="6"/>
  <c r="Q502" i="6"/>
  <c r="R502" i="6"/>
  <c r="S502" i="6"/>
  <c r="T502" i="6"/>
  <c r="U502" i="6"/>
  <c r="V502" i="6"/>
  <c r="W502" i="6"/>
  <c r="X502" i="6"/>
  <c r="O503" i="6"/>
  <c r="P503" i="6"/>
  <c r="Q503" i="6"/>
  <c r="R503" i="6"/>
  <c r="S503" i="6"/>
  <c r="T503" i="6"/>
  <c r="U503" i="6"/>
  <c r="V503" i="6"/>
  <c r="W503" i="6"/>
  <c r="X503" i="6"/>
  <c r="O504" i="6"/>
  <c r="P504" i="6"/>
  <c r="Q504" i="6"/>
  <c r="R504" i="6"/>
  <c r="S504" i="6"/>
  <c r="T504" i="6"/>
  <c r="U504" i="6"/>
  <c r="V504" i="6"/>
  <c r="W504" i="6"/>
  <c r="X504" i="6"/>
  <c r="O505" i="6"/>
  <c r="P505" i="6"/>
  <c r="Q505" i="6"/>
  <c r="R505" i="6"/>
  <c r="S505" i="6"/>
  <c r="T505" i="6"/>
  <c r="U505" i="6"/>
  <c r="V505" i="6"/>
  <c r="W505" i="6"/>
  <c r="X505" i="6"/>
  <c r="O506" i="6"/>
  <c r="P506" i="6"/>
  <c r="Q506" i="6"/>
  <c r="R506" i="6"/>
  <c r="S506" i="6"/>
  <c r="T506" i="6"/>
  <c r="U506" i="6"/>
  <c r="V506" i="6"/>
  <c r="W506" i="6"/>
  <c r="X506" i="6"/>
  <c r="O507" i="6"/>
  <c r="P507" i="6"/>
  <c r="Q507" i="6"/>
  <c r="R507" i="6"/>
  <c r="S507" i="6"/>
  <c r="T507" i="6"/>
  <c r="U507" i="6"/>
  <c r="V507" i="6"/>
  <c r="W507" i="6"/>
  <c r="X507" i="6"/>
  <c r="O508" i="6"/>
  <c r="P508" i="6"/>
  <c r="Q508" i="6"/>
  <c r="R508" i="6"/>
  <c r="S508" i="6"/>
  <c r="T508" i="6"/>
  <c r="U508" i="6"/>
  <c r="V508" i="6"/>
  <c r="W508" i="6"/>
  <c r="X508" i="6"/>
  <c r="O509" i="6"/>
  <c r="P509" i="6"/>
  <c r="Q509" i="6"/>
  <c r="R509" i="6"/>
  <c r="S509" i="6"/>
  <c r="T509" i="6"/>
  <c r="U509" i="6"/>
  <c r="V509" i="6"/>
  <c r="W509" i="6"/>
  <c r="X509" i="6"/>
  <c r="O510" i="6"/>
  <c r="P510" i="6"/>
  <c r="Q510" i="6"/>
  <c r="R510" i="6"/>
  <c r="S510" i="6"/>
  <c r="T510" i="6"/>
  <c r="U510" i="6"/>
  <c r="V510" i="6"/>
  <c r="W510" i="6"/>
  <c r="X510" i="6"/>
  <c r="O511" i="6"/>
  <c r="P511" i="6"/>
  <c r="Q511" i="6"/>
  <c r="R511" i="6"/>
  <c r="S511" i="6"/>
  <c r="T511" i="6"/>
  <c r="U511" i="6"/>
  <c r="V511" i="6"/>
  <c r="W511" i="6"/>
  <c r="X511" i="6"/>
  <c r="O512" i="6"/>
  <c r="P512" i="6"/>
  <c r="Q512" i="6"/>
  <c r="R512" i="6"/>
  <c r="S512" i="6"/>
  <c r="T512" i="6"/>
  <c r="U512" i="6"/>
  <c r="V512" i="6"/>
  <c r="W512" i="6"/>
  <c r="X512" i="6"/>
  <c r="O513" i="6"/>
  <c r="P513" i="6"/>
  <c r="Q513" i="6"/>
  <c r="R513" i="6"/>
  <c r="S513" i="6"/>
  <c r="T513" i="6"/>
  <c r="U513" i="6"/>
  <c r="V513" i="6"/>
  <c r="W513" i="6"/>
  <c r="X513" i="6"/>
  <c r="O514" i="6"/>
  <c r="P514" i="6"/>
  <c r="Q514" i="6"/>
  <c r="R514" i="6"/>
  <c r="S514" i="6"/>
  <c r="T514" i="6"/>
  <c r="U514" i="6"/>
  <c r="V514" i="6"/>
  <c r="W514" i="6"/>
  <c r="X514" i="6"/>
  <c r="O515" i="6"/>
  <c r="P515" i="6"/>
  <c r="Q515" i="6"/>
  <c r="R515" i="6"/>
  <c r="S515" i="6"/>
  <c r="T515" i="6"/>
  <c r="U515" i="6"/>
  <c r="V515" i="6"/>
  <c r="W515" i="6"/>
  <c r="X515" i="6"/>
  <c r="O516" i="6"/>
  <c r="P516" i="6"/>
  <c r="Q516" i="6"/>
  <c r="R516" i="6"/>
  <c r="S516" i="6"/>
  <c r="T516" i="6"/>
  <c r="U516" i="6"/>
  <c r="V516" i="6"/>
  <c r="W516" i="6"/>
  <c r="X516" i="6"/>
  <c r="O517" i="6"/>
  <c r="P517" i="6"/>
  <c r="Q517" i="6"/>
  <c r="R517" i="6"/>
  <c r="S517" i="6"/>
  <c r="T517" i="6"/>
  <c r="U517" i="6"/>
  <c r="V517" i="6"/>
  <c r="W517" i="6"/>
  <c r="X517" i="6"/>
  <c r="O518" i="6"/>
  <c r="P518" i="6"/>
  <c r="Q518" i="6"/>
  <c r="R518" i="6"/>
  <c r="S518" i="6"/>
  <c r="T518" i="6"/>
  <c r="U518" i="6"/>
  <c r="V518" i="6"/>
  <c r="W518" i="6"/>
  <c r="X518" i="6"/>
  <c r="O519" i="6"/>
  <c r="P519" i="6"/>
  <c r="Q519" i="6"/>
  <c r="R519" i="6"/>
  <c r="S519" i="6"/>
  <c r="T519" i="6"/>
  <c r="U519" i="6"/>
  <c r="V519" i="6"/>
  <c r="W519" i="6"/>
  <c r="X519" i="6"/>
  <c r="O520" i="6"/>
  <c r="P520" i="6"/>
  <c r="Q520" i="6"/>
  <c r="R520" i="6"/>
  <c r="S520" i="6"/>
  <c r="T520" i="6"/>
  <c r="U520" i="6"/>
  <c r="V520" i="6"/>
  <c r="W520" i="6"/>
  <c r="X520" i="6"/>
  <c r="O521" i="6"/>
  <c r="P521" i="6"/>
  <c r="Q521" i="6"/>
  <c r="R521" i="6"/>
  <c r="S521" i="6"/>
  <c r="T521" i="6"/>
  <c r="U521" i="6"/>
  <c r="V521" i="6"/>
  <c r="W521" i="6"/>
  <c r="X521" i="6"/>
  <c r="O522" i="6"/>
  <c r="P522" i="6"/>
  <c r="Q522" i="6"/>
  <c r="R522" i="6"/>
  <c r="S522" i="6"/>
  <c r="T522" i="6"/>
  <c r="U522" i="6"/>
  <c r="V522" i="6"/>
  <c r="W522" i="6"/>
  <c r="X522" i="6"/>
  <c r="O523" i="6"/>
  <c r="P523" i="6"/>
  <c r="Q523" i="6"/>
  <c r="R523" i="6"/>
  <c r="S523" i="6"/>
  <c r="T523" i="6"/>
  <c r="U523" i="6"/>
  <c r="V523" i="6"/>
  <c r="W523" i="6"/>
  <c r="X523" i="6"/>
  <c r="O524" i="6"/>
  <c r="P524" i="6"/>
  <c r="Q524" i="6"/>
  <c r="R524" i="6"/>
  <c r="S524" i="6"/>
  <c r="T524" i="6"/>
  <c r="U524" i="6"/>
  <c r="V524" i="6"/>
  <c r="W524" i="6"/>
  <c r="X524" i="6"/>
  <c r="O525" i="6"/>
  <c r="P525" i="6"/>
  <c r="Q525" i="6"/>
  <c r="R525" i="6"/>
  <c r="S525" i="6"/>
  <c r="T525" i="6"/>
  <c r="U525" i="6"/>
  <c r="V525" i="6"/>
  <c r="W525" i="6"/>
  <c r="X525" i="6"/>
  <c r="O526" i="6"/>
  <c r="P526" i="6"/>
  <c r="Q526" i="6"/>
  <c r="R526" i="6"/>
  <c r="S526" i="6"/>
  <c r="T526" i="6"/>
  <c r="U526" i="6"/>
  <c r="V526" i="6"/>
  <c r="W526" i="6"/>
  <c r="X526" i="6"/>
  <c r="O527" i="6"/>
  <c r="P527" i="6"/>
  <c r="Q527" i="6"/>
  <c r="R527" i="6"/>
  <c r="S527" i="6"/>
  <c r="T527" i="6"/>
  <c r="U527" i="6"/>
  <c r="V527" i="6"/>
  <c r="W527" i="6"/>
  <c r="X527" i="6"/>
  <c r="O528" i="6"/>
  <c r="P528" i="6"/>
  <c r="Q528" i="6"/>
  <c r="R528" i="6"/>
  <c r="S528" i="6"/>
  <c r="T528" i="6"/>
  <c r="U528" i="6"/>
  <c r="V528" i="6"/>
  <c r="W528" i="6"/>
  <c r="X528" i="6"/>
  <c r="O529" i="6"/>
  <c r="P529" i="6"/>
  <c r="Q529" i="6"/>
  <c r="R529" i="6"/>
  <c r="S529" i="6"/>
  <c r="T529" i="6"/>
  <c r="U529" i="6"/>
  <c r="V529" i="6"/>
  <c r="W529" i="6"/>
  <c r="X529" i="6"/>
  <c r="O530" i="6"/>
  <c r="P530" i="6"/>
  <c r="Q530" i="6"/>
  <c r="R530" i="6"/>
  <c r="S530" i="6"/>
  <c r="T530" i="6"/>
  <c r="U530" i="6"/>
  <c r="V530" i="6"/>
  <c r="W530" i="6"/>
  <c r="X530" i="6"/>
  <c r="O531" i="6"/>
  <c r="P531" i="6"/>
  <c r="Q531" i="6"/>
  <c r="R531" i="6"/>
  <c r="S531" i="6"/>
  <c r="T531" i="6"/>
  <c r="U531" i="6"/>
  <c r="V531" i="6"/>
  <c r="W531" i="6"/>
  <c r="X531" i="6"/>
  <c r="O532" i="6"/>
  <c r="P532" i="6"/>
  <c r="Q532" i="6"/>
  <c r="R532" i="6"/>
  <c r="S532" i="6"/>
  <c r="T532" i="6"/>
  <c r="U532" i="6"/>
  <c r="V532" i="6"/>
  <c r="W532" i="6"/>
  <c r="X532" i="6"/>
  <c r="O533" i="6"/>
  <c r="P533" i="6"/>
  <c r="Q533" i="6"/>
  <c r="R533" i="6"/>
  <c r="S533" i="6"/>
  <c r="T533" i="6"/>
  <c r="U533" i="6"/>
  <c r="V533" i="6"/>
  <c r="W533" i="6"/>
  <c r="X533" i="6"/>
  <c r="O534" i="6"/>
  <c r="P534" i="6"/>
  <c r="Q534" i="6"/>
  <c r="R534" i="6"/>
  <c r="S534" i="6"/>
  <c r="T534" i="6"/>
  <c r="U534" i="6"/>
  <c r="V534" i="6"/>
  <c r="W534" i="6"/>
  <c r="X534" i="6"/>
  <c r="O535" i="6"/>
  <c r="P535" i="6"/>
  <c r="Q535" i="6"/>
  <c r="R535" i="6"/>
  <c r="S535" i="6"/>
  <c r="T535" i="6"/>
  <c r="U535" i="6"/>
  <c r="V535" i="6"/>
  <c r="W535" i="6"/>
  <c r="X535" i="6"/>
  <c r="O536" i="6"/>
  <c r="P536" i="6"/>
  <c r="Q536" i="6"/>
  <c r="R536" i="6"/>
  <c r="S536" i="6"/>
  <c r="T536" i="6"/>
  <c r="U536" i="6"/>
  <c r="V536" i="6"/>
  <c r="W536" i="6"/>
  <c r="X536" i="6"/>
  <c r="O537" i="6"/>
  <c r="P537" i="6"/>
  <c r="Q537" i="6"/>
  <c r="R537" i="6"/>
  <c r="S537" i="6"/>
  <c r="T537" i="6"/>
  <c r="U537" i="6"/>
  <c r="V537" i="6"/>
  <c r="W537" i="6"/>
  <c r="X537" i="6"/>
  <c r="O538" i="6"/>
  <c r="P538" i="6"/>
  <c r="Q538" i="6"/>
  <c r="R538" i="6"/>
  <c r="S538" i="6"/>
  <c r="T538" i="6"/>
  <c r="U538" i="6"/>
  <c r="V538" i="6"/>
  <c r="W538" i="6"/>
  <c r="X538" i="6"/>
  <c r="O539" i="6"/>
  <c r="P539" i="6"/>
  <c r="Q539" i="6"/>
  <c r="R539" i="6"/>
  <c r="S539" i="6"/>
  <c r="T539" i="6"/>
  <c r="U539" i="6"/>
  <c r="V539" i="6"/>
  <c r="W539" i="6"/>
  <c r="X539" i="6"/>
  <c r="O540" i="6"/>
  <c r="P540" i="6"/>
  <c r="Q540" i="6"/>
  <c r="R540" i="6"/>
  <c r="S540" i="6"/>
  <c r="T540" i="6"/>
  <c r="U540" i="6"/>
  <c r="V540" i="6"/>
  <c r="W540" i="6"/>
  <c r="X540" i="6"/>
  <c r="O541" i="6"/>
  <c r="P541" i="6"/>
  <c r="Q541" i="6"/>
  <c r="R541" i="6"/>
  <c r="S541" i="6"/>
  <c r="T541" i="6"/>
  <c r="U541" i="6"/>
  <c r="V541" i="6"/>
  <c r="W541" i="6"/>
  <c r="X541" i="6"/>
  <c r="O542" i="6"/>
  <c r="P542" i="6"/>
  <c r="Q542" i="6"/>
  <c r="R542" i="6"/>
  <c r="S542" i="6"/>
  <c r="T542" i="6"/>
  <c r="U542" i="6"/>
  <c r="V542" i="6"/>
  <c r="W542" i="6"/>
  <c r="X542" i="6"/>
  <c r="O543" i="6"/>
  <c r="P543" i="6"/>
  <c r="Q543" i="6"/>
  <c r="R543" i="6"/>
  <c r="S543" i="6"/>
  <c r="T543" i="6"/>
  <c r="U543" i="6"/>
  <c r="V543" i="6"/>
  <c r="W543" i="6"/>
  <c r="X543" i="6"/>
  <c r="O544" i="6"/>
  <c r="P544" i="6"/>
  <c r="Q544" i="6"/>
  <c r="R544" i="6"/>
  <c r="S544" i="6"/>
  <c r="T544" i="6"/>
  <c r="U544" i="6"/>
  <c r="V544" i="6"/>
  <c r="W544" i="6"/>
  <c r="X544" i="6"/>
  <c r="O545" i="6"/>
  <c r="P545" i="6"/>
  <c r="Q545" i="6"/>
  <c r="R545" i="6"/>
  <c r="S545" i="6"/>
  <c r="T545" i="6"/>
  <c r="U545" i="6"/>
  <c r="V545" i="6"/>
  <c r="W545" i="6"/>
  <c r="X545" i="6"/>
  <c r="O546" i="6"/>
  <c r="P546" i="6"/>
  <c r="Q546" i="6"/>
  <c r="R546" i="6"/>
  <c r="S546" i="6"/>
  <c r="T546" i="6"/>
  <c r="U546" i="6"/>
  <c r="V546" i="6"/>
  <c r="W546" i="6"/>
  <c r="X546" i="6"/>
  <c r="O547" i="6"/>
  <c r="P547" i="6"/>
  <c r="Q547" i="6"/>
  <c r="R547" i="6"/>
  <c r="S547" i="6"/>
  <c r="T547" i="6"/>
  <c r="U547" i="6"/>
  <c r="V547" i="6"/>
  <c r="W547" i="6"/>
  <c r="X547" i="6"/>
  <c r="O548" i="6"/>
  <c r="P548" i="6"/>
  <c r="Q548" i="6"/>
  <c r="R548" i="6"/>
  <c r="S548" i="6"/>
  <c r="T548" i="6"/>
  <c r="U548" i="6"/>
  <c r="V548" i="6"/>
  <c r="W548" i="6"/>
  <c r="X548" i="6"/>
  <c r="O549" i="6"/>
  <c r="P549" i="6"/>
  <c r="Q549" i="6"/>
  <c r="R549" i="6"/>
  <c r="S549" i="6"/>
  <c r="T549" i="6"/>
  <c r="U549" i="6"/>
  <c r="V549" i="6"/>
  <c r="W549" i="6"/>
  <c r="X549" i="6"/>
  <c r="O550" i="6"/>
  <c r="P550" i="6"/>
  <c r="Q550" i="6"/>
  <c r="R550" i="6"/>
  <c r="S550" i="6"/>
  <c r="T550" i="6"/>
  <c r="U550" i="6"/>
  <c r="V550" i="6"/>
  <c r="W550" i="6"/>
  <c r="X550" i="6"/>
  <c r="O551" i="6"/>
  <c r="P551" i="6"/>
  <c r="Q551" i="6"/>
  <c r="R551" i="6"/>
  <c r="S551" i="6"/>
  <c r="T551" i="6"/>
  <c r="U551" i="6"/>
  <c r="V551" i="6"/>
  <c r="W551" i="6"/>
  <c r="X551" i="6"/>
  <c r="O552" i="6"/>
  <c r="P552" i="6"/>
  <c r="Q552" i="6"/>
  <c r="R552" i="6"/>
  <c r="S552" i="6"/>
  <c r="T552" i="6"/>
  <c r="U552" i="6"/>
  <c r="V552" i="6"/>
  <c r="W552" i="6"/>
  <c r="X552" i="6"/>
  <c r="O553" i="6"/>
  <c r="P553" i="6"/>
  <c r="Q553" i="6"/>
  <c r="R553" i="6"/>
  <c r="S553" i="6"/>
  <c r="T553" i="6"/>
  <c r="U553" i="6"/>
  <c r="V553" i="6"/>
  <c r="W553" i="6"/>
  <c r="X553" i="6"/>
  <c r="O554" i="6"/>
  <c r="P554" i="6"/>
  <c r="Q554" i="6"/>
  <c r="R554" i="6"/>
  <c r="S554" i="6"/>
  <c r="T554" i="6"/>
  <c r="U554" i="6"/>
  <c r="V554" i="6"/>
  <c r="W554" i="6"/>
  <c r="X554" i="6"/>
  <c r="O555" i="6"/>
  <c r="P555" i="6"/>
  <c r="Q555" i="6"/>
  <c r="R555" i="6"/>
  <c r="S555" i="6"/>
  <c r="T555" i="6"/>
  <c r="U555" i="6"/>
  <c r="V555" i="6"/>
  <c r="W555" i="6"/>
  <c r="X555" i="6"/>
  <c r="O556" i="6"/>
  <c r="P556" i="6"/>
  <c r="Q556" i="6"/>
  <c r="R556" i="6"/>
  <c r="S556" i="6"/>
  <c r="T556" i="6"/>
  <c r="U556" i="6"/>
  <c r="V556" i="6"/>
  <c r="W556" i="6"/>
  <c r="X556" i="6"/>
  <c r="O557" i="6"/>
  <c r="P557" i="6"/>
  <c r="Q557" i="6"/>
  <c r="R557" i="6"/>
  <c r="S557" i="6"/>
  <c r="T557" i="6"/>
  <c r="U557" i="6"/>
  <c r="V557" i="6"/>
  <c r="W557" i="6"/>
  <c r="X557" i="6"/>
  <c r="O558" i="6"/>
  <c r="P558" i="6"/>
  <c r="Q558" i="6"/>
  <c r="R558" i="6"/>
  <c r="S558" i="6"/>
  <c r="T558" i="6"/>
  <c r="U558" i="6"/>
  <c r="V558" i="6"/>
  <c r="W558" i="6"/>
  <c r="X558" i="6"/>
  <c r="O559" i="6"/>
  <c r="P559" i="6"/>
  <c r="Q559" i="6"/>
  <c r="R559" i="6"/>
  <c r="S559" i="6"/>
  <c r="T559" i="6"/>
  <c r="U559" i="6"/>
  <c r="V559" i="6"/>
  <c r="W559" i="6"/>
  <c r="X559" i="6"/>
  <c r="O560" i="6"/>
  <c r="P560" i="6"/>
  <c r="Q560" i="6"/>
  <c r="R560" i="6"/>
  <c r="S560" i="6"/>
  <c r="T560" i="6"/>
  <c r="U560" i="6"/>
  <c r="V560" i="6"/>
  <c r="W560" i="6"/>
  <c r="X560" i="6"/>
  <c r="O561" i="6"/>
  <c r="P561" i="6"/>
  <c r="Q561" i="6"/>
  <c r="R561" i="6"/>
  <c r="S561" i="6"/>
  <c r="T561" i="6"/>
  <c r="U561" i="6"/>
  <c r="V561" i="6"/>
  <c r="W561" i="6"/>
  <c r="X561" i="6"/>
  <c r="O562" i="6"/>
  <c r="P562" i="6"/>
  <c r="Q562" i="6"/>
  <c r="R562" i="6"/>
  <c r="S562" i="6"/>
  <c r="T562" i="6"/>
  <c r="U562" i="6"/>
  <c r="V562" i="6"/>
  <c r="W562" i="6"/>
  <c r="X562" i="6"/>
  <c r="O563" i="6"/>
  <c r="P563" i="6"/>
  <c r="Q563" i="6"/>
  <c r="R563" i="6"/>
  <c r="S563" i="6"/>
  <c r="T563" i="6"/>
  <c r="U563" i="6"/>
  <c r="V563" i="6"/>
  <c r="W563" i="6"/>
  <c r="X563" i="6"/>
  <c r="O564" i="6"/>
  <c r="P564" i="6"/>
  <c r="Q564" i="6"/>
  <c r="R564" i="6"/>
  <c r="S564" i="6"/>
  <c r="T564" i="6"/>
  <c r="U564" i="6"/>
  <c r="V564" i="6"/>
  <c r="W564" i="6"/>
  <c r="X564" i="6"/>
  <c r="O565" i="6"/>
  <c r="P565" i="6"/>
  <c r="Q565" i="6"/>
  <c r="R565" i="6"/>
  <c r="S565" i="6"/>
  <c r="T565" i="6"/>
  <c r="U565" i="6"/>
  <c r="V565" i="6"/>
  <c r="W565" i="6"/>
  <c r="X565" i="6"/>
  <c r="O566" i="6"/>
  <c r="P566" i="6"/>
  <c r="Q566" i="6"/>
  <c r="R566" i="6"/>
  <c r="S566" i="6"/>
  <c r="T566" i="6"/>
  <c r="U566" i="6"/>
  <c r="V566" i="6"/>
  <c r="W566" i="6"/>
  <c r="X566" i="6"/>
  <c r="O567" i="6"/>
  <c r="P567" i="6"/>
  <c r="Q567" i="6"/>
  <c r="R567" i="6"/>
  <c r="S567" i="6"/>
  <c r="T567" i="6"/>
  <c r="U567" i="6"/>
  <c r="V567" i="6"/>
  <c r="W567" i="6"/>
  <c r="X567" i="6"/>
  <c r="O568" i="6"/>
  <c r="P568" i="6"/>
  <c r="Q568" i="6"/>
  <c r="R568" i="6"/>
  <c r="S568" i="6"/>
  <c r="T568" i="6"/>
  <c r="U568" i="6"/>
  <c r="V568" i="6"/>
  <c r="W568" i="6"/>
  <c r="X568" i="6"/>
  <c r="O569" i="6"/>
  <c r="P569" i="6"/>
  <c r="Q569" i="6"/>
  <c r="R569" i="6"/>
  <c r="S569" i="6"/>
  <c r="T569" i="6"/>
  <c r="U569" i="6"/>
  <c r="V569" i="6"/>
  <c r="W569" i="6"/>
  <c r="X569" i="6"/>
  <c r="O570" i="6"/>
  <c r="P570" i="6"/>
  <c r="Q570" i="6"/>
  <c r="R570" i="6"/>
  <c r="S570" i="6"/>
  <c r="T570" i="6"/>
  <c r="U570" i="6"/>
  <c r="V570" i="6"/>
  <c r="W570" i="6"/>
  <c r="X570" i="6"/>
  <c r="O571" i="6"/>
  <c r="P571" i="6"/>
  <c r="Q571" i="6"/>
  <c r="R571" i="6"/>
  <c r="S571" i="6"/>
  <c r="T571" i="6"/>
  <c r="U571" i="6"/>
  <c r="V571" i="6"/>
  <c r="W571" i="6"/>
  <c r="X571" i="6"/>
  <c r="O572" i="6"/>
  <c r="P572" i="6"/>
  <c r="Q572" i="6"/>
  <c r="R572" i="6"/>
  <c r="S572" i="6"/>
  <c r="T572" i="6"/>
  <c r="U572" i="6"/>
  <c r="V572" i="6"/>
  <c r="W572" i="6"/>
  <c r="X572" i="6"/>
  <c r="O573" i="6"/>
  <c r="P573" i="6"/>
  <c r="Q573" i="6"/>
  <c r="R573" i="6"/>
  <c r="S573" i="6"/>
  <c r="T573" i="6"/>
  <c r="U573" i="6"/>
  <c r="V573" i="6"/>
  <c r="W573" i="6"/>
  <c r="X573" i="6"/>
  <c r="O574" i="6"/>
  <c r="P574" i="6"/>
  <c r="Q574" i="6"/>
  <c r="R574" i="6"/>
  <c r="S574" i="6"/>
  <c r="T574" i="6"/>
  <c r="U574" i="6"/>
  <c r="V574" i="6"/>
  <c r="W574" i="6"/>
  <c r="X574" i="6"/>
  <c r="O575" i="6"/>
  <c r="P575" i="6"/>
  <c r="Q575" i="6"/>
  <c r="R575" i="6"/>
  <c r="S575" i="6"/>
  <c r="T575" i="6"/>
  <c r="U575" i="6"/>
  <c r="V575" i="6"/>
  <c r="W575" i="6"/>
  <c r="X575" i="6"/>
  <c r="O576" i="6"/>
  <c r="P576" i="6"/>
  <c r="Q576" i="6"/>
  <c r="R576" i="6"/>
  <c r="S576" i="6"/>
  <c r="T576" i="6"/>
  <c r="U576" i="6"/>
  <c r="V576" i="6"/>
  <c r="W576" i="6"/>
  <c r="X576" i="6"/>
  <c r="O577" i="6"/>
  <c r="P577" i="6"/>
  <c r="Q577" i="6"/>
  <c r="R577" i="6"/>
  <c r="S577" i="6"/>
  <c r="T577" i="6"/>
  <c r="U577" i="6"/>
  <c r="V577" i="6"/>
  <c r="W577" i="6"/>
  <c r="X577" i="6"/>
  <c r="O578" i="6"/>
  <c r="P578" i="6"/>
  <c r="Q578" i="6"/>
  <c r="R578" i="6"/>
  <c r="S578" i="6"/>
  <c r="T578" i="6"/>
  <c r="U578" i="6"/>
  <c r="V578" i="6"/>
  <c r="W578" i="6"/>
  <c r="X578" i="6"/>
  <c r="O579" i="6"/>
  <c r="P579" i="6"/>
  <c r="Q579" i="6"/>
  <c r="R579" i="6"/>
  <c r="S579" i="6"/>
  <c r="T579" i="6"/>
  <c r="U579" i="6"/>
  <c r="V579" i="6"/>
  <c r="W579" i="6"/>
  <c r="X579" i="6"/>
  <c r="O580" i="6"/>
  <c r="P580" i="6"/>
  <c r="Q580" i="6"/>
  <c r="R580" i="6"/>
  <c r="S580" i="6"/>
  <c r="T580" i="6"/>
  <c r="U580" i="6"/>
  <c r="V580" i="6"/>
  <c r="W580" i="6"/>
  <c r="X580" i="6"/>
  <c r="O581" i="6"/>
  <c r="P581" i="6"/>
  <c r="Q581" i="6"/>
  <c r="R581" i="6"/>
  <c r="S581" i="6"/>
  <c r="T581" i="6"/>
  <c r="U581" i="6"/>
  <c r="V581" i="6"/>
  <c r="W581" i="6"/>
  <c r="X581" i="6"/>
  <c r="O582" i="6"/>
  <c r="P582" i="6"/>
  <c r="Q582" i="6"/>
  <c r="R582" i="6"/>
  <c r="S582" i="6"/>
  <c r="T582" i="6"/>
  <c r="U582" i="6"/>
  <c r="V582" i="6"/>
  <c r="W582" i="6"/>
  <c r="X582" i="6"/>
  <c r="O583" i="6"/>
  <c r="P583" i="6"/>
  <c r="Q583" i="6"/>
  <c r="R583" i="6"/>
  <c r="S583" i="6"/>
  <c r="T583" i="6"/>
  <c r="U583" i="6"/>
  <c r="V583" i="6"/>
  <c r="W583" i="6"/>
  <c r="X583" i="6"/>
  <c r="O584" i="6"/>
  <c r="P584" i="6"/>
  <c r="Q584" i="6"/>
  <c r="R584" i="6"/>
  <c r="S584" i="6"/>
  <c r="T584" i="6"/>
  <c r="U584" i="6"/>
  <c r="V584" i="6"/>
  <c r="W584" i="6"/>
  <c r="X584" i="6"/>
  <c r="O585" i="6"/>
  <c r="P585" i="6"/>
  <c r="Q585" i="6"/>
  <c r="R585" i="6"/>
  <c r="S585" i="6"/>
  <c r="T585" i="6"/>
  <c r="U585" i="6"/>
  <c r="V585" i="6"/>
  <c r="W585" i="6"/>
  <c r="X585" i="6"/>
  <c r="O586" i="6"/>
  <c r="P586" i="6"/>
  <c r="Q586" i="6"/>
  <c r="R586" i="6"/>
  <c r="S586" i="6"/>
  <c r="T586" i="6"/>
  <c r="U586" i="6"/>
  <c r="V586" i="6"/>
  <c r="W586" i="6"/>
  <c r="X586" i="6"/>
  <c r="O587" i="6"/>
  <c r="P587" i="6"/>
  <c r="Q587" i="6"/>
  <c r="R587" i="6"/>
  <c r="S587" i="6"/>
  <c r="T587" i="6"/>
  <c r="U587" i="6"/>
  <c r="V587" i="6"/>
  <c r="W587" i="6"/>
  <c r="X587" i="6"/>
  <c r="O588" i="6"/>
  <c r="P588" i="6"/>
  <c r="Q588" i="6"/>
  <c r="R588" i="6"/>
  <c r="S588" i="6"/>
  <c r="T588" i="6"/>
  <c r="U588" i="6"/>
  <c r="V588" i="6"/>
  <c r="W588" i="6"/>
  <c r="X588" i="6"/>
  <c r="O589" i="6"/>
  <c r="P589" i="6"/>
  <c r="Q589" i="6"/>
  <c r="R589" i="6"/>
  <c r="S589" i="6"/>
  <c r="T589" i="6"/>
  <c r="U589" i="6"/>
  <c r="V589" i="6"/>
  <c r="W589" i="6"/>
  <c r="X589" i="6"/>
  <c r="O590" i="6"/>
  <c r="P590" i="6"/>
  <c r="Q590" i="6"/>
  <c r="R590" i="6"/>
  <c r="S590" i="6"/>
  <c r="T590" i="6"/>
  <c r="U590" i="6"/>
  <c r="V590" i="6"/>
  <c r="W590" i="6"/>
  <c r="X590" i="6"/>
  <c r="O591" i="6"/>
  <c r="P591" i="6"/>
  <c r="Q591" i="6"/>
  <c r="R591" i="6"/>
  <c r="S591" i="6"/>
  <c r="T591" i="6"/>
  <c r="U591" i="6"/>
  <c r="V591" i="6"/>
  <c r="W591" i="6"/>
  <c r="X591" i="6"/>
  <c r="O592" i="6"/>
  <c r="P592" i="6"/>
  <c r="Q592" i="6"/>
  <c r="R592" i="6"/>
  <c r="S592" i="6"/>
  <c r="T592" i="6"/>
  <c r="U592" i="6"/>
  <c r="V592" i="6"/>
  <c r="W592" i="6"/>
  <c r="X592" i="6"/>
  <c r="O593" i="6"/>
  <c r="P593" i="6"/>
  <c r="Q593" i="6"/>
  <c r="R593" i="6"/>
  <c r="S593" i="6"/>
  <c r="T593" i="6"/>
  <c r="U593" i="6"/>
  <c r="V593" i="6"/>
  <c r="W593" i="6"/>
  <c r="X593" i="6"/>
  <c r="O594" i="6"/>
  <c r="P594" i="6"/>
  <c r="Q594" i="6"/>
  <c r="R594" i="6"/>
  <c r="S594" i="6"/>
  <c r="T594" i="6"/>
  <c r="U594" i="6"/>
  <c r="V594" i="6"/>
  <c r="W594" i="6"/>
  <c r="X594" i="6"/>
  <c r="O595" i="6"/>
  <c r="P595" i="6"/>
  <c r="Q595" i="6"/>
  <c r="R595" i="6"/>
  <c r="S595" i="6"/>
  <c r="T595" i="6"/>
  <c r="U595" i="6"/>
  <c r="V595" i="6"/>
  <c r="W595" i="6"/>
  <c r="X595" i="6"/>
  <c r="O596" i="6"/>
  <c r="P596" i="6"/>
  <c r="Q596" i="6"/>
  <c r="R596" i="6"/>
  <c r="S596" i="6"/>
  <c r="T596" i="6"/>
  <c r="U596" i="6"/>
  <c r="V596" i="6"/>
  <c r="W596" i="6"/>
  <c r="X596" i="6"/>
  <c r="O597" i="6"/>
  <c r="P597" i="6"/>
  <c r="Q597" i="6"/>
  <c r="R597" i="6"/>
  <c r="S597" i="6"/>
  <c r="T597" i="6"/>
  <c r="U597" i="6"/>
  <c r="V597" i="6"/>
  <c r="W597" i="6"/>
  <c r="X597" i="6"/>
  <c r="O598" i="6"/>
  <c r="P598" i="6"/>
  <c r="Q598" i="6"/>
  <c r="R598" i="6"/>
  <c r="S598" i="6"/>
  <c r="T598" i="6"/>
  <c r="U598" i="6"/>
  <c r="V598" i="6"/>
  <c r="W598" i="6"/>
  <c r="X598" i="6"/>
  <c r="O599" i="6"/>
  <c r="P599" i="6"/>
  <c r="Q599" i="6"/>
  <c r="R599" i="6"/>
  <c r="S599" i="6"/>
  <c r="T599" i="6"/>
  <c r="U599" i="6"/>
  <c r="V599" i="6"/>
  <c r="W599" i="6"/>
  <c r="X599" i="6"/>
  <c r="O600" i="6"/>
  <c r="P600" i="6"/>
  <c r="Q600" i="6"/>
  <c r="R600" i="6"/>
  <c r="S600" i="6"/>
  <c r="T600" i="6"/>
  <c r="U600" i="6"/>
  <c r="V600" i="6"/>
  <c r="W600" i="6"/>
  <c r="X600" i="6"/>
  <c r="O601" i="6"/>
  <c r="P601" i="6"/>
  <c r="Q601" i="6"/>
  <c r="R601" i="6"/>
  <c r="S601" i="6"/>
  <c r="T601" i="6"/>
  <c r="U601" i="6"/>
  <c r="V601" i="6"/>
  <c r="W601" i="6"/>
  <c r="X601" i="6"/>
  <c r="O602" i="6"/>
  <c r="P602" i="6"/>
  <c r="Q602" i="6"/>
  <c r="R602" i="6"/>
  <c r="S602" i="6"/>
  <c r="T602" i="6"/>
  <c r="U602" i="6"/>
  <c r="V602" i="6"/>
  <c r="W602" i="6"/>
  <c r="X602" i="6"/>
  <c r="O603" i="6"/>
  <c r="P603" i="6"/>
  <c r="Q603" i="6"/>
  <c r="R603" i="6"/>
  <c r="S603" i="6"/>
  <c r="T603" i="6"/>
  <c r="U603" i="6"/>
  <c r="V603" i="6"/>
  <c r="W603" i="6"/>
  <c r="X603" i="6"/>
  <c r="O604" i="6"/>
  <c r="P604" i="6"/>
  <c r="Q604" i="6"/>
  <c r="R604" i="6"/>
  <c r="S604" i="6"/>
  <c r="T604" i="6"/>
  <c r="U604" i="6"/>
  <c r="V604" i="6"/>
  <c r="W604" i="6"/>
  <c r="X604" i="6"/>
  <c r="O605" i="6"/>
  <c r="P605" i="6"/>
  <c r="Q605" i="6"/>
  <c r="R605" i="6"/>
  <c r="S605" i="6"/>
  <c r="T605" i="6"/>
  <c r="U605" i="6"/>
  <c r="V605" i="6"/>
  <c r="W605" i="6"/>
  <c r="X605" i="6"/>
  <c r="O606" i="6"/>
  <c r="P606" i="6"/>
  <c r="Q606" i="6"/>
  <c r="R606" i="6"/>
  <c r="S606" i="6"/>
  <c r="T606" i="6"/>
  <c r="U606" i="6"/>
  <c r="V606" i="6"/>
  <c r="W606" i="6"/>
  <c r="X606" i="6"/>
  <c r="O607" i="6"/>
  <c r="P607" i="6"/>
  <c r="Q607" i="6"/>
  <c r="R607" i="6"/>
  <c r="S607" i="6"/>
  <c r="T607" i="6"/>
  <c r="U607" i="6"/>
  <c r="V607" i="6"/>
  <c r="W607" i="6"/>
  <c r="X607" i="6"/>
  <c r="O608" i="6"/>
  <c r="P608" i="6"/>
  <c r="Q608" i="6"/>
  <c r="R608" i="6"/>
  <c r="S608" i="6"/>
  <c r="T608" i="6"/>
  <c r="U608" i="6"/>
  <c r="V608" i="6"/>
  <c r="W608" i="6"/>
  <c r="X608" i="6"/>
  <c r="O609" i="6"/>
  <c r="P609" i="6"/>
  <c r="Q609" i="6"/>
  <c r="R609" i="6"/>
  <c r="S609" i="6"/>
  <c r="T609" i="6"/>
  <c r="U609" i="6"/>
  <c r="V609" i="6"/>
  <c r="W609" i="6"/>
  <c r="X609" i="6"/>
  <c r="O610" i="6"/>
  <c r="P610" i="6"/>
  <c r="Q610" i="6"/>
  <c r="R610" i="6"/>
  <c r="S610" i="6"/>
  <c r="T610" i="6"/>
  <c r="U610" i="6"/>
  <c r="V610" i="6"/>
  <c r="W610" i="6"/>
  <c r="X610" i="6"/>
  <c r="O611" i="6"/>
  <c r="P611" i="6"/>
  <c r="Q611" i="6"/>
  <c r="R611" i="6"/>
  <c r="S611" i="6"/>
  <c r="T611" i="6"/>
  <c r="U611" i="6"/>
  <c r="V611" i="6"/>
  <c r="W611" i="6"/>
  <c r="X611" i="6"/>
  <c r="O612" i="6"/>
  <c r="P612" i="6"/>
  <c r="Q612" i="6"/>
  <c r="R612" i="6"/>
  <c r="S612" i="6"/>
  <c r="T612" i="6"/>
  <c r="U612" i="6"/>
  <c r="V612" i="6"/>
  <c r="W612" i="6"/>
  <c r="X612" i="6"/>
  <c r="O613" i="6"/>
  <c r="P613" i="6"/>
  <c r="Q613" i="6"/>
  <c r="R613" i="6"/>
  <c r="S613" i="6"/>
  <c r="T613" i="6"/>
  <c r="U613" i="6"/>
  <c r="V613" i="6"/>
  <c r="W613" i="6"/>
  <c r="X613" i="6"/>
  <c r="O614" i="6"/>
  <c r="P614" i="6"/>
  <c r="Q614" i="6"/>
  <c r="R614" i="6"/>
  <c r="S614" i="6"/>
  <c r="T614" i="6"/>
  <c r="U614" i="6"/>
  <c r="V614" i="6"/>
  <c r="W614" i="6"/>
  <c r="X614" i="6"/>
  <c r="O615" i="6"/>
  <c r="P615" i="6"/>
  <c r="Q615" i="6"/>
  <c r="R615" i="6"/>
  <c r="S615" i="6"/>
  <c r="T615" i="6"/>
  <c r="U615" i="6"/>
  <c r="V615" i="6"/>
  <c r="W615" i="6"/>
  <c r="X615" i="6"/>
  <c r="O616" i="6"/>
  <c r="P616" i="6"/>
  <c r="Q616" i="6"/>
  <c r="R616" i="6"/>
  <c r="S616" i="6"/>
  <c r="T616" i="6"/>
  <c r="U616" i="6"/>
  <c r="V616" i="6"/>
  <c r="W616" i="6"/>
  <c r="X616" i="6"/>
  <c r="O617" i="6"/>
  <c r="P617" i="6"/>
  <c r="Q617" i="6"/>
  <c r="R617" i="6"/>
  <c r="S617" i="6"/>
  <c r="T617" i="6"/>
  <c r="U617" i="6"/>
  <c r="V617" i="6"/>
  <c r="W617" i="6"/>
  <c r="X617" i="6"/>
  <c r="O618" i="6"/>
  <c r="P618" i="6"/>
  <c r="Q618" i="6"/>
  <c r="R618" i="6"/>
  <c r="S618" i="6"/>
  <c r="T618" i="6"/>
  <c r="U618" i="6"/>
  <c r="V618" i="6"/>
  <c r="W618" i="6"/>
  <c r="X618" i="6"/>
  <c r="O619" i="6"/>
  <c r="P619" i="6"/>
  <c r="Q619" i="6"/>
  <c r="R619" i="6"/>
  <c r="S619" i="6"/>
  <c r="T619" i="6"/>
  <c r="U619" i="6"/>
  <c r="V619" i="6"/>
  <c r="W619" i="6"/>
  <c r="X619" i="6"/>
  <c r="O620" i="6"/>
  <c r="P620" i="6"/>
  <c r="Q620" i="6"/>
  <c r="R620" i="6"/>
  <c r="S620" i="6"/>
  <c r="T620" i="6"/>
  <c r="U620" i="6"/>
  <c r="V620" i="6"/>
  <c r="W620" i="6"/>
  <c r="X620" i="6"/>
  <c r="O621" i="6"/>
  <c r="P621" i="6"/>
  <c r="Q621" i="6"/>
  <c r="R621" i="6"/>
  <c r="S621" i="6"/>
  <c r="T621" i="6"/>
  <c r="U621" i="6"/>
  <c r="V621" i="6"/>
  <c r="W621" i="6"/>
  <c r="X621" i="6"/>
  <c r="O622" i="6"/>
  <c r="P622" i="6"/>
  <c r="Q622" i="6"/>
  <c r="R622" i="6"/>
  <c r="S622" i="6"/>
  <c r="T622" i="6"/>
  <c r="U622" i="6"/>
  <c r="V622" i="6"/>
  <c r="W622" i="6"/>
  <c r="X622" i="6"/>
  <c r="O623" i="6"/>
  <c r="P623" i="6"/>
  <c r="Q623" i="6"/>
  <c r="R623" i="6"/>
  <c r="S623" i="6"/>
  <c r="T623" i="6"/>
  <c r="U623" i="6"/>
  <c r="V623" i="6"/>
  <c r="W623" i="6"/>
  <c r="X623" i="6"/>
  <c r="O624" i="6"/>
  <c r="P624" i="6"/>
  <c r="Q624" i="6"/>
  <c r="R624" i="6"/>
  <c r="S624" i="6"/>
  <c r="T624" i="6"/>
  <c r="U624" i="6"/>
  <c r="V624" i="6"/>
  <c r="W624" i="6"/>
  <c r="X624" i="6"/>
  <c r="O625" i="6"/>
  <c r="P625" i="6"/>
  <c r="Q625" i="6"/>
  <c r="R625" i="6"/>
  <c r="S625" i="6"/>
  <c r="T625" i="6"/>
  <c r="U625" i="6"/>
  <c r="V625" i="6"/>
  <c r="W625" i="6"/>
  <c r="X625" i="6"/>
  <c r="O626" i="6"/>
  <c r="P626" i="6"/>
  <c r="Q626" i="6"/>
  <c r="R626" i="6"/>
  <c r="S626" i="6"/>
  <c r="T626" i="6"/>
  <c r="U626" i="6"/>
  <c r="V626" i="6"/>
  <c r="W626" i="6"/>
  <c r="X626" i="6"/>
  <c r="O627" i="6"/>
  <c r="P627" i="6"/>
  <c r="Q627" i="6"/>
  <c r="R627" i="6"/>
  <c r="S627" i="6"/>
  <c r="T627" i="6"/>
  <c r="U627" i="6"/>
  <c r="V627" i="6"/>
  <c r="W627" i="6"/>
  <c r="X627" i="6"/>
  <c r="O628" i="6"/>
  <c r="P628" i="6"/>
  <c r="Q628" i="6"/>
  <c r="R628" i="6"/>
  <c r="S628" i="6"/>
  <c r="T628" i="6"/>
  <c r="U628" i="6"/>
  <c r="V628" i="6"/>
  <c r="W628" i="6"/>
  <c r="X628" i="6"/>
  <c r="O629" i="6"/>
  <c r="P629" i="6"/>
  <c r="Q629" i="6"/>
  <c r="R629" i="6"/>
  <c r="S629" i="6"/>
  <c r="T629" i="6"/>
  <c r="U629" i="6"/>
  <c r="V629" i="6"/>
  <c r="W629" i="6"/>
  <c r="X629" i="6"/>
  <c r="O630" i="6"/>
  <c r="P630" i="6"/>
  <c r="Q630" i="6"/>
  <c r="R630" i="6"/>
  <c r="S630" i="6"/>
  <c r="T630" i="6"/>
  <c r="U630" i="6"/>
  <c r="V630" i="6"/>
  <c r="W630" i="6"/>
  <c r="X630" i="6"/>
  <c r="O631" i="6"/>
  <c r="P631" i="6"/>
  <c r="Q631" i="6"/>
  <c r="R631" i="6"/>
  <c r="S631" i="6"/>
  <c r="T631" i="6"/>
  <c r="U631" i="6"/>
  <c r="V631" i="6"/>
  <c r="W631" i="6"/>
  <c r="X631" i="6"/>
  <c r="O632" i="6"/>
  <c r="P632" i="6"/>
  <c r="Q632" i="6"/>
  <c r="R632" i="6"/>
  <c r="S632" i="6"/>
  <c r="T632" i="6"/>
  <c r="U632" i="6"/>
  <c r="V632" i="6"/>
  <c r="W632" i="6"/>
  <c r="X632" i="6"/>
  <c r="O633" i="6"/>
  <c r="P633" i="6"/>
  <c r="Q633" i="6"/>
  <c r="R633" i="6"/>
  <c r="S633" i="6"/>
  <c r="T633" i="6"/>
  <c r="U633" i="6"/>
  <c r="V633" i="6"/>
  <c r="W633" i="6"/>
  <c r="X633" i="6"/>
  <c r="O634" i="6"/>
  <c r="P634" i="6"/>
  <c r="Q634" i="6"/>
  <c r="R634" i="6"/>
  <c r="S634" i="6"/>
  <c r="T634" i="6"/>
  <c r="U634" i="6"/>
  <c r="V634" i="6"/>
  <c r="W634" i="6"/>
  <c r="X634" i="6"/>
  <c r="O635" i="6"/>
  <c r="P635" i="6"/>
  <c r="Q635" i="6"/>
  <c r="R635" i="6"/>
  <c r="S635" i="6"/>
  <c r="T635" i="6"/>
  <c r="U635" i="6"/>
  <c r="V635" i="6"/>
  <c r="W635" i="6"/>
  <c r="X635" i="6"/>
  <c r="O636" i="6"/>
  <c r="P636" i="6"/>
  <c r="Q636" i="6"/>
  <c r="R636" i="6"/>
  <c r="S636" i="6"/>
  <c r="T636" i="6"/>
  <c r="U636" i="6"/>
  <c r="V636" i="6"/>
  <c r="W636" i="6"/>
  <c r="X636" i="6"/>
  <c r="O637" i="6"/>
  <c r="P637" i="6"/>
  <c r="Q637" i="6"/>
  <c r="R637" i="6"/>
  <c r="S637" i="6"/>
  <c r="T637" i="6"/>
  <c r="U637" i="6"/>
  <c r="V637" i="6"/>
  <c r="W637" i="6"/>
  <c r="X637" i="6"/>
  <c r="O638" i="6"/>
  <c r="P638" i="6"/>
  <c r="Q638" i="6"/>
  <c r="R638" i="6"/>
  <c r="S638" i="6"/>
  <c r="T638" i="6"/>
  <c r="U638" i="6"/>
  <c r="V638" i="6"/>
  <c r="W638" i="6"/>
  <c r="X638" i="6"/>
  <c r="O639" i="6"/>
  <c r="P639" i="6"/>
  <c r="Q639" i="6"/>
  <c r="R639" i="6"/>
  <c r="S639" i="6"/>
  <c r="T639" i="6"/>
  <c r="U639" i="6"/>
  <c r="V639" i="6"/>
  <c r="W639" i="6"/>
  <c r="X639" i="6"/>
  <c r="O640" i="6"/>
  <c r="P640" i="6"/>
  <c r="Q640" i="6"/>
  <c r="R640" i="6"/>
  <c r="S640" i="6"/>
  <c r="T640" i="6"/>
  <c r="U640" i="6"/>
  <c r="V640" i="6"/>
  <c r="W640" i="6"/>
  <c r="X640" i="6"/>
  <c r="O641" i="6"/>
  <c r="P641" i="6"/>
  <c r="Q641" i="6"/>
  <c r="R641" i="6"/>
  <c r="S641" i="6"/>
  <c r="T641" i="6"/>
  <c r="U641" i="6"/>
  <c r="V641" i="6"/>
  <c r="W641" i="6"/>
  <c r="X641" i="6"/>
  <c r="O642" i="6"/>
  <c r="P642" i="6"/>
  <c r="Q642" i="6"/>
  <c r="R642" i="6"/>
  <c r="S642" i="6"/>
  <c r="T642" i="6"/>
  <c r="U642" i="6"/>
  <c r="V642" i="6"/>
  <c r="W642" i="6"/>
  <c r="X642" i="6"/>
  <c r="O643" i="6"/>
  <c r="P643" i="6"/>
  <c r="Q643" i="6"/>
  <c r="R643" i="6"/>
  <c r="S643" i="6"/>
  <c r="T643" i="6"/>
  <c r="U643" i="6"/>
  <c r="V643" i="6"/>
  <c r="W643" i="6"/>
  <c r="X643" i="6"/>
  <c r="O644" i="6"/>
  <c r="P644" i="6"/>
  <c r="Q644" i="6"/>
  <c r="R644" i="6"/>
  <c r="S644" i="6"/>
  <c r="T644" i="6"/>
  <c r="U644" i="6"/>
  <c r="V644" i="6"/>
  <c r="W644" i="6"/>
  <c r="X644" i="6"/>
  <c r="O645" i="6"/>
  <c r="P645" i="6"/>
  <c r="Q645" i="6"/>
  <c r="R645" i="6"/>
  <c r="S645" i="6"/>
  <c r="T645" i="6"/>
  <c r="U645" i="6"/>
  <c r="V645" i="6"/>
  <c r="W645" i="6"/>
  <c r="X645" i="6"/>
  <c r="O646" i="6"/>
  <c r="P646" i="6"/>
  <c r="Q646" i="6"/>
  <c r="R646" i="6"/>
  <c r="S646" i="6"/>
  <c r="T646" i="6"/>
  <c r="U646" i="6"/>
  <c r="V646" i="6"/>
  <c r="W646" i="6"/>
  <c r="X646" i="6"/>
  <c r="O647" i="6"/>
  <c r="P647" i="6"/>
  <c r="Q647" i="6"/>
  <c r="R647" i="6"/>
  <c r="S647" i="6"/>
  <c r="T647" i="6"/>
  <c r="U647" i="6"/>
  <c r="V647" i="6"/>
  <c r="W647" i="6"/>
  <c r="X647" i="6"/>
  <c r="O648" i="6"/>
  <c r="P648" i="6"/>
  <c r="Q648" i="6"/>
  <c r="R648" i="6"/>
  <c r="S648" i="6"/>
  <c r="T648" i="6"/>
  <c r="U648" i="6"/>
  <c r="V648" i="6"/>
  <c r="W648" i="6"/>
  <c r="X648" i="6"/>
  <c r="O649" i="6"/>
  <c r="P649" i="6"/>
  <c r="Q649" i="6"/>
  <c r="R649" i="6"/>
  <c r="S649" i="6"/>
  <c r="T649" i="6"/>
  <c r="U649" i="6"/>
  <c r="V649" i="6"/>
  <c r="W649" i="6"/>
  <c r="X649" i="6"/>
  <c r="O650" i="6"/>
  <c r="P650" i="6"/>
  <c r="Q650" i="6"/>
  <c r="R650" i="6"/>
  <c r="S650" i="6"/>
  <c r="T650" i="6"/>
  <c r="U650" i="6"/>
  <c r="V650" i="6"/>
  <c r="W650" i="6"/>
  <c r="X650" i="6"/>
  <c r="O651" i="6"/>
  <c r="P651" i="6"/>
  <c r="Q651" i="6"/>
  <c r="R651" i="6"/>
  <c r="S651" i="6"/>
  <c r="T651" i="6"/>
  <c r="U651" i="6"/>
  <c r="V651" i="6"/>
  <c r="W651" i="6"/>
  <c r="X651" i="6"/>
  <c r="O652" i="6"/>
  <c r="P652" i="6"/>
  <c r="Q652" i="6"/>
  <c r="R652" i="6"/>
  <c r="S652" i="6"/>
  <c r="T652" i="6"/>
  <c r="U652" i="6"/>
  <c r="V652" i="6"/>
  <c r="W652" i="6"/>
  <c r="X652" i="6"/>
  <c r="O653" i="6"/>
  <c r="P653" i="6"/>
  <c r="Q653" i="6"/>
  <c r="R653" i="6"/>
  <c r="S653" i="6"/>
  <c r="T653" i="6"/>
  <c r="U653" i="6"/>
  <c r="V653" i="6"/>
  <c r="W653" i="6"/>
  <c r="X653" i="6"/>
  <c r="O654" i="6"/>
  <c r="P654" i="6"/>
  <c r="Q654" i="6"/>
  <c r="R654" i="6"/>
  <c r="S654" i="6"/>
  <c r="T654" i="6"/>
  <c r="U654" i="6"/>
  <c r="V654" i="6"/>
  <c r="W654" i="6"/>
  <c r="X654" i="6"/>
  <c r="O655" i="6"/>
  <c r="P655" i="6"/>
  <c r="Q655" i="6"/>
  <c r="R655" i="6"/>
  <c r="S655" i="6"/>
  <c r="T655" i="6"/>
  <c r="U655" i="6"/>
  <c r="V655" i="6"/>
  <c r="W655" i="6"/>
  <c r="X655" i="6"/>
  <c r="O656" i="6"/>
  <c r="P656" i="6"/>
  <c r="Q656" i="6"/>
  <c r="R656" i="6"/>
  <c r="S656" i="6"/>
  <c r="T656" i="6"/>
  <c r="U656" i="6"/>
  <c r="V656" i="6"/>
  <c r="W656" i="6"/>
  <c r="X656" i="6"/>
  <c r="O657" i="6"/>
  <c r="P657" i="6"/>
  <c r="Q657" i="6"/>
  <c r="R657" i="6"/>
  <c r="S657" i="6"/>
  <c r="T657" i="6"/>
  <c r="U657" i="6"/>
  <c r="V657" i="6"/>
  <c r="W657" i="6"/>
  <c r="X657" i="6"/>
  <c r="O658" i="6"/>
  <c r="P658" i="6"/>
  <c r="Q658" i="6"/>
  <c r="R658" i="6"/>
  <c r="S658" i="6"/>
  <c r="T658" i="6"/>
  <c r="U658" i="6"/>
  <c r="V658" i="6"/>
  <c r="W658" i="6"/>
  <c r="X658" i="6"/>
  <c r="O659" i="6"/>
  <c r="P659" i="6"/>
  <c r="Q659" i="6"/>
  <c r="R659" i="6"/>
  <c r="S659" i="6"/>
  <c r="T659" i="6"/>
  <c r="U659" i="6"/>
  <c r="V659" i="6"/>
  <c r="W659" i="6"/>
  <c r="X659" i="6"/>
  <c r="O660" i="6"/>
  <c r="P660" i="6"/>
  <c r="Q660" i="6"/>
  <c r="R660" i="6"/>
  <c r="S660" i="6"/>
  <c r="T660" i="6"/>
  <c r="U660" i="6"/>
  <c r="V660" i="6"/>
  <c r="W660" i="6"/>
  <c r="X660" i="6"/>
  <c r="O661" i="6"/>
  <c r="P661" i="6"/>
  <c r="Q661" i="6"/>
  <c r="R661" i="6"/>
  <c r="S661" i="6"/>
  <c r="T661" i="6"/>
  <c r="U661" i="6"/>
  <c r="V661" i="6"/>
  <c r="W661" i="6"/>
  <c r="X661" i="6"/>
  <c r="O662" i="6"/>
  <c r="P662" i="6"/>
  <c r="Q662" i="6"/>
  <c r="R662" i="6"/>
  <c r="S662" i="6"/>
  <c r="T662" i="6"/>
  <c r="U662" i="6"/>
  <c r="V662" i="6"/>
  <c r="W662" i="6"/>
  <c r="X662" i="6"/>
  <c r="O663" i="6"/>
  <c r="P663" i="6"/>
  <c r="Q663" i="6"/>
  <c r="R663" i="6"/>
  <c r="S663" i="6"/>
  <c r="T663" i="6"/>
  <c r="U663" i="6"/>
  <c r="V663" i="6"/>
  <c r="W663" i="6"/>
  <c r="X663" i="6"/>
  <c r="O664" i="6"/>
  <c r="P664" i="6"/>
  <c r="Q664" i="6"/>
  <c r="R664" i="6"/>
  <c r="S664" i="6"/>
  <c r="T664" i="6"/>
  <c r="U664" i="6"/>
  <c r="V664" i="6"/>
  <c r="W664" i="6"/>
  <c r="X664" i="6"/>
  <c r="O665" i="6"/>
  <c r="P665" i="6"/>
  <c r="Q665" i="6"/>
  <c r="R665" i="6"/>
  <c r="S665" i="6"/>
  <c r="T665" i="6"/>
  <c r="U665" i="6"/>
  <c r="V665" i="6"/>
  <c r="W665" i="6"/>
  <c r="X665" i="6"/>
  <c r="O666" i="6"/>
  <c r="P666" i="6"/>
  <c r="Q666" i="6"/>
  <c r="R666" i="6"/>
  <c r="S666" i="6"/>
  <c r="T666" i="6"/>
  <c r="U666" i="6"/>
  <c r="V666" i="6"/>
  <c r="W666" i="6"/>
  <c r="X666" i="6"/>
  <c r="O667" i="6"/>
  <c r="P667" i="6"/>
  <c r="Q667" i="6"/>
  <c r="R667" i="6"/>
  <c r="S667" i="6"/>
  <c r="T667" i="6"/>
  <c r="U667" i="6"/>
  <c r="V667" i="6"/>
  <c r="W667" i="6"/>
  <c r="X667" i="6"/>
  <c r="O668" i="6"/>
  <c r="P668" i="6"/>
  <c r="Q668" i="6"/>
  <c r="R668" i="6"/>
  <c r="S668" i="6"/>
  <c r="T668" i="6"/>
  <c r="U668" i="6"/>
  <c r="V668" i="6"/>
  <c r="W668" i="6"/>
  <c r="X668" i="6"/>
  <c r="O669" i="6"/>
  <c r="P669" i="6"/>
  <c r="Q669" i="6"/>
  <c r="R669" i="6"/>
  <c r="S669" i="6"/>
  <c r="T669" i="6"/>
  <c r="U669" i="6"/>
  <c r="V669" i="6"/>
  <c r="W669" i="6"/>
  <c r="X669" i="6"/>
  <c r="O670" i="6"/>
  <c r="P670" i="6"/>
  <c r="Q670" i="6"/>
  <c r="R670" i="6"/>
  <c r="S670" i="6"/>
  <c r="T670" i="6"/>
  <c r="U670" i="6"/>
  <c r="V670" i="6"/>
  <c r="W670" i="6"/>
  <c r="X670" i="6"/>
  <c r="O671" i="6"/>
  <c r="P671" i="6"/>
  <c r="Q671" i="6"/>
  <c r="R671" i="6"/>
  <c r="S671" i="6"/>
  <c r="T671" i="6"/>
  <c r="U671" i="6"/>
  <c r="V671" i="6"/>
  <c r="W671" i="6"/>
  <c r="X671" i="6"/>
  <c r="O672" i="6"/>
  <c r="P672" i="6"/>
  <c r="Q672" i="6"/>
  <c r="R672" i="6"/>
  <c r="S672" i="6"/>
  <c r="T672" i="6"/>
  <c r="U672" i="6"/>
  <c r="V672" i="6"/>
  <c r="W672" i="6"/>
  <c r="X672" i="6"/>
  <c r="O673" i="6"/>
  <c r="P673" i="6"/>
  <c r="Q673" i="6"/>
  <c r="R673" i="6"/>
  <c r="S673" i="6"/>
  <c r="T673" i="6"/>
  <c r="U673" i="6"/>
  <c r="V673" i="6"/>
  <c r="W673" i="6"/>
  <c r="X673" i="6"/>
  <c r="X2" i="6"/>
  <c r="W2" i="6"/>
  <c r="V2" i="6"/>
  <c r="U2" i="6"/>
  <c r="T2" i="6"/>
  <c r="S2" i="6"/>
  <c r="R2" i="6"/>
  <c r="Q2" i="6"/>
  <c r="P2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2" i="6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2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2" i="4"/>
  <c r="N3" i="4"/>
  <c r="N4" i="4"/>
  <c r="N5" i="4"/>
  <c r="N98" i="4"/>
  <c r="N99" i="4"/>
  <c r="N100" i="4"/>
  <c r="N101" i="4"/>
  <c r="N102" i="4"/>
  <c r="N6" i="4"/>
  <c r="N7" i="4"/>
  <c r="N8" i="4"/>
  <c r="N103" i="4"/>
  <c r="N104" i="4"/>
  <c r="N105" i="4"/>
  <c r="N106" i="4"/>
  <c r="N107" i="4"/>
  <c r="N108" i="4"/>
  <c r="N109" i="4"/>
  <c r="N9" i="4"/>
  <c r="N10" i="4"/>
  <c r="N11" i="4"/>
  <c r="N12" i="4"/>
  <c r="N13" i="4"/>
  <c r="N110" i="4"/>
  <c r="N111" i="4"/>
  <c r="N112" i="4"/>
  <c r="N113" i="4"/>
  <c r="N114" i="4"/>
  <c r="N115" i="4"/>
  <c r="N14" i="4"/>
  <c r="N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6" i="4"/>
  <c r="N17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1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19" i="4"/>
  <c r="N20" i="4"/>
  <c r="N417" i="4"/>
  <c r="N21" i="4"/>
  <c r="N22" i="4"/>
  <c r="N23" i="4"/>
  <c r="N24" i="4"/>
  <c r="N25" i="4"/>
  <c r="N26" i="4"/>
  <c r="N27" i="4"/>
  <c r="N28" i="4"/>
  <c r="N418" i="4"/>
  <c r="N419" i="4"/>
  <c r="N29" i="4"/>
  <c r="N420" i="4"/>
  <c r="N421" i="4"/>
  <c r="N422" i="4"/>
  <c r="N30" i="4"/>
  <c r="N31" i="4"/>
  <c r="N32" i="4"/>
  <c r="N33" i="4"/>
  <c r="N34" i="4"/>
  <c r="N35" i="4"/>
  <c r="N36" i="4"/>
  <c r="N37" i="4"/>
  <c r="N38" i="4"/>
  <c r="N39" i="4"/>
  <c r="N40" i="4"/>
  <c r="N423" i="4"/>
  <c r="N424" i="4"/>
  <c r="N425" i="4"/>
  <c r="N426" i="4"/>
  <c r="N427" i="4"/>
  <c r="N41" i="4"/>
  <c r="N42" i="4"/>
  <c r="N43" i="4"/>
  <c r="N44" i="4"/>
  <c r="N45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2" i="2"/>
</calcChain>
</file>

<file path=xl/sharedStrings.xml><?xml version="1.0" encoding="utf-8"?>
<sst xmlns="http://schemas.openxmlformats.org/spreadsheetml/2006/main" count="10953" uniqueCount="1048">
  <si>
    <t>Sample_ID</t>
  </si>
  <si>
    <t>Well</t>
  </si>
  <si>
    <t>Plate_ID</t>
  </si>
  <si>
    <t>Sample #</t>
  </si>
  <si>
    <t>Collaborator</t>
  </si>
  <si>
    <t>Project</t>
  </si>
  <si>
    <t>Sample_Name</t>
  </si>
  <si>
    <t>Trait</t>
  </si>
  <si>
    <t>Pedigree</t>
  </si>
  <si>
    <t>Generation</t>
  </si>
  <si>
    <t>Organism</t>
  </si>
  <si>
    <t>Comments</t>
  </si>
  <si>
    <t>PlantSource</t>
  </si>
  <si>
    <t>C05</t>
  </si>
  <si>
    <t>35</t>
  </si>
  <si>
    <t>Jannink</t>
  </si>
  <si>
    <t>USDA-Ithaca2025-O3K_01-07</t>
  </si>
  <si>
    <t>D05</t>
  </si>
  <si>
    <t>36</t>
  </si>
  <si>
    <t>E05</t>
  </si>
  <si>
    <t>37</t>
  </si>
  <si>
    <t>F05</t>
  </si>
  <si>
    <t>38</t>
  </si>
  <si>
    <t>D06</t>
  </si>
  <si>
    <t>44</t>
  </si>
  <si>
    <t>E06</t>
  </si>
  <si>
    <t>45</t>
  </si>
  <si>
    <t>F06</t>
  </si>
  <si>
    <t>46</t>
  </si>
  <si>
    <t>F07</t>
  </si>
  <si>
    <t>54</t>
  </si>
  <si>
    <t>G07</t>
  </si>
  <si>
    <t>55</t>
  </si>
  <si>
    <t>H07</t>
  </si>
  <si>
    <t>56</t>
  </si>
  <si>
    <t>A08</t>
  </si>
  <si>
    <t>57</t>
  </si>
  <si>
    <t>B08</t>
  </si>
  <si>
    <t>58</t>
  </si>
  <si>
    <t>A09</t>
  </si>
  <si>
    <t>65</t>
  </si>
  <si>
    <t>B09</t>
  </si>
  <si>
    <t>66</t>
  </si>
  <si>
    <t>C07</t>
  </si>
  <si>
    <t>51</t>
  </si>
  <si>
    <t>D07</t>
  </si>
  <si>
    <t>52</t>
  </si>
  <si>
    <t>H12</t>
  </si>
  <si>
    <t>96</t>
  </si>
  <si>
    <t>C11</t>
  </si>
  <si>
    <t>83</t>
  </si>
  <si>
    <t>D11</t>
  </si>
  <si>
    <t>84</t>
  </si>
  <si>
    <t>F11</t>
  </si>
  <si>
    <t>86</t>
  </si>
  <si>
    <t>G11</t>
  </si>
  <si>
    <t>87</t>
  </si>
  <si>
    <t>H11</t>
  </si>
  <si>
    <t>88</t>
  </si>
  <si>
    <t>A12</t>
  </si>
  <si>
    <t>89</t>
  </si>
  <si>
    <t>B12</t>
  </si>
  <si>
    <t>90</t>
  </si>
  <si>
    <t>C12</t>
  </si>
  <si>
    <t>91</t>
  </si>
  <si>
    <t>D12</t>
  </si>
  <si>
    <t>92</t>
  </si>
  <si>
    <t>E12</t>
  </si>
  <si>
    <t>93</t>
  </si>
  <si>
    <t>D01</t>
  </si>
  <si>
    <t>04</t>
  </si>
  <si>
    <t>E01</t>
  </si>
  <si>
    <t>05</t>
  </si>
  <si>
    <t>F01</t>
  </si>
  <si>
    <t>06</t>
  </si>
  <si>
    <t>G01</t>
  </si>
  <si>
    <t>07</t>
  </si>
  <si>
    <t>H01</t>
  </si>
  <si>
    <t>08</t>
  </si>
  <si>
    <t>A02</t>
  </si>
  <si>
    <t>09</t>
  </si>
  <si>
    <t>B02</t>
  </si>
  <si>
    <t>C02</t>
  </si>
  <si>
    <t>D02</t>
  </si>
  <si>
    <t>E02</t>
  </si>
  <si>
    <t>F02</t>
  </si>
  <si>
    <t>D03</t>
  </si>
  <si>
    <t>E03</t>
  </si>
  <si>
    <t>F03</t>
  </si>
  <si>
    <t>G03</t>
  </si>
  <si>
    <t>H03</t>
  </si>
  <si>
    <t>G10</t>
  </si>
  <si>
    <t>H10</t>
  </si>
  <si>
    <t>A11</t>
  </si>
  <si>
    <t>B11</t>
  </si>
  <si>
    <t>E11</t>
  </si>
  <si>
    <t>F12</t>
  </si>
  <si>
    <t>G12</t>
  </si>
  <si>
    <t>Sample ID</t>
  </si>
  <si>
    <t>Plate ID</t>
  </si>
  <si>
    <t>A01</t>
  </si>
  <si>
    <t>1</t>
  </si>
  <si>
    <t>B01</t>
  </si>
  <si>
    <t>2</t>
  </si>
  <si>
    <t>C01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</si>
  <si>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</si>
  <si>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</si>
  <si>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</si>
  <si>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</si>
  <si>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</si>
  <si>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</si>
  <si>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</si>
  <si>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</si>
  <si>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</si>
  <si>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</si>
  <si>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</si>
  <si>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</si>
  <si>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G02</t>
  </si>
  <si>
    <t>15</t>
  </si>
  <si>
    <t>H02</t>
  </si>
  <si>
    <t>16</t>
  </si>
  <si>
    <t>A03</t>
  </si>
  <si>
    <t>17</t>
  </si>
  <si>
    <t>B03</t>
  </si>
  <si>
    <t>18</t>
  </si>
  <si>
    <t>C03</t>
  </si>
  <si>
    <t>19</t>
  </si>
  <si>
    <t>20</t>
  </si>
  <si>
    <t>21</t>
  </si>
  <si>
    <t>22</t>
  </si>
  <si>
    <t>23</t>
  </si>
  <si>
    <t>24</t>
  </si>
  <si>
    <t>A04</t>
  </si>
  <si>
    <t>25</t>
  </si>
  <si>
    <t>B04</t>
  </si>
  <si>
    <t>26</t>
  </si>
  <si>
    <t>C04</t>
  </si>
  <si>
    <t>27</t>
  </si>
  <si>
    <t>D04</t>
  </si>
  <si>
    <t>28</t>
  </si>
  <si>
    <t>E04</t>
  </si>
  <si>
    <t>29</t>
  </si>
  <si>
    <t>F04</t>
  </si>
  <si>
    <t>30</t>
  </si>
  <si>
    <t>G04</t>
  </si>
  <si>
    <t>31</t>
  </si>
  <si>
    <t>H04</t>
  </si>
  <si>
    <t>32</t>
  </si>
  <si>
    <t>A05</t>
  </si>
  <si>
    <t>33</t>
  </si>
  <si>
    <t>B05</t>
  </si>
  <si>
    <t>34</t>
  </si>
  <si>
    <t>G05</t>
  </si>
  <si>
    <t>39</t>
  </si>
  <si>
    <t>H05</t>
  </si>
  <si>
    <t>40</t>
  </si>
  <si>
    <t>A06</t>
  </si>
  <si>
    <t>41</t>
  </si>
  <si>
    <t>B06</t>
  </si>
  <si>
    <t>42</t>
  </si>
  <si>
    <t>C06</t>
  </si>
  <si>
    <t>43</t>
  </si>
  <si>
    <t>G06</t>
  </si>
  <si>
    <t>47</t>
  </si>
  <si>
    <t>H06</t>
  </si>
  <si>
    <t>48</t>
  </si>
  <si>
    <t>A07</t>
  </si>
  <si>
    <t>49</t>
  </si>
  <si>
    <t>B07</t>
  </si>
  <si>
    <t>50</t>
  </si>
  <si>
    <t>E07</t>
  </si>
  <si>
    <t>53</t>
  </si>
  <si>
    <t>C08</t>
  </si>
  <si>
    <t>59</t>
  </si>
  <si>
    <t>D08</t>
  </si>
  <si>
    <t>60</t>
  </si>
  <si>
    <t>E08</t>
  </si>
  <si>
    <t>61</t>
  </si>
  <si>
    <t>F08</t>
  </si>
  <si>
    <t>62</t>
  </si>
  <si>
    <t>G08</t>
  </si>
  <si>
    <t>63</t>
  </si>
  <si>
    <t>H08</t>
  </si>
  <si>
    <t>64</t>
  </si>
  <si>
    <t>C09</t>
  </si>
  <si>
    <t>67</t>
  </si>
  <si>
    <t>D09</t>
  </si>
  <si>
    <t>68</t>
  </si>
  <si>
    <t>E09</t>
  </si>
  <si>
    <t>69</t>
  </si>
  <si>
    <t>F09</t>
  </si>
  <si>
    <t>70</t>
  </si>
  <si>
    <t>G09</t>
  </si>
  <si>
    <t>71</t>
  </si>
  <si>
    <t>H09</t>
  </si>
  <si>
    <t>72</t>
  </si>
  <si>
    <t>A10</t>
  </si>
  <si>
    <t>73</t>
  </si>
  <si>
    <t>B10</t>
  </si>
  <si>
    <t>74</t>
  </si>
  <si>
    <t>C10</t>
  </si>
  <si>
    <t>75</t>
  </si>
  <si>
    <t>D10</t>
  </si>
  <si>
    <t>76</t>
  </si>
  <si>
    <t>E10</t>
  </si>
  <si>
    <t>77</t>
  </si>
  <si>
    <t>F10</t>
  </si>
  <si>
    <t>78</t>
  </si>
  <si>
    <t>79</t>
  </si>
  <si>
    <t>80</t>
  </si>
  <si>
    <t>81</t>
  </si>
  <si>
    <t>82</t>
  </si>
  <si>
    <t>85</t>
  </si>
  <si>
    <t>94</t>
  </si>
  <si>
    <t>95</t>
  </si>
  <si>
    <t>01</t>
  </si>
  <si>
    <t>02</t>
  </si>
  <si>
    <t>03</t>
  </si>
  <si>
    <t>plate_well</t>
  </si>
  <si>
    <t>1_C05</t>
  </si>
  <si>
    <t>1_D05</t>
  </si>
  <si>
    <t>1_E05</t>
  </si>
  <si>
    <t>1_F05</t>
  </si>
  <si>
    <t>1_D06</t>
  </si>
  <si>
    <t>1_E06</t>
  </si>
  <si>
    <t>1_F06</t>
  </si>
  <si>
    <t>1_F07</t>
  </si>
  <si>
    <t>1_G07</t>
  </si>
  <si>
    <t>1_H07</t>
  </si>
  <si>
    <t>1_A08</t>
  </si>
  <si>
    <t>1_B08</t>
  </si>
  <si>
    <t>1_A09</t>
  </si>
  <si>
    <t>1_B09</t>
  </si>
  <si>
    <t>2_C07</t>
  </si>
  <si>
    <t>2_D07</t>
  </si>
  <si>
    <t>2_H12</t>
  </si>
  <si>
    <t>4_C11</t>
  </si>
  <si>
    <t>4_D11</t>
  </si>
  <si>
    <t>4_F11</t>
  </si>
  <si>
    <t>4_G11</t>
  </si>
  <si>
    <t>4_H11</t>
  </si>
  <si>
    <t>4_A12</t>
  </si>
  <si>
    <t>4_B12</t>
  </si>
  <si>
    <t>4_C12</t>
  </si>
  <si>
    <t>4_D12</t>
  </si>
  <si>
    <t>4_E12</t>
  </si>
  <si>
    <t>4_H12</t>
  </si>
  <si>
    <t>5_D01</t>
  </si>
  <si>
    <t>5_E01</t>
  </si>
  <si>
    <t>5_F01</t>
  </si>
  <si>
    <t>5_G01</t>
  </si>
  <si>
    <t>5_H01</t>
  </si>
  <si>
    <t>5_A02</t>
  </si>
  <si>
    <t>5_B02</t>
  </si>
  <si>
    <t>5_C02</t>
  </si>
  <si>
    <t>5_D02</t>
  </si>
  <si>
    <t>5_E02</t>
  </si>
  <si>
    <t>5_F02</t>
  </si>
  <si>
    <t>5_D03</t>
  </si>
  <si>
    <t>5_E03</t>
  </si>
  <si>
    <t>5_F03</t>
  </si>
  <si>
    <t>5_G03</t>
  </si>
  <si>
    <t>5_H03</t>
  </si>
  <si>
    <t>7_G10</t>
  </si>
  <si>
    <t>7_H10</t>
  </si>
  <si>
    <t>7_A11</t>
  </si>
  <si>
    <t>7_B11</t>
  </si>
  <si>
    <t>7_C11</t>
  </si>
  <si>
    <t>7_D11</t>
  </si>
  <si>
    <t>7_E11</t>
  </si>
  <si>
    <t>7_F11</t>
  </si>
  <si>
    <t>7_G11</t>
  </si>
  <si>
    <t>7_H11</t>
  </si>
  <si>
    <t>7_A12</t>
  </si>
  <si>
    <t>7_B12</t>
  </si>
  <si>
    <t>7_C12</t>
  </si>
  <si>
    <t>7_D12</t>
  </si>
  <si>
    <t>7_E12</t>
  </si>
  <si>
    <t>7_F12</t>
  </si>
  <si>
    <t>7_G12</t>
  </si>
  <si>
    <t>7_H12</t>
  </si>
  <si>
    <t>plant_name</t>
  </si>
  <si>
    <t>plant_id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</si>
  <si>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</si>
  <si>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</si>
  <si>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</si>
  <si>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</si>
  <si>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</si>
  <si>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</si>
  <si>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</si>
  <si>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</si>
  <si>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plant_number</t>
  </si>
  <si>
    <t>CU_ARS_2025_WOF_F2_1_plant_1</t>
  </si>
  <si>
    <t>CU_ARS_2025_WOF_F2_1</t>
  </si>
  <si>
    <t>CU_ARS_2025_WOF_cross_55</t>
  </si>
  <si>
    <t>CU_ARS_2025_WOF_F2_1_plant_2</t>
  </si>
  <si>
    <t>CU_ARS_2025_WOF_F2_1_plant_3</t>
  </si>
  <si>
    <t>CU_ARS_2025_WOF_F2_1_plant_4</t>
  </si>
  <si>
    <t>CU_ARS_2025_WOF_F2_1_plant_5</t>
  </si>
  <si>
    <t>CU_ARS_2025_WOF_F2_1_plant_6</t>
  </si>
  <si>
    <t>CU_ARS_2025_WOF_F2_1_plant_7</t>
  </si>
  <si>
    <t>CU_ARS_2025_WOF_F2_1_plant_8</t>
  </si>
  <si>
    <t>CU_ARS_2025_WOF_F2_1_plant_9</t>
  </si>
  <si>
    <t>CU_ARS_2025_WOF_F2_1_plant_10</t>
  </si>
  <si>
    <t>CU_ARS_2025_WOF_F2_1_plant_11</t>
  </si>
  <si>
    <t>CU_ARS_2025_WOF_F2_1_plant_12</t>
  </si>
  <si>
    <t>CU_ARS_2025_WOF_F2_1_plant_13</t>
  </si>
  <si>
    <t>CU_ARS_2025_WOF_F2_1_plant_14</t>
  </si>
  <si>
    <t>CU_ARS_2025_WOF_F2_1_plant_15</t>
  </si>
  <si>
    <t>CU_ARS_2025_WOF_F2_1_plant_16</t>
  </si>
  <si>
    <t>CU_ARS_2025_WOF_F2_1_plant_17</t>
  </si>
  <si>
    <t>CU_ARS_2025_WOF_F2_1_plant_18</t>
  </si>
  <si>
    <t>CU_ARS_2025_WOF_F2_1_plant_19</t>
  </si>
  <si>
    <t>CU_ARS_2025_WOF_F2_1_plant_20</t>
  </si>
  <si>
    <t>CU_ARS_2025_WOF_F2_1_plant_21</t>
  </si>
  <si>
    <t>CU_ARS_2025_WOF_F2_1_plant_22</t>
  </si>
  <si>
    <t>CU_ARS_2025_WOF_F2_1_plant_23</t>
  </si>
  <si>
    <t>CU_ARS_2025_WOF_F2_1_plant_24</t>
  </si>
  <si>
    <t>CU_ARS_2025_WOF_F2_1_plant_25</t>
  </si>
  <si>
    <t>CU_ARS_2025_WOF_F2_1_plant_26</t>
  </si>
  <si>
    <t>CU_ARS_2025_WOF_F2_1_plant_27</t>
  </si>
  <si>
    <t>CU_ARS_2025_WOF_F2_1_plant_28</t>
  </si>
  <si>
    <t>CU_ARS_2025_WOF_F2_1_plant_29</t>
  </si>
  <si>
    <t>CU_ARS_2025_WOF_F2_1_plant_30</t>
  </si>
  <si>
    <t>CU_ARS_2025_WOF_F2_1_plant_31</t>
  </si>
  <si>
    <t>CU_ARS_2025_WOF_F2_1_plant_32</t>
  </si>
  <si>
    <t>CU_ARS_2025_WOF_F2_1_plant_33</t>
  </si>
  <si>
    <t>CU_ARS_2025_WOF_F2_1_plant_34</t>
  </si>
  <si>
    <t>CU_ARS_2025_WOF_F2_1_plant_35</t>
  </si>
  <si>
    <t>CU_ARS_2025_WOF_F2_1_plant_36</t>
  </si>
  <si>
    <t>CU_ARS_2025_WOF_F2_1_plant_37</t>
  </si>
  <si>
    <t>CU_ARS_2025_WOF_F2_1_plant_38</t>
  </si>
  <si>
    <t>CU_ARS_2025_WOF_F2_1_plant_39</t>
  </si>
  <si>
    <t>CU_ARS_2025_WOF_F2_1_plant_40</t>
  </si>
  <si>
    <t>CU_ARS_2025_WOF_F2_1_plant_41</t>
  </si>
  <si>
    <t>CU_ARS_2025_WOF_F2_1_plant_42</t>
  </si>
  <si>
    <t>CU_ARS_2025_WOF_F2_1_plant_43</t>
  </si>
  <si>
    <t>CU_ARS_2025_WOF_F2_1_plant_44</t>
  </si>
  <si>
    <t>CU_ARS_2025_WOF_F2_1_plant_45</t>
  </si>
  <si>
    <t>CU_ARS_2025_WOF_F2_1_plant_46</t>
  </si>
  <si>
    <t>CU_ARS_2025_WOF_F2_1_plant_47</t>
  </si>
  <si>
    <t>CU_ARS_2025_WOF_F2_1_plant_48</t>
  </si>
  <si>
    <t>CU_ARS_2025_WOF_F2_1_plant_49</t>
  </si>
  <si>
    <t>CU_ARS_2025_WOF_F2_1_plant_50</t>
  </si>
  <si>
    <t>CU_ARS_2025_WOF_F2_1_plant_51</t>
  </si>
  <si>
    <t>CU_ARS_2025_WOF_F2_1_plant_52</t>
  </si>
  <si>
    <t>CU_ARS_2025_WOF_F2_1_plant_53</t>
  </si>
  <si>
    <t>CU_ARS_2025_WOF_F2_1_plant_54</t>
  </si>
  <si>
    <t>CU_ARS_2025_WOF_F2_1_plant_55</t>
  </si>
  <si>
    <t>CU_ARS_2025_WOF_F2_1_plant_56</t>
  </si>
  <si>
    <t>CU_ARS_2025_WOF_F2_1_plant_57</t>
  </si>
  <si>
    <t>CU_ARS_2025_WOF_F2_1_plant_58</t>
  </si>
  <si>
    <t>CU_ARS_2025_WOF_F2_1_plant_59</t>
  </si>
  <si>
    <t>CU_ARS_2025_WOF_F2_1_plant_60</t>
  </si>
  <si>
    <t>CU_ARS_2025_WOF_F2_1_plant_61</t>
  </si>
  <si>
    <t>CU_ARS_2025_WOF_F2_1_plant_62</t>
  </si>
  <si>
    <t>CU_ARS_2025_WOF_F2_1_plant_63</t>
  </si>
  <si>
    <t>CU_ARS_2025_WOF_F2_1_plant_64</t>
  </si>
  <si>
    <t>CU_ARS_2025_WOF_F2_1_plant_65</t>
  </si>
  <si>
    <t>CU_ARS_2025_WOF_F2_1_plant_66</t>
  </si>
  <si>
    <t>CU_ARS_2025_WOF_F2_1_plant_67</t>
  </si>
  <si>
    <t>CU_ARS_2025_WOF_F2_1_plant_68</t>
  </si>
  <si>
    <t>CU_ARS_2025_WOF_F2_1_plant_69</t>
  </si>
  <si>
    <t>CU_ARS_2025_WOF_F2_1_plant_70</t>
  </si>
  <si>
    <t>CU_ARS_2025_WOF_F2_1_plant_71</t>
  </si>
  <si>
    <t>CU_ARS_2025_WOF_F2_1_plant_72</t>
  </si>
  <si>
    <t>CU_ARS_2025_WOF_F2_2_plant_1</t>
  </si>
  <si>
    <t>CU_ARS_2025_WOF_F2_2</t>
  </si>
  <si>
    <t>CU_ARS_2025_WOF_cross_45</t>
  </si>
  <si>
    <t>CU_ARS_2025_WOF_F2_2_plant_2</t>
  </si>
  <si>
    <t>CU_ARS_2025_WOF_F2_2_plant_3</t>
  </si>
  <si>
    <t>CU_ARS_2025_WOF_F2_2_plant_4</t>
  </si>
  <si>
    <t>CU_ARS_2025_WOF_F2_2_plant_5</t>
  </si>
  <si>
    <t>CU_ARS_2025_WOF_F2_2_plant_6</t>
  </si>
  <si>
    <t>CU_ARS_2025_WOF_F2_2_plant_7</t>
  </si>
  <si>
    <t>CU_ARS_2025_WOF_F2_2_plant_8</t>
  </si>
  <si>
    <t>CU_ARS_2025_WOF_F2_2_plant_9</t>
  </si>
  <si>
    <t>CU_ARS_2025_WOF_F2_2_plant_10</t>
  </si>
  <si>
    <t>CU_ARS_2025_WOF_F2_2_plant_11</t>
  </si>
  <si>
    <t>CU_ARS_2025_WOF_F2_2_plant_12</t>
  </si>
  <si>
    <t>CU_ARS_2025_WOF_F2_2_plant_13</t>
  </si>
  <si>
    <t>CU_ARS_2025_WOF_F2_2_plant_14</t>
  </si>
  <si>
    <t>CU_ARS_2025_WOF_F2_2_plant_15</t>
  </si>
  <si>
    <t>CU_ARS_2025_WOF_F2_2_plant_16</t>
  </si>
  <si>
    <t>CU_ARS_2025_WOF_F2_2_plant_17</t>
  </si>
  <si>
    <t>CU_ARS_2025_WOF_F2_2_plant_18</t>
  </si>
  <si>
    <t>CU_ARS_2025_WOF_F2_2_plant_19</t>
  </si>
  <si>
    <t>CU_ARS_2025_WOF_F2_2_plant_20</t>
  </si>
  <si>
    <t>CU_ARS_2025_WOF_F2_2_plant_21</t>
  </si>
  <si>
    <t>CU_ARS_2025_WOF_F2_2_plant_22</t>
  </si>
  <si>
    <t>CU_ARS_2025_WOF_F2_2_plant_23</t>
  </si>
  <si>
    <t>CU_ARS_2025_WOF_F2_2_plant_24</t>
  </si>
  <si>
    <t>CU_ARS_2025_WOF_F2_2_plant_25</t>
  </si>
  <si>
    <t>CU_ARS_2025_WOF_F2_2_plant_26</t>
  </si>
  <si>
    <t>CU_ARS_2025_WOF_F2_2_plant_27</t>
  </si>
  <si>
    <t>CU_ARS_2025_WOF_F2_2_plant_28</t>
  </si>
  <si>
    <t>CU_ARS_2025_WOF_F2_2_plant_29</t>
  </si>
  <si>
    <t>CU_ARS_2025_WOF_F2_2_plant_30</t>
  </si>
  <si>
    <t>CU_ARS_2025_WOF_F2_2_plant_31</t>
  </si>
  <si>
    <t>CU_ARS_2025_WOF_F2_2_plant_32</t>
  </si>
  <si>
    <t>CU_ARS_2025_WOF_F2_2_plant_33</t>
  </si>
  <si>
    <t>CU_ARS_2025_WOF_F2_2_plant_34</t>
  </si>
  <si>
    <t>CU_ARS_2025_WOF_F2_2_plant_35</t>
  </si>
  <si>
    <t>CU_ARS_2025_WOF_F2_2_plant_36</t>
  </si>
  <si>
    <t>CU_ARS_2025_WOF_F2_2_plant_37</t>
  </si>
  <si>
    <t>CU_ARS_2025_WOF_F2_2_plant_38</t>
  </si>
  <si>
    <t>CU_ARS_2025_WOF_F2_2_plant_39</t>
  </si>
  <si>
    <t>CU_ARS_2025_WOF_F2_2_plant_40</t>
  </si>
  <si>
    <t>CU_ARS_2025_WOF_F2_2_plant_41</t>
  </si>
  <si>
    <t>CU_ARS_2025_WOF_F2_2_plant_42</t>
  </si>
  <si>
    <t>CU_ARS_2025_WOF_F2_2_plant_43</t>
  </si>
  <si>
    <t>CU_ARS_2025_WOF_F2_2_plant_44</t>
  </si>
  <si>
    <t>CU_ARS_2025_WOF_F2_2_plant_45</t>
  </si>
  <si>
    <t>CU_ARS_2025_WOF_F2_2_plant_46</t>
  </si>
  <si>
    <t>CU_ARS_2025_WOF_F2_2_plant_47</t>
  </si>
  <si>
    <t>CU_ARS_2025_WOF_F2_2_plant_48</t>
  </si>
  <si>
    <t>CU_ARS_2025_WOF_F2_2_plant_49</t>
  </si>
  <si>
    <t>CU_ARS_2025_WOF_F2_2_plant_50</t>
  </si>
  <si>
    <t>CU_ARS_2025_WOF_F2_2_plant_51</t>
  </si>
  <si>
    <t>CU_ARS_2025_WOF_F2_2_plant_52</t>
  </si>
  <si>
    <t>CU_ARS_2025_WOF_F2_2_plant_53</t>
  </si>
  <si>
    <t>CU_ARS_2025_WOF_F2_2_plant_54</t>
  </si>
  <si>
    <t>CU_ARS_2025_WOF_F2_2_plant_55</t>
  </si>
  <si>
    <t>CU_ARS_2025_WOF_F2_2_plant_56</t>
  </si>
  <si>
    <t>CU_ARS_2025_WOF_F2_2_plant_57</t>
  </si>
  <si>
    <t>CU_ARS_2025_WOF_F2_2_plant_58</t>
  </si>
  <si>
    <t>CU_ARS_2025_WOF_F2_2_plant_59</t>
  </si>
  <si>
    <t>CU_ARS_2025_WOF_F2_2_plant_60</t>
  </si>
  <si>
    <t>CU_ARS_2025_WOF_F2_2_plant_61</t>
  </si>
  <si>
    <t>CU_ARS_2025_WOF_F2_2_plant_62</t>
  </si>
  <si>
    <t>CU_ARS_2025_WOF_F2_2_plant_63</t>
  </si>
  <si>
    <t>CU_ARS_2025_WOF_F2_2_plant_64</t>
  </si>
  <si>
    <t>CU_ARS_2025_WOF_F2_2_plant_65</t>
  </si>
  <si>
    <t>CU_ARS_2025_WOF_F2_2_plant_66</t>
  </si>
  <si>
    <t>CU_ARS_2025_WOF_F2_2_plant_67</t>
  </si>
  <si>
    <t>CU_ARS_2025_WOF_F2_2_plant_68</t>
  </si>
  <si>
    <t>CU_ARS_2025_WOF_F2_2_plant_69</t>
  </si>
  <si>
    <t>CU_ARS_2025_WOF_F2_2_plant_70</t>
  </si>
  <si>
    <t>CU_ARS_2025_WOF_F2_2_plant_71</t>
  </si>
  <si>
    <t>CU_ARS_2025_WOF_F2_2_plant_72</t>
  </si>
  <si>
    <t>CU_ARS_2025_WOF_F2_3_plant_1</t>
  </si>
  <si>
    <t>CU_ARS_2025_WOF_F2_3</t>
  </si>
  <si>
    <t>CU_ARS_2025_WOF_cross_87</t>
  </si>
  <si>
    <t>CU_ARS_2025_WOF_F2_3_plant_2</t>
  </si>
  <si>
    <t>CU_ARS_2025_WOF_F2_3_plant_3</t>
  </si>
  <si>
    <t>CU_ARS_2025_WOF_F2_3_plant_4</t>
  </si>
  <si>
    <t>CU_ARS_2025_WOF_F2_3_plant_5</t>
  </si>
  <si>
    <t>CU_ARS_2025_WOF_F2_3_plant_6</t>
  </si>
  <si>
    <t>CU_ARS_2025_WOF_F2_3_plant_7</t>
  </si>
  <si>
    <t>CU_ARS_2025_WOF_F2_3_plant_8</t>
  </si>
  <si>
    <t>CU_ARS_2025_WOF_F2_3_plant_9</t>
  </si>
  <si>
    <t>CU_ARS_2025_WOF_F2_3_plant_10</t>
  </si>
  <si>
    <t>CU_ARS_2025_WOF_F2_3_plant_11</t>
  </si>
  <si>
    <t>CU_ARS_2025_WOF_F2_3_plant_12</t>
  </si>
  <si>
    <t>CU_ARS_2025_WOF_F2_3_plant_13</t>
  </si>
  <si>
    <t>CU_ARS_2025_WOF_F2_3_plant_14</t>
  </si>
  <si>
    <t>CU_ARS_2025_WOF_F2_3_plant_15</t>
  </si>
  <si>
    <t>CU_ARS_2025_WOF_F2_3_plant_16</t>
  </si>
  <si>
    <t>CU_ARS_2025_WOF_F2_3_plant_17</t>
  </si>
  <si>
    <t>CU_ARS_2025_WOF_F2_3_plant_18</t>
  </si>
  <si>
    <t>CU_ARS_2025_WOF_F2_3_plant_19</t>
  </si>
  <si>
    <t>CU_ARS_2025_WOF_F2_3_plant_20</t>
  </si>
  <si>
    <t>CU_ARS_2025_WOF_F2_3_plant_21</t>
  </si>
  <si>
    <t>CU_ARS_2025_WOF_F2_3_plant_22</t>
  </si>
  <si>
    <t>CU_ARS_2025_WOF_F2_3_plant_23</t>
  </si>
  <si>
    <t>CU_ARS_2025_WOF_F2_3_plant_24</t>
  </si>
  <si>
    <t>CU_ARS_2025_WOF_F2_3_plant_25</t>
  </si>
  <si>
    <t>CU_ARS_2025_WOF_F2_3_plant_26</t>
  </si>
  <si>
    <t>CU_ARS_2025_WOF_F2_3_plant_27</t>
  </si>
  <si>
    <t>CU_ARS_2025_WOF_F2_3_plant_28</t>
  </si>
  <si>
    <t>CU_ARS_2025_WOF_F2_3_plant_29</t>
  </si>
  <si>
    <t>CU_ARS_2025_WOF_F2_3_plant_30</t>
  </si>
  <si>
    <t>CU_ARS_2025_WOF_F2_3_plant_31</t>
  </si>
  <si>
    <t>CU_ARS_2025_WOF_F2_3_plant_32</t>
  </si>
  <si>
    <t>CU_ARS_2025_WOF_F2_3_plant_33</t>
  </si>
  <si>
    <t>CU_ARS_2025_WOF_F2_3_plant_34</t>
  </si>
  <si>
    <t>CU_ARS_2025_WOF_F2_3_plant_35</t>
  </si>
  <si>
    <t>CU_ARS_2025_WOF_F2_3_plant_36</t>
  </si>
  <si>
    <t>CU_ARS_2025_WOF_F2_3_plant_37</t>
  </si>
  <si>
    <t>CU_ARS_2025_WOF_F2_3_plant_38</t>
  </si>
  <si>
    <t>CU_ARS_2025_WOF_F2_3_plant_39</t>
  </si>
  <si>
    <t>CU_ARS_2025_WOF_F2_3_plant_40</t>
  </si>
  <si>
    <t>CU_ARS_2025_WOF_F2_3_plant_41</t>
  </si>
  <si>
    <t>CU_ARS_2025_WOF_F2_3_plant_42</t>
  </si>
  <si>
    <t>CU_ARS_2025_WOF_F2_3_plant_43</t>
  </si>
  <si>
    <t>CU_ARS_2025_WOF_F2_3_plant_44</t>
  </si>
  <si>
    <t>CU_ARS_2025_WOF_F2_3_plant_45</t>
  </si>
  <si>
    <t>CU_ARS_2025_WOF_F2_3_plant_46</t>
  </si>
  <si>
    <t>CU_ARS_2025_WOF_F2_3_plant_47</t>
  </si>
  <si>
    <t>CU_ARS_2025_WOF_F2_3_plant_48</t>
  </si>
  <si>
    <t>CU_ARS_2025_WOF_F2_3_plant_49</t>
  </si>
  <si>
    <t>CU_ARS_2025_WOF_F2_3_plant_50</t>
  </si>
  <si>
    <t>CU_ARS_2025_WOF_F2_3_plant_51</t>
  </si>
  <si>
    <t>CU_ARS_2025_WOF_F2_3_plant_52</t>
  </si>
  <si>
    <t>CU_ARS_2025_WOF_F2_3_plant_53</t>
  </si>
  <si>
    <t>CU_ARS_2025_WOF_F2_3_plant_54</t>
  </si>
  <si>
    <t>CU_ARS_2025_WOF_F2_3_plant_55</t>
  </si>
  <si>
    <t>CU_ARS_2025_WOF_F2_3_plant_56</t>
  </si>
  <si>
    <t>CU_ARS_2025_WOF_F2_3_plant_57</t>
  </si>
  <si>
    <t>CU_ARS_2025_WOF_F2_3_plant_58</t>
  </si>
  <si>
    <t>CU_ARS_2025_WOF_F2_3_plant_59</t>
  </si>
  <si>
    <t>CU_ARS_2025_WOF_F2_3_plant_60</t>
  </si>
  <si>
    <t>CU_ARS_2025_WOF_F2_3_plant_61</t>
  </si>
  <si>
    <t>CU_ARS_2025_WOF_F2_3_plant_62</t>
  </si>
  <si>
    <t>CU_ARS_2025_WOF_F2_3_plant_63</t>
  </si>
  <si>
    <t>CU_ARS_2025_WOF_F2_3_plant_64</t>
  </si>
  <si>
    <t>CU_ARS_2025_WOF_F2_3_plant_65</t>
  </si>
  <si>
    <t>CU_ARS_2025_WOF_F2_3_plant_66</t>
  </si>
  <si>
    <t>CU_ARS_2025_WOF_F2_3_plant_67</t>
  </si>
  <si>
    <t>CU_ARS_2025_WOF_F2_3_plant_68</t>
  </si>
  <si>
    <t>CU_ARS_2025_WOF_F2_3_plant_69</t>
  </si>
  <si>
    <t>CU_ARS_2025_WOF_F2_3_plant_70</t>
  </si>
  <si>
    <t>CU_ARS_2025_WOF_F2_3_plant_71</t>
  </si>
  <si>
    <t>CU_ARS_2025_WOF_F2_3_plant_72</t>
  </si>
  <si>
    <t>CU_ARS_2025_WOF_F2_4_plant_1</t>
  </si>
  <si>
    <t>CU_ARS_2025_WOF_F2_4</t>
  </si>
  <si>
    <t>CU_ARS_2025_WOF_cross_19</t>
  </si>
  <si>
    <t>CU_ARS_2025_WOF_F2_4_plant_2</t>
  </si>
  <si>
    <t>CU_ARS_2025_WOF_F2_4_plant_3</t>
  </si>
  <si>
    <t>CU_ARS_2025_WOF_F2_4_plant_4</t>
  </si>
  <si>
    <t>CU_ARS_2025_WOF_F2_4_plant_5</t>
  </si>
  <si>
    <t>CU_ARS_2025_WOF_F2_4_plant_6</t>
  </si>
  <si>
    <t>CU_ARS_2025_WOF_F2_4_plant_7</t>
  </si>
  <si>
    <t>CU_ARS_2025_WOF_F2_4_plant_8</t>
  </si>
  <si>
    <t>CU_ARS_2025_WOF_F2_4_plant_9</t>
  </si>
  <si>
    <t>CU_ARS_2025_WOF_F2_4_plant_10</t>
  </si>
  <si>
    <t>CU_ARS_2025_WOF_F2_4_plant_11</t>
  </si>
  <si>
    <t>CU_ARS_2025_WOF_F2_4_plant_12</t>
  </si>
  <si>
    <t>CU_ARS_2025_WOF_F2_4_plant_13</t>
  </si>
  <si>
    <t>CU_ARS_2025_WOF_F2_4_plant_14</t>
  </si>
  <si>
    <t>CU_ARS_2025_WOF_F2_4_plant_15</t>
  </si>
  <si>
    <t>CU_ARS_2025_WOF_F2_4_plant_16</t>
  </si>
  <si>
    <t>CU_ARS_2025_WOF_F2_4_plant_17</t>
  </si>
  <si>
    <t>CU_ARS_2025_WOF_F2_4_plant_18</t>
  </si>
  <si>
    <t>CU_ARS_2025_WOF_F2_4_plant_19</t>
  </si>
  <si>
    <t>CU_ARS_2025_WOF_F2_4_plant_20</t>
  </si>
  <si>
    <t>CU_ARS_2025_WOF_F2_4_plant_21</t>
  </si>
  <si>
    <t>CU_ARS_2025_WOF_F2_4_plant_22</t>
  </si>
  <si>
    <t>CU_ARS_2025_WOF_F2_4_plant_23</t>
  </si>
  <si>
    <t>CU_ARS_2025_WOF_F2_4_plant_24</t>
  </si>
  <si>
    <t>CU_ARS_2025_WOF_F2_4_plant_25</t>
  </si>
  <si>
    <t>CU_ARS_2025_WOF_F2_4_plant_26</t>
  </si>
  <si>
    <t>CU_ARS_2025_WOF_F2_4_plant_27</t>
  </si>
  <si>
    <t>CU_ARS_2025_WOF_F2_4_plant_28</t>
  </si>
  <si>
    <t>CU_ARS_2025_WOF_F2_4_plant_29</t>
  </si>
  <si>
    <t>CU_ARS_2025_WOF_F2_4_plant_30</t>
  </si>
  <si>
    <t>CU_ARS_2025_WOF_F2_4_plant_31</t>
  </si>
  <si>
    <t>CU_ARS_2025_WOF_F2_4_plant_32</t>
  </si>
  <si>
    <t>CU_ARS_2025_WOF_F2_4_plant_33</t>
  </si>
  <si>
    <t>CU_ARS_2025_WOF_F2_4_plant_34</t>
  </si>
  <si>
    <t>CU_ARS_2025_WOF_F2_4_plant_35</t>
  </si>
  <si>
    <t>CU_ARS_2025_WOF_F2_4_plant_36</t>
  </si>
  <si>
    <t>CU_ARS_2025_WOF_F2_4_plant_37</t>
  </si>
  <si>
    <t>CU_ARS_2025_WOF_F2_4_plant_38</t>
  </si>
  <si>
    <t>CU_ARS_2025_WOF_F2_4_plant_39</t>
  </si>
  <si>
    <t>CU_ARS_2025_WOF_F2_4_plant_40</t>
  </si>
  <si>
    <t>CU_ARS_2025_WOF_F2_4_plant_41</t>
  </si>
  <si>
    <t>CU_ARS_2025_WOF_F2_4_plant_42</t>
  </si>
  <si>
    <t>CU_ARS_2025_WOF_F2_4_plant_43</t>
  </si>
  <si>
    <t>CU_ARS_2025_WOF_F2_4_plant_44</t>
  </si>
  <si>
    <t>CU_ARS_2025_WOF_F2_4_plant_45</t>
  </si>
  <si>
    <t>CU_ARS_2025_WOF_F2_4_plant_46</t>
  </si>
  <si>
    <t>CU_ARS_2025_WOF_F2_4_plant_47</t>
  </si>
  <si>
    <t>CU_ARS_2025_WOF_F2_4_plant_48</t>
  </si>
  <si>
    <t>CU_ARS_2025_WOF_F2_4_plant_49</t>
  </si>
  <si>
    <t>CU_ARS_2025_WOF_F2_4_plant_50</t>
  </si>
  <si>
    <t>CU_ARS_2025_WOF_F2_4_plant_51</t>
  </si>
  <si>
    <t>CU_ARS_2025_WOF_F2_4_plant_52</t>
  </si>
  <si>
    <t>CU_ARS_2025_WOF_F2_4_plant_53</t>
  </si>
  <si>
    <t>CU_ARS_2025_WOF_F2_4_plant_54</t>
  </si>
  <si>
    <t>CU_ARS_2025_WOF_F2_4_plant_55</t>
  </si>
  <si>
    <t>CU_ARS_2025_WOF_F2_4_plant_56</t>
  </si>
  <si>
    <t>CU_ARS_2025_WOF_F2_4_plant_57</t>
  </si>
  <si>
    <t>CU_ARS_2025_WOF_F2_4_plant_58</t>
  </si>
  <si>
    <t>CU_ARS_2025_WOF_F2_4_plant_59</t>
  </si>
  <si>
    <t>CU_ARS_2025_WOF_F2_4_plant_60</t>
  </si>
  <si>
    <t>CU_ARS_2025_WOF_F2_4_plant_61</t>
  </si>
  <si>
    <t>CU_ARS_2025_WOF_F2_4_plant_62</t>
  </si>
  <si>
    <t>CU_ARS_2025_WOF_F2_4_plant_63</t>
  </si>
  <si>
    <t>CU_ARS_2025_WOF_F2_4_plant_64</t>
  </si>
  <si>
    <t>CU_ARS_2025_WOF_F2_4_plant_65</t>
  </si>
  <si>
    <t>CU_ARS_2025_WOF_F2_4_plant_66</t>
  </si>
  <si>
    <t>CU_ARS_2025_WOF_F2_4_plant_67</t>
  </si>
  <si>
    <t>CU_ARS_2025_WOF_F2_4_plant_68</t>
  </si>
  <si>
    <t>CU_ARS_2025_WOF_F2_4_plant_69</t>
  </si>
  <si>
    <t>CU_ARS_2025_WOF_F2_4_plant_70</t>
  </si>
  <si>
    <t>CU_ARS_2025_WOF_F2_4_plant_71</t>
  </si>
  <si>
    <t>CU_ARS_2025_WOF_F2_5_plant_1</t>
  </si>
  <si>
    <t>CU_ARS_2025_WOF_F2_5</t>
  </si>
  <si>
    <t>CU_ARS_2025_WOF_cross_54</t>
  </si>
  <si>
    <t>CU_ARS_2025_WOF_F2_5_plant_2</t>
  </si>
  <si>
    <t>CU_ARS_2025_WOF_F2_5_plant_3</t>
  </si>
  <si>
    <t>CU_ARS_2025_WOF_F2_5_plant_4</t>
  </si>
  <si>
    <t>CU_ARS_2025_WOF_F2_5_plant_5</t>
  </si>
  <si>
    <t>CU_ARS_2025_WOF_F2_5_plant_6</t>
  </si>
  <si>
    <t>CU_ARS_2025_WOF_F2_5_plant_7</t>
  </si>
  <si>
    <t>CU_ARS_2025_WOF_F2_5_plant_8</t>
  </si>
  <si>
    <t>CU_ARS_2025_WOF_F2_5_plant_9</t>
  </si>
  <si>
    <t>CU_ARS_2025_WOF_F2_5_plant_10</t>
  </si>
  <si>
    <t>CU_ARS_2025_WOF_F2_5_plant_11</t>
  </si>
  <si>
    <t>CU_ARS_2025_WOF_F2_5_plant_12</t>
  </si>
  <si>
    <t>CU_ARS_2025_WOF_F2_5_plant_13</t>
  </si>
  <si>
    <t>CU_ARS_2025_WOF_F2_5_plant_14</t>
  </si>
  <si>
    <t>CU_ARS_2025_WOF_F2_5_plant_15</t>
  </si>
  <si>
    <t>CU_ARS_2025_WOF_F2_5_plant_16</t>
  </si>
  <si>
    <t>CU_ARS_2025_WOF_F2_5_plant_17</t>
  </si>
  <si>
    <t>CU_ARS_2025_WOF_F2_5_plant_18</t>
  </si>
  <si>
    <t>CU_ARS_2025_WOF_F2_5_plant_19</t>
  </si>
  <si>
    <t>CU_ARS_2025_WOF_F2_5_plant_20</t>
  </si>
  <si>
    <t>CU_ARS_2025_WOF_F2_5_plant_21</t>
  </si>
  <si>
    <t>CU_ARS_2025_WOF_F2_5_plant_22</t>
  </si>
  <si>
    <t>CU_ARS_2025_WOF_F2_5_plant_23</t>
  </si>
  <si>
    <t>CU_ARS_2025_WOF_F2_5_plant_24</t>
  </si>
  <si>
    <t>CU_ARS_2025_WOF_F2_5_plant_25</t>
  </si>
  <si>
    <t>CU_ARS_2025_WOF_F2_5_plant_26</t>
  </si>
  <si>
    <t>CU_ARS_2025_WOF_F2_5_plant_27</t>
  </si>
  <si>
    <t>CU_ARS_2025_WOF_F2_5_plant_28</t>
  </si>
  <si>
    <t>CU_ARS_2025_WOF_F2_5_plant_29</t>
  </si>
  <si>
    <t>CU_ARS_2025_WOF_F2_5_plant_30</t>
  </si>
  <si>
    <t>CU_ARS_2025_WOF_F2_5_plant_31</t>
  </si>
  <si>
    <t>CU_ARS_2025_WOF_F2_5_plant_32</t>
  </si>
  <si>
    <t>CU_ARS_2025_WOF_F2_5_plant_33</t>
  </si>
  <si>
    <t>CU_ARS_2025_WOF_F2_5_plant_34</t>
  </si>
  <si>
    <t>CU_ARS_2025_WOF_F2_5_plant_35</t>
  </si>
  <si>
    <t>CU_ARS_2025_WOF_F2_5_plant_36</t>
  </si>
  <si>
    <t>CU_ARS_2025_WOF_F2_5_plant_37</t>
  </si>
  <si>
    <t>CU_ARS_2025_WOF_F2_5_plant_38</t>
  </si>
  <si>
    <t>CU_ARS_2025_WOF_F2_5_plant_39</t>
  </si>
  <si>
    <t>CU_ARS_2025_WOF_F2_5_plant_40</t>
  </si>
  <si>
    <t>CU_ARS_2025_WOF_F2_5_plant_41</t>
  </si>
  <si>
    <t>CU_ARS_2025_WOF_F2_5_plant_42</t>
  </si>
  <si>
    <t>CU_ARS_2025_WOF_F2_5_plant_43</t>
  </si>
  <si>
    <t>CU_ARS_2025_WOF_F2_5_plant_44</t>
  </si>
  <si>
    <t>CU_ARS_2025_WOF_F2_5_plant_45</t>
  </si>
  <si>
    <t>CU_ARS_2025_WOF_F2_5_plant_46</t>
  </si>
  <si>
    <t>CU_ARS_2025_WOF_F2_5_plant_47</t>
  </si>
  <si>
    <t>CU_ARS_2025_WOF_F2_5_plant_48</t>
  </si>
  <si>
    <t>CU_ARS_2025_WOF_F2_5_plant_49</t>
  </si>
  <si>
    <t>CU_ARS_2025_WOF_F2_5_plant_50</t>
  </si>
  <si>
    <t>CU_ARS_2025_WOF_F2_5_plant_51</t>
  </si>
  <si>
    <t>CU_ARS_2025_WOF_F2_5_plant_52</t>
  </si>
  <si>
    <t>CU_ARS_2025_WOF_F2_5_plant_53</t>
  </si>
  <si>
    <t>CU_ARS_2025_WOF_F2_5_plant_54</t>
  </si>
  <si>
    <t>CU_ARS_2025_WOF_F2_5_plant_55</t>
  </si>
  <si>
    <t>CU_ARS_2025_WOF_F2_5_plant_56</t>
  </si>
  <si>
    <t>CU_ARS_2025_WOF_F2_5_plant_57</t>
  </si>
  <si>
    <t>CU_ARS_2025_WOF_F2_5_plant_58</t>
  </si>
  <si>
    <t>CU_ARS_2025_WOF_F2_5_plant_59</t>
  </si>
  <si>
    <t>CU_ARS_2025_WOF_F2_5_plant_60</t>
  </si>
  <si>
    <t>CU_ARS_2025_WOF_F2_5_plant_61</t>
  </si>
  <si>
    <t>CU_ARS_2025_WOF_F2_5_plant_62</t>
  </si>
  <si>
    <t>CU_ARS_2025_WOF_F2_5_plant_63</t>
  </si>
  <si>
    <t>CU_ARS_2025_WOF_F2_5_plant_64</t>
  </si>
  <si>
    <t>CU_ARS_2025_WOF_F2_5_plant_65</t>
  </si>
  <si>
    <t>CU_ARS_2025_WOF_F2_5_plant_66</t>
  </si>
  <si>
    <t>CU_ARS_2025_WOF_F2_5_plant_67</t>
  </si>
  <si>
    <t>CU_ARS_2025_WOF_F2_5_plant_68</t>
  </si>
  <si>
    <t>CU_ARS_2025_WOF_F2_5_plant_69</t>
  </si>
  <si>
    <t>CU_ARS_2025_WOF_F2_5_plant_70</t>
  </si>
  <si>
    <t>CU_ARS_2025_WOF_F2_5_plant_71</t>
  </si>
  <si>
    <t>CU_ARS_2025_WOF_F2_6_plant_1</t>
  </si>
  <si>
    <t>CU_ARS_2025_WOF_F2_6</t>
  </si>
  <si>
    <t>CU_ARS_2025_WOF_cross_4</t>
  </si>
  <si>
    <t>CU_ARS_2025_WOF_F2_6_plant_2</t>
  </si>
  <si>
    <t>CU_ARS_2025_WOF_F2_6_plant_3</t>
  </si>
  <si>
    <t>CU_ARS_2025_WOF_F2_6_plant_4</t>
  </si>
  <si>
    <t>CU_ARS_2025_WOF_F2_6_plant_5</t>
  </si>
  <si>
    <t>CU_ARS_2025_WOF_F2_6_plant_6</t>
  </si>
  <si>
    <t>CU_ARS_2025_WOF_F2_6_plant_7</t>
  </si>
  <si>
    <t>CU_ARS_2025_WOF_F2_6_plant_8</t>
  </si>
  <si>
    <t>CU_ARS_2025_WOF_F2_6_plant_9</t>
  </si>
  <si>
    <t>CU_ARS_2025_WOF_F2_6_plant_10</t>
  </si>
  <si>
    <t>CU_ARS_2025_WOF_F2_6_plant_11</t>
  </si>
  <si>
    <t>CU_ARS_2025_WOF_F2_6_plant_12</t>
  </si>
  <si>
    <t>CU_ARS_2025_WOF_F2_6_plant_13</t>
  </si>
  <si>
    <t>CU_ARS_2025_WOF_F2_6_plant_14</t>
  </si>
  <si>
    <t>CU_ARS_2025_WOF_F2_6_plant_15</t>
  </si>
  <si>
    <t>CU_ARS_2025_WOF_F2_6_plant_16</t>
  </si>
  <si>
    <t>CU_ARS_2025_WOF_F2_6_plant_17</t>
  </si>
  <si>
    <t>CU_ARS_2025_WOF_F2_6_plant_18</t>
  </si>
  <si>
    <t>CU_ARS_2025_WOF_F2_6_plant_19</t>
  </si>
  <si>
    <t>CU_ARS_2025_WOF_F2_6_plant_20</t>
  </si>
  <si>
    <t>CU_ARS_2025_WOF_F2_6_plant_21</t>
  </si>
  <si>
    <t>CU_ARS_2025_WOF_F2_6_plant_22</t>
  </si>
  <si>
    <t>CU_ARS_2025_WOF_F2_6_plant_23</t>
  </si>
  <si>
    <t>CU_ARS_2025_WOF_F2_6_plant_24</t>
  </si>
  <si>
    <t>CU_ARS_2025_WOF_F2_6_plant_25</t>
  </si>
  <si>
    <t>CU_ARS_2025_WOF_F2_6_plant_26</t>
  </si>
  <si>
    <t>CU_ARS_2025_WOF_F2_6_plant_27</t>
  </si>
  <si>
    <t>CU_ARS_2025_WOF_F2_6_plant_28</t>
  </si>
  <si>
    <t>CU_ARS_2025_WOF_F2_6_plant_29</t>
  </si>
  <si>
    <t>CU_ARS_2025_WOF_F2_6_plant_30</t>
  </si>
  <si>
    <t>CU_ARS_2025_WOF_F2_6_plant_31</t>
  </si>
  <si>
    <t>CU_ARS_2025_WOF_F2_6_plant_32</t>
  </si>
  <si>
    <t>CU_ARS_2025_WOF_F2_6_plant_33</t>
  </si>
  <si>
    <t>CU_ARS_2025_WOF_F2_6_plant_34</t>
  </si>
  <si>
    <t>CU_ARS_2025_WOF_F2_6_plant_35</t>
  </si>
  <si>
    <t>CU_ARS_2025_WOF_F2_6_plant_36</t>
  </si>
  <si>
    <t>CU_ARS_2025_WOF_F2_6_plant_37</t>
  </si>
  <si>
    <t>CU_ARS_2025_WOF_F2_6_plant_38</t>
  </si>
  <si>
    <t>CU_ARS_2025_WOF_F2_6_plant_39</t>
  </si>
  <si>
    <t>CU_ARS_2025_WOF_F2_6_plant_40</t>
  </si>
  <si>
    <t>CU_ARS_2025_WOF_F2_6_plant_41</t>
  </si>
  <si>
    <t>CU_ARS_2025_WOF_F2_6_plant_42</t>
  </si>
  <si>
    <t>CU_ARS_2025_WOF_F2_6_plant_43</t>
  </si>
  <si>
    <t>CU_ARS_2025_WOF_F2_6_plant_44</t>
  </si>
  <si>
    <t>CU_ARS_2025_WOF_F2_6_plant_45</t>
  </si>
  <si>
    <t>CU_ARS_2025_WOF_F2_6_plant_46</t>
  </si>
  <si>
    <t>CU_ARS_2025_WOF_F2_6_plant_47</t>
  </si>
  <si>
    <t>CU_ARS_2025_WOF_F2_6_plant_48</t>
  </si>
  <si>
    <t>CU_ARS_2025_WOF_F2_6_plant_49</t>
  </si>
  <si>
    <t>CU_ARS_2025_WOF_F2_6_plant_50</t>
  </si>
  <si>
    <t>CU_ARS_2025_WOF_F2_6_plant_51</t>
  </si>
  <si>
    <t>CU_ARS_2025_WOF_F2_6_plant_52</t>
  </si>
  <si>
    <t>CU_ARS_2025_WOF_F2_6_plant_53</t>
  </si>
  <si>
    <t>CU_ARS_2025_WOF_F2_6_plant_54</t>
  </si>
  <si>
    <t>CU_ARS_2025_WOF_F2_6_plant_55</t>
  </si>
  <si>
    <t>CU_ARS_2025_WOF_F2_6_plant_56</t>
  </si>
  <si>
    <t>CU_ARS_2025_WOF_F2_6_plant_57</t>
  </si>
  <si>
    <t>CU_ARS_2025_WOF_F2_6_plant_58</t>
  </si>
  <si>
    <t>CU_ARS_2025_WOF_F2_6_plant_59</t>
  </si>
  <si>
    <t>CU_ARS_2025_WOF_F2_6_plant_60</t>
  </si>
  <si>
    <t>CU_ARS_2025_WOF_F2_6_plant_61</t>
  </si>
  <si>
    <t>CU_ARS_2025_WOF_F2_6_plant_62</t>
  </si>
  <si>
    <t>CU_ARS_2025_WOF_F2_6_plant_63</t>
  </si>
  <si>
    <t>CU_ARS_2025_WOF_F2_6_plant_64</t>
  </si>
  <si>
    <t>CU_ARS_2025_WOF_F2_6_plant_65</t>
  </si>
  <si>
    <t>CU_ARS_2025_WOF_F2_6_plant_66</t>
  </si>
  <si>
    <t>CU_ARS_2025_WOF_F2_6_plant_67</t>
  </si>
  <si>
    <t>CU_ARS_2025_WOF_F2_6_plant_68</t>
  </si>
  <si>
    <t>CU_ARS_2025_WOF_F2_6_plant_69</t>
  </si>
  <si>
    <t>CU_ARS_2025_WOF_F2_6_plant_70</t>
  </si>
  <si>
    <t>CU_ARS_2025_WOF_F2_6_plant_71</t>
  </si>
  <si>
    <t>CU_ARS_2025_WOF_F2_7_plant_1</t>
  </si>
  <si>
    <t>CU_ARS_2025_WOF_F2_7</t>
  </si>
  <si>
    <t>CU_ARS_2025_WOF_cross_83</t>
  </si>
  <si>
    <t>CU_ARS_2025_WOF_F2_7_plant_2</t>
  </si>
  <si>
    <t>CU_ARS_2025_WOF_F2_7_plant_3</t>
  </si>
  <si>
    <t>CU_ARS_2025_WOF_F2_7_plant_4</t>
  </si>
  <si>
    <t>CU_ARS_2025_WOF_F2_7_plant_5</t>
  </si>
  <si>
    <t>CU_ARS_2025_WOF_F2_7_plant_6</t>
  </si>
  <si>
    <t>CU_ARS_2025_WOF_F2_7_plant_7</t>
  </si>
  <si>
    <t>CU_ARS_2025_WOF_F2_7_plant_8</t>
  </si>
  <si>
    <t>CU_ARS_2025_WOF_F2_7_plant_9</t>
  </si>
  <si>
    <t>CU_ARS_2025_WOF_F2_7_plant_10</t>
  </si>
  <si>
    <t>CU_ARS_2025_WOF_F2_7_plant_11</t>
  </si>
  <si>
    <t>CU_ARS_2025_WOF_F2_7_plant_12</t>
  </si>
  <si>
    <t>CU_ARS_2025_WOF_F2_7_plant_13</t>
  </si>
  <si>
    <t>CU_ARS_2025_WOF_F2_7_plant_14</t>
  </si>
  <si>
    <t>CU_ARS_2025_WOF_F2_7_plant_15</t>
  </si>
  <si>
    <t>CU_ARS_2025_WOF_F2_7_plant_16</t>
  </si>
  <si>
    <t>CU_ARS_2025_WOF_F2_7_plant_17</t>
  </si>
  <si>
    <t>CU_ARS_2025_WOF_F2_7_plant_18</t>
  </si>
  <si>
    <t>CU_ARS_2025_WOF_F2_7_plant_19</t>
  </si>
  <si>
    <t>CU_ARS_2025_WOF_F2_7_plant_20</t>
  </si>
  <si>
    <t>CU_ARS_2025_WOF_F2_7_plant_21</t>
  </si>
  <si>
    <t>CU_ARS_2025_WOF_F2_7_plant_22</t>
  </si>
  <si>
    <t>CU_ARS_2025_WOF_F2_7_plant_23</t>
  </si>
  <si>
    <t>CU_ARS_2025_WOF_F2_7_plant_24</t>
  </si>
  <si>
    <t>CU_ARS_2025_WOF_F2_7_plant_25</t>
  </si>
  <si>
    <t>CU_ARS_2025_WOF_F2_7_plant_26</t>
  </si>
  <si>
    <t>CU_ARS_2025_WOF_F2_7_plant_27</t>
  </si>
  <si>
    <t>CU_ARS_2025_WOF_F2_7_plant_28</t>
  </si>
  <si>
    <t>CU_ARS_2025_WOF_F2_7_plant_29</t>
  </si>
  <si>
    <t>CU_ARS_2025_WOF_F2_7_plant_30</t>
  </si>
  <si>
    <t>CU_ARS_2025_WOF_F2_7_plant_31</t>
  </si>
  <si>
    <t>CU_ARS_2025_WOF_F2_7_plant_32</t>
  </si>
  <si>
    <t>CU_ARS_2025_WOF_F2_7_plant_33</t>
  </si>
  <si>
    <t>CU_ARS_2025_WOF_F2_7_plant_34</t>
  </si>
  <si>
    <t>CU_ARS_2025_WOF_F2_7_plant_35</t>
  </si>
  <si>
    <t>CU_ARS_2025_WOF_F2_7_plant_36</t>
  </si>
  <si>
    <t>CU_ARS_2025_WOF_F2_7_plant_37</t>
  </si>
  <si>
    <t>CU_ARS_2025_WOF_F2_7_plant_38</t>
  </si>
  <si>
    <t>CU_ARS_2025_WOF_F2_7_plant_39</t>
  </si>
  <si>
    <t>CU_ARS_2025_WOF_F2_7_plant_40</t>
  </si>
  <si>
    <t>CU_ARS_2025_WOF_F2_7_plant_41</t>
  </si>
  <si>
    <t>CU_ARS_2025_WOF_F2_7_plant_42</t>
  </si>
  <si>
    <t>CU_ARS_2025_WOF_F2_7_plant_43</t>
  </si>
  <si>
    <t>CU_ARS_2025_WOF_F2_7_plant_44</t>
  </si>
  <si>
    <t>CU_ARS_2025_WOF_F2_7_plant_45</t>
  </si>
  <si>
    <t>CU_ARS_2025_WOF_F2_7_plant_46</t>
  </si>
  <si>
    <t>CU_ARS_2025_WOF_F2_7_plant_47</t>
  </si>
  <si>
    <t>CU_ARS_2025_WOF_F2_7_plant_48</t>
  </si>
  <si>
    <t>CU_ARS_2025_WOF_F2_7_plant_49</t>
  </si>
  <si>
    <t>CU_ARS_2025_WOF_F2_7_plant_50</t>
  </si>
  <si>
    <t>CU_ARS_2025_WOF_F2_7_plant_51</t>
  </si>
  <si>
    <t>CU_ARS_2025_WOF_F2_7_plant_52</t>
  </si>
  <si>
    <t>CU_ARS_2025_WOF_F2_7_plant_53</t>
  </si>
  <si>
    <t>CU_ARS_2025_WOF_F2_7_plant_54</t>
  </si>
  <si>
    <t>CU_ARS_2025_WOF_F2_7_plant_55</t>
  </si>
  <si>
    <t>CU_ARS_2025_WOF_F2_7_plant_56</t>
  </si>
  <si>
    <t>CU_ARS_2025_WOF_F2_7_plant_57</t>
  </si>
  <si>
    <t>CU_ARS_2025_WOF_F2_7_plant_58</t>
  </si>
  <si>
    <t>CU_ARS_2025_WOF_F2_7_plant_59</t>
  </si>
  <si>
    <t>CU_ARS_2025_WOF_F2_7_plant_60</t>
  </si>
  <si>
    <t>CU_ARS_2025_WOF_F2_7_plant_61</t>
  </si>
  <si>
    <t>CU_ARS_2025_WOF_F2_7_plant_62</t>
  </si>
  <si>
    <t>CU_ARS_2025_WOF_F2_7_plant_63</t>
  </si>
  <si>
    <t>CU_ARS_2025_WOF_F2_7_plant_64</t>
  </si>
  <si>
    <t>CU_ARS_2025_WOF_F2_7_plant_65</t>
  </si>
  <si>
    <t>CU_ARS_2025_WOF_F2_7_plant_66</t>
  </si>
  <si>
    <t>CU_ARS_2025_WOF_F2_7_plant_67</t>
  </si>
  <si>
    <t>CU_ARS_2025_WOF_F2_7_plant_68</t>
  </si>
  <si>
    <t>CU_ARS_2025_WOF_F2_7_plant_69</t>
  </si>
  <si>
    <t>CU_ARS_2025_WOF_F2_7_plant_70</t>
  </si>
  <si>
    <t>CU_ARS_2025_WOF_F2_7_plant_71</t>
  </si>
  <si>
    <t>CU_ARS_2025_WOF_F2_8_plant_1</t>
  </si>
  <si>
    <t>CU_ARS_2025_WOF_F2_8</t>
  </si>
  <si>
    <t>CU_ARS_2025_WOF_cross_29</t>
  </si>
  <si>
    <t>CU_ARS_2025_WOF_F2_8_plant_2</t>
  </si>
  <si>
    <t>CU_ARS_2025_WOF_F2_8_plant_3</t>
  </si>
  <si>
    <t>CU_ARS_2025_WOF_F2_8_plant_4</t>
  </si>
  <si>
    <t>CU_ARS_2025_WOF_F2_8_plant_5</t>
  </si>
  <si>
    <t>CU_ARS_2025_WOF_F2_8_plant_6</t>
  </si>
  <si>
    <t>CU_ARS_2025_WOF_F2_8_plant_7</t>
  </si>
  <si>
    <t>CU_ARS_2025_WOF_F2_8_plant_8</t>
  </si>
  <si>
    <t>CU_ARS_2025_WOF_F2_8_plant_9</t>
  </si>
  <si>
    <t>CU_ARS_2025_WOF_F2_8_plant_10</t>
  </si>
  <si>
    <t>CU_ARS_2025_WOF_F2_8_plant_11</t>
  </si>
  <si>
    <t>CU_ARS_2025_WOF_F2_8_plant_12</t>
  </si>
  <si>
    <t>CU_ARS_2025_WOF_F2_8_plant_13</t>
  </si>
  <si>
    <t>CU_ARS_2025_WOF_F2_8_plant_14</t>
  </si>
  <si>
    <t>CU_ARS_2025_WOF_F2_8_plant_15</t>
  </si>
  <si>
    <t>CU_ARS_2025_WOF_F2_8_plant_16</t>
  </si>
  <si>
    <t>CU_ARS_2025_WOF_F2_8_plant_17</t>
  </si>
  <si>
    <t>CU_ARS_2025_WOF_F2_8_plant_18</t>
  </si>
  <si>
    <t>CU_ARS_2025_WOF_F2_8_plant_19</t>
  </si>
  <si>
    <t>CU_ARS_2025_WOF_F2_8_plant_20</t>
  </si>
  <si>
    <t>CU_ARS_2025_WOF_F2_8_plant_21</t>
  </si>
  <si>
    <t>CU_ARS_2025_WOF_F2_8_plant_22</t>
  </si>
  <si>
    <t>CU_ARS_2025_WOF_F2_8_plant_23</t>
  </si>
  <si>
    <t>CU_ARS_2025_WOF_F2_8_plant_24</t>
  </si>
  <si>
    <t>CU_ARS_2025_WOF_F2_8_plant_25</t>
  </si>
  <si>
    <t>CU_ARS_2025_WOF_F2_8_plant_26</t>
  </si>
  <si>
    <t>CU_ARS_2025_WOF_F2_8_plant_27</t>
  </si>
  <si>
    <t>CU_ARS_2025_WOF_F2_8_plant_28</t>
  </si>
  <si>
    <t>CU_ARS_2025_WOF_F2_8_plant_29</t>
  </si>
  <si>
    <t>CU_ARS_2025_WOF_F2_8_plant_30</t>
  </si>
  <si>
    <t>CU_ARS_2025_WOF_F2_8_plant_31</t>
  </si>
  <si>
    <t>CU_ARS_2025_WOF_F2_8_plant_32</t>
  </si>
  <si>
    <t>CU_ARS_2025_WOF_F2_8_plant_33</t>
  </si>
  <si>
    <t>CU_ARS_2025_WOF_F2_8_plant_34</t>
  </si>
  <si>
    <t>CU_ARS_2025_WOF_F2_8_plant_35</t>
  </si>
  <si>
    <t>CU_ARS_2025_WOF_F2_8_plant_36</t>
  </si>
  <si>
    <t>CU_ARS_2025_WOF_F2_8_plant_37</t>
  </si>
  <si>
    <t>CU_ARS_2025_WOF_F2_8_plant_38</t>
  </si>
  <si>
    <t>CU_ARS_2025_WOF_F2_8_plant_39</t>
  </si>
  <si>
    <t>CU_ARS_2025_WOF_F2_8_plant_40</t>
  </si>
  <si>
    <t>CU_ARS_2025_WOF_F2_8_plant_41</t>
  </si>
  <si>
    <t>CU_ARS_2025_WOF_F2_8_plant_42</t>
  </si>
  <si>
    <t>CU_ARS_2025_WOF_F2_8_plant_43</t>
  </si>
  <si>
    <t>CU_ARS_2025_WOF_F2_8_plant_44</t>
  </si>
  <si>
    <t>CU_ARS_2025_WOF_F2_8_plant_45</t>
  </si>
  <si>
    <t>CU_ARS_2025_WOF_F2_8_plant_46</t>
  </si>
  <si>
    <t>CU_ARS_2025_WOF_F2_8_plant_47</t>
  </si>
  <si>
    <t>CU_ARS_2025_WOF_F2_8_plant_48</t>
  </si>
  <si>
    <t>CU_ARS_2025_WOF_F2_8_plant_49</t>
  </si>
  <si>
    <t>CU_ARS_2025_WOF_F2_8_plant_50</t>
  </si>
  <si>
    <t>CU_ARS_2025_WOF_F2_8_plant_51</t>
  </si>
  <si>
    <t>CU_ARS_2025_WOF_F2_8_plant_52</t>
  </si>
  <si>
    <t>CU_ARS_2025_WOF_F2_8_plant_53</t>
  </si>
  <si>
    <t>CU_ARS_2025_WOF_F2_8_plant_54</t>
  </si>
  <si>
    <t>CU_ARS_2025_WOF_F2_8_plant_55</t>
  </si>
  <si>
    <t>CU_ARS_2025_WOF_F2_8_plant_56</t>
  </si>
  <si>
    <t>CU_ARS_2025_WOF_F2_8_plant_57</t>
  </si>
  <si>
    <t>CU_ARS_2025_WOF_F2_8_plant_58</t>
  </si>
  <si>
    <t>CU_ARS_2025_WOF_F2_8_plant_59</t>
  </si>
  <si>
    <t>CU_ARS_2025_WOF_F2_8_plant_60</t>
  </si>
  <si>
    <t>CU_ARS_2025_WOF_F2_8_plant_61</t>
  </si>
  <si>
    <t>CU_ARS_2025_WOF_F2_8_plant_62</t>
  </si>
  <si>
    <t>CU_ARS_2025_WOF_F2_8_plant_63</t>
  </si>
  <si>
    <t>CU_ARS_2025_WOF_F2_8_plant_64</t>
  </si>
  <si>
    <t>CU_ARS_2025_WOF_F2_8_plant_65</t>
  </si>
  <si>
    <t>CU_ARS_2025_WOF_F2_8_plant_66</t>
  </si>
  <si>
    <t>CU_ARS_2025_WOF_F2_8_plant_67</t>
  </si>
  <si>
    <t>CU_ARS_2025_WOF_F2_8_plant_68</t>
  </si>
  <si>
    <t>CU_ARS_2025_WOF_F2_8_plant_69</t>
  </si>
  <si>
    <t>CU_ARS_2025_WOF_F2_8_plant_70</t>
  </si>
  <si>
    <t>CU_ARS_2025_WOF_F2_8_plant_71</t>
  </si>
  <si>
    <t>CU_ARS_2025_WOF_F2_9_plant_1</t>
  </si>
  <si>
    <t>CU_ARS_2025_WOF_F2_9</t>
  </si>
  <si>
    <t>CU_ARS_2025_WOF_cross_1</t>
  </si>
  <si>
    <t>CU_ARS_2025_WOF_F2_9_plant_2</t>
  </si>
  <si>
    <t>CU_ARS_2025_WOF_F2_9_plant_3</t>
  </si>
  <si>
    <t>CU_ARS_2025_WOF_F2_9_plant_4</t>
  </si>
  <si>
    <t>CU_ARS_2025_WOF_F2_9_plant_5</t>
  </si>
  <si>
    <t>CU_ARS_2025_WOF_F2_9_plant_6</t>
  </si>
  <si>
    <t>CU_ARS_2025_WOF_F2_9_plant_7</t>
  </si>
  <si>
    <t>CU_ARS_2025_WOF_F2_9_plant_8</t>
  </si>
  <si>
    <t>CU_ARS_2025_WOF_F2_9_plant_9</t>
  </si>
  <si>
    <t>CU_ARS_2025_WOF_F2_9_plant_10</t>
  </si>
  <si>
    <t>CU_ARS_2025_WOF_F2_9_plant_11</t>
  </si>
  <si>
    <t>CU_ARS_2025_WOF_F2_9_plant_12</t>
  </si>
  <si>
    <t>CU_ARS_2025_WOF_F2_9_plant_13</t>
  </si>
  <si>
    <t>CU_ARS_2025_WOF_F2_9_plant_14</t>
  </si>
  <si>
    <t>CU_ARS_2025_WOF_F2_9_plant_15</t>
  </si>
  <si>
    <t>CU_ARS_2025_WOF_F2_9_plant_16</t>
  </si>
  <si>
    <t>CU_ARS_2025_WOF_F2_9_plant_17</t>
  </si>
  <si>
    <t>CU_ARS_2025_WOF_F2_9_plant_18</t>
  </si>
  <si>
    <t>CU_ARS_2025_WOF_F2_9_plant_19</t>
  </si>
  <si>
    <t>CU_ARS_2025_WOF_F2_9_plant_20</t>
  </si>
  <si>
    <t>CU_ARS_2025_WOF_F2_9_plant_21</t>
  </si>
  <si>
    <t>CU_ARS_2025_WOF_F2_9_plant_22</t>
  </si>
  <si>
    <t>CU_ARS_2025_WOF_F2_9_plant_23</t>
  </si>
  <si>
    <t>CU_ARS_2025_WOF_F2_9_plant_24</t>
  </si>
  <si>
    <t>CU_ARS_2025_WOF_F2_9_plant_25</t>
  </si>
  <si>
    <t>CU_ARS_2025_WOF_F2_9_plant_26</t>
  </si>
  <si>
    <t>CU_ARS_2025_WOF_F2_9_plant_27</t>
  </si>
  <si>
    <t>CU_ARS_2025_WOF_F2_9_plant_28</t>
  </si>
  <si>
    <t>CU_ARS_2025_WOF_F2_9_plant_29</t>
  </si>
  <si>
    <t>CU_ARS_2025_WOF_F2_9_plant_30</t>
  </si>
  <si>
    <t>CU_ARS_2025_WOF_F2_9_plant_31</t>
  </si>
  <si>
    <t>CU_ARS_2025_WOF_F2_9_plant_32</t>
  </si>
  <si>
    <t>CU_ARS_2025_WOF_F2_9_plant_33</t>
  </si>
  <si>
    <t>CU_ARS_2025_WOF_F2_9_plant_34</t>
  </si>
  <si>
    <t>CU_ARS_2025_WOF_F2_9_plant_35</t>
  </si>
  <si>
    <t>CU_ARS_2025_WOF_F2_9_plant_36</t>
  </si>
  <si>
    <t>CU_ARS_2025_WOF_F2_9_plant_37</t>
  </si>
  <si>
    <t>CU_ARS_2025_WOF_F2_9_plant_38</t>
  </si>
  <si>
    <t>CU_ARS_2025_WOF_F2_9_plant_39</t>
  </si>
  <si>
    <t>CU_ARS_2025_WOF_F2_9_plant_40</t>
  </si>
  <si>
    <t>CU_ARS_2025_WOF_F2_9_plant_41</t>
  </si>
  <si>
    <t>CU_ARS_2025_WOF_F2_9_plant_42</t>
  </si>
  <si>
    <t>CU_ARS_2025_WOF_F2_9_plant_43</t>
  </si>
  <si>
    <t>CU_ARS_2025_WOF_F2_9_plant_44</t>
  </si>
  <si>
    <t>CU_ARS_2025_WOF_F2_9_plant_45</t>
  </si>
  <si>
    <t>CU_ARS_2025_WOF_F2_9_plant_46</t>
  </si>
  <si>
    <t>CU_ARS_2025_WOF_F2_9_plant_47</t>
  </si>
  <si>
    <t>CU_ARS_2025_WOF_F2_9_plant_48</t>
  </si>
  <si>
    <t>CU_ARS_2025_WOF_F2_9_plant_49</t>
  </si>
  <si>
    <t>CU_ARS_2025_WOF_F2_9_plant_50</t>
  </si>
  <si>
    <t>CU_ARS_2025_WOF_F2_9_plant_51</t>
  </si>
  <si>
    <t>CU_ARS_2025_WOF_F2_9_plant_52</t>
  </si>
  <si>
    <t>CU_ARS_2025_WOF_F2_9_plant_53</t>
  </si>
  <si>
    <t>CU_ARS_2025_WOF_F2_9_plant_54</t>
  </si>
  <si>
    <t>CU_ARS_2025_WOF_F2_9_plant_55</t>
  </si>
  <si>
    <t>CU_ARS_2025_WOF_F2_9_plant_56</t>
  </si>
  <si>
    <t>CU_ARS_2025_WOF_F2_9_plant_57</t>
  </si>
  <si>
    <t>CU_ARS_2025_WOF_F2_9_plant_58</t>
  </si>
  <si>
    <t>CU_ARS_2025_WOF_F2_9_plant_59</t>
  </si>
  <si>
    <t>CU_ARS_2025_WOF_F2_9_plant_60</t>
  </si>
  <si>
    <t>CU_ARS_2025_WOF_F2_9_plant_61</t>
  </si>
  <si>
    <t>CU_ARS_2025_WOF_F2_9_plant_62</t>
  </si>
  <si>
    <t>CU_ARS_2025_WOF_F2_9_plant_63</t>
  </si>
  <si>
    <t>CU_ARS_2025_WOF_F2_9_plant_64</t>
  </si>
  <si>
    <t>CU_ARS_2025_WOF_F2_9_plant_65</t>
  </si>
  <si>
    <t>CU_ARS_2025_WOF_F2_9_plant_66</t>
  </si>
  <si>
    <t>CU_ARS_2025_WOF_F2_9_plant_67</t>
  </si>
  <si>
    <t>CU_ARS_2025_WOF_F2_9_plant_68</t>
  </si>
  <si>
    <t>CU_ARS_2025_WOF_F2_9_plant_69</t>
  </si>
  <si>
    <t>CU_ARS_2025_WOF_F2_9_plant_70</t>
  </si>
  <si>
    <t>CU_ARS_2025_WOF_F2_9_plant_71</t>
  </si>
  <si>
    <t>CU_ARS_2025_WOF_P_10_plant_1</t>
  </si>
  <si>
    <t>CU_ARS_2025_WOF_P_10</t>
  </si>
  <si>
    <t>AURORA</t>
  </si>
  <si>
    <t>CU_ARS_2025_WOF_P_10_plant_2</t>
  </si>
  <si>
    <t>CU_ARS_2025_WOF_P_10_plant_3</t>
  </si>
  <si>
    <t>CU_ARS_2025_WOF_P_11_plant_1</t>
  </si>
  <si>
    <t>CU_ARS_2025_WOF_P_11</t>
  </si>
  <si>
    <t>AWNLESS_CURLED</t>
  </si>
  <si>
    <t>CU_ARS_2025_WOF_P_11_plant_2</t>
  </si>
  <si>
    <t>CU_ARS_2025_WOF_P_11_plant_3</t>
  </si>
  <si>
    <t>CU_ARS_2025_WOF_P_12_plant_1</t>
  </si>
  <si>
    <t>CU_ARS_2025_WOF_P_12</t>
  </si>
  <si>
    <t>Gerard 227</t>
  </si>
  <si>
    <t>CU_ARS_2025_WOF_P_12_plant_2</t>
  </si>
  <si>
    <t>CU_ARS_2025_WOF_P_12_plant_3</t>
  </si>
  <si>
    <t>CU_ARS_2025_WOF_P_13_plant_1</t>
  </si>
  <si>
    <t>CU_ARS_2025_WOF_P_13</t>
  </si>
  <si>
    <t>NC20-4452</t>
  </si>
  <si>
    <t>CU_ARS_2025_WOF_P_13_plant_2</t>
  </si>
  <si>
    <t>CU_ARS_2025_WOF_P_13_plant_3</t>
  </si>
  <si>
    <t>CU_ARS_2025_WOF_P_14_plant_1</t>
  </si>
  <si>
    <t>CU_ARS_2025_WOF_P_14</t>
  </si>
  <si>
    <t>NC20-4526</t>
  </si>
  <si>
    <t>CU_ARS_2025_WOF_P_14_plant_2</t>
  </si>
  <si>
    <t>CU_ARS_2025_WOF_P_14_plant_3</t>
  </si>
  <si>
    <t>CU_ARS_2025_WOF_P_15_plant_1</t>
  </si>
  <si>
    <t>CU_ARS_2025_WOF_P_15</t>
  </si>
  <si>
    <t>NC21-6429</t>
  </si>
  <si>
    <t>CU_ARS_2025_WOF_P_15_plant_2</t>
  </si>
  <si>
    <t>CU_ARS_2025_WOF_P_15_plant_3</t>
  </si>
  <si>
    <t>CU_ARS_2025_WOF_P_16_plant_1</t>
  </si>
  <si>
    <t>CU_ARS_2025_WOF_P_16</t>
  </si>
  <si>
    <t>NF01404A</t>
  </si>
  <si>
    <t>CU_ARS_2025_WOF_P_16_plant_2</t>
  </si>
  <si>
    <t>CU_ARS_2025_WOF_P_16_plant_3</t>
  </si>
  <si>
    <t>CU_ARS_2025_WOF_P_17_plant_1</t>
  </si>
  <si>
    <t>CU_ARS_2025_WOF_P_17</t>
  </si>
  <si>
    <t>NF13-4126-4_3</t>
  </si>
  <si>
    <t>CU_ARS_2025_WOF_P_17_plant_2</t>
  </si>
  <si>
    <t>CU_ARS_2025_WOF_P_17_plant_3</t>
  </si>
  <si>
    <t>CU_ARS_2025_WOF_P_18_plant_1</t>
  </si>
  <si>
    <t>CU_ARS_2025_WOF_P_18</t>
  </si>
  <si>
    <t>PA8014-840</t>
  </si>
  <si>
    <t>CU_ARS_2025_WOF_P_18_plant_2</t>
  </si>
  <si>
    <t>CU_ARS_2025_WOF_P_18_plant_3</t>
  </si>
  <si>
    <t>CU_ARS_2025_WOF_P_19_plant_1</t>
  </si>
  <si>
    <t>CU_ARS_2025_WOF_P_19</t>
  </si>
  <si>
    <t>SEGER|PI306405</t>
  </si>
  <si>
    <t>CU_ARS_2025_WOF_P_19_plant_2</t>
  </si>
  <si>
    <t>CU_ARS_2025_WOF_P_19_plant_3</t>
  </si>
  <si>
    <t>P</t>
  </si>
  <si>
    <t>F2</t>
  </si>
  <si>
    <t xml:space="preserve">	Winter Hayden</t>
  </si>
  <si>
    <t xml:space="preserve">Winter_Storm_King </t>
  </si>
  <si>
    <t>WH_1</t>
  </si>
  <si>
    <t>WH_2</t>
  </si>
  <si>
    <t>WH_3</t>
  </si>
  <si>
    <t>WSK_1</t>
  </si>
  <si>
    <t>WSK_2</t>
  </si>
  <si>
    <t>WSK_3</t>
  </si>
  <si>
    <t>Cross Combination</t>
  </si>
  <si>
    <t>Cross Unique ID</t>
  </si>
  <si>
    <t>AURORA/AWNLESS_CURLED</t>
  </si>
  <si>
    <t>NF01404A/PA8014-840</t>
  </si>
  <si>
    <t>Gerard 227/AURORA</t>
  </si>
  <si>
    <t>AWNLESS_CURLED/NC21-6429</t>
  </si>
  <si>
    <t>CU_ARS_2025_WOF_cross_23</t>
  </si>
  <si>
    <t>SEGER|PI306405/NC21-6429</t>
  </si>
  <si>
    <t>CU_ARS_2025_WOF_cross_24</t>
  </si>
  <si>
    <t>TRISPERNIA|CIAV5100/NF97405B2</t>
  </si>
  <si>
    <t>CU_ARS_2025_WOF_cross_25</t>
  </si>
  <si>
    <t>NC21-6429/AURORA</t>
  </si>
  <si>
    <t>NC21-6429/WINTER_TURF|CIAV996</t>
  </si>
  <si>
    <t>CU_ARS_2025_WOF_cross_31</t>
  </si>
  <si>
    <t>NC21-6429/NF97405B2</t>
  </si>
  <si>
    <t>CU_ARS_2025_WOF_cross_35</t>
  </si>
  <si>
    <t>WESTFINNISCHER_SCHWARZ/NF97405B2</t>
  </si>
  <si>
    <t>CU_ARS_2025_WOF_cross_36</t>
  </si>
  <si>
    <t>DOMACA_ZOB/NF97405B2</t>
  </si>
  <si>
    <t>CU_ARS_2025_WOF_cross_42</t>
  </si>
  <si>
    <t>NC20-4526/NF12AS-107-4_4</t>
  </si>
  <si>
    <t>CU_ARS_2025_WOF_cross_43</t>
  </si>
  <si>
    <t>NC20-4526/AURORA</t>
  </si>
  <si>
    <t>Gerard 227/NF13-4126-4_3</t>
  </si>
  <si>
    <t>PA8014-840/NC20-4452</t>
  </si>
  <si>
    <t>CU_ARS_2025_WOF_cross_65</t>
  </si>
  <si>
    <t>SEGETAL/NF01404A</t>
  </si>
  <si>
    <t>CU_ARS_2025_WOF_cross_66</t>
  </si>
  <si>
    <t>NF97405B2/AWNLESS_CURLED</t>
  </si>
  <si>
    <t>CU_ARS_2025_WOF_cross_72</t>
  </si>
  <si>
    <t>Gerard 227/SEGER|PI306405</t>
  </si>
  <si>
    <t>CU_ARS_2025_WOF_cross_80</t>
  </si>
  <si>
    <t>NC20-4526/SEGER|PI306405</t>
  </si>
  <si>
    <t>CU_ARS_2025_WOF_cross_81</t>
  </si>
  <si>
    <t>NC20-4452/SEGER|PI306405</t>
  </si>
  <si>
    <t>Gerard 227/PA8014-840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</si>
</sst>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4"/>
      <color rgb="FF000000"/>
      <name val="Times"/>
    </font>
    <font>
      <b/>
      <sz val="11"/>
      <color rgb="FF000000"/>
      <name val="Times"/>
    </font>
    <font>
      <b/>
      <sz val="10"/>
      <color theme="1"/>
      <name val="Aptos Narrow"/>
    </font>
    <font>
      <sz val="11"/>
      <color rgb="FF000000"/>
      <name val="Helvetica Neue"/>
    </font>
    <font>
      <sz val="14"/>
      <color rgb="FF000000"/>
      <name val="Times"/>
    </font>
    <font>
      <sz val="11"/>
      <color rgb="FF000000"/>
      <name val="Times"/>
    </font>
    <font>
      <sz val="11"/>
      <color theme="1"/>
      <name val="Aptos Narrow"/>
      <scheme val="minor"/>
    </font>
    <font>
      <sz val="8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B"/>
        <bgColor rgb="FFFFFF0B"/>
      </patternFill>
    </fill>
    <fill>
      <patternFill patternType="solid">
        <fgColor rgb="FF949494"/>
        <bgColor rgb="FF94949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/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2" xfId="0" applyFont="1" applyBorder="1"/>
    <xf numFmtId="49" fontId="1" fillId="0" borderId="2" xfId="0" applyNumberFormat="1" applyFont="1" applyBorder="1" applyAlignment="1">
      <alignment horizontal="center"/>
    </xf>
    <xf numFmtId="0" fontId="3" fillId="0" borderId="0" xfId="0" applyFont="1"/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2" xfId="0" applyFont="1" applyBorder="1"/>
    <xf numFmtId="0" fontId="5" fillId="0" borderId="2" xfId="0" applyFont="1" applyBorder="1"/>
    <xf numFmtId="0" fontId="7" fillId="0" borderId="2" xfId="0" applyFont="1" applyBorder="1"/>
    <xf numFmtId="49" fontId="5" fillId="0" borderId="2" xfId="0" applyNumberFormat="1" applyFont="1" applyBorder="1"/>
    <xf numFmtId="0" fontId="10" fillId="0" borderId="0" xfId="0" applyFont="1"/>
    <xf numFmtId="0" fontId="9" fillId="0" borderId="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/>
    <xf numFmtId="49" fontId="9" fillId="0" borderId="2" xfId="0" applyNumberFormat="1" applyFont="1" applyBorder="1" applyAlignment="1">
      <alignment horizontal="center"/>
    </xf>
    <xf numFmtId="49" fontId="5" fillId="0" borderId="0" xfId="0" applyNumberFormat="1" applyFont="1" applyBorder="1"/>
    <xf numFmtId="0" fontId="5" fillId="0" borderId="0" xfId="0" applyFont="1" applyBorder="1"/>
    <xf numFmtId="0" fontId="7" fillId="0" borderId="0" xfId="0" applyFont="1" applyBorder="1"/>
    <xf numFmtId="0" fontId="9" fillId="0" borderId="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/>
    <xf numFmtId="0" fontId="5" fillId="0" borderId="3" xfId="0" applyFont="1" applyBorder="1"/>
    <xf numFmtId="0" fontId="7" fillId="0" borderId="3" xfId="0" applyFont="1" applyBorder="1"/>
    <xf numFmtId="0" fontId="5" fillId="0" borderId="4" xfId="0" applyFont="1" applyBorder="1" applyAlignment="1">
      <alignment horizontal="center"/>
    </xf>
    <xf numFmtId="0" fontId="4" fillId="0" borderId="4" xfId="0" applyFont="1" applyBorder="1"/>
    <xf numFmtId="0" fontId="5" fillId="0" borderId="4" xfId="0" applyFont="1" applyBorder="1"/>
    <xf numFmtId="0" fontId="9" fillId="0" borderId="1" xfId="0" applyFont="1" applyBorder="1"/>
    <xf numFmtId="49" fontId="1" fillId="0" borderId="5" xfId="0" applyNumberFormat="1" applyFont="1" applyBorder="1" applyAlignment="1">
      <alignment horizontal="center"/>
    </xf>
    <xf numFmtId="49" fontId="5" fillId="0" borderId="5" xfId="0" applyNumberFormat="1" applyFont="1" applyBorder="1"/>
    <xf numFmtId="49" fontId="5" fillId="0" borderId="6" xfId="0" applyNumberFormat="1" applyFont="1" applyBorder="1"/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3A2E-DD5B-423B-8956-225849EE0179}">
  <dimension ref="A1:Y1000"/>
  <sheetViews>
    <sheetView tabSelected="1" topLeftCell="A20" workbookViewId="0">
      <selection activeCell="Q10" sqref="Q10"/>
    </sheetView>
  </sheetViews>
  <sheetFormatPr defaultRowHeight="14.4"/>
  <cols>
    <col min="1" max="1" width="12.33203125" bestFit="1" customWidth="1"/>
    <col min="2" max="2" width="36.88671875" customWidth="1"/>
    <col min="3" max="3" width="14" bestFit="1" customWidth="1"/>
    <col min="4" max="4" width="11.33203125" bestFit="1" customWidth="1"/>
    <col min="5" max="5" width="29.44140625" bestFit="1" customWidth="1"/>
    <col min="6" max="6" width="8.109375" customWidth="1"/>
    <col min="7" max="7" width="11.6640625" bestFit="1" customWidth="1"/>
    <col min="8" max="8" width="9.88671875" customWidth="1"/>
    <col min="9" max="9" width="24.44140625" bestFit="1" customWidth="1"/>
    <col min="10" max="10" width="9.77734375" bestFit="1" customWidth="1"/>
    <col min="11" max="11" width="8.5546875" bestFit="1" customWidth="1"/>
    <col min="12" max="12" width="9.77734375" bestFit="1" customWidth="1"/>
    <col min="13" max="13" width="10.5546875" bestFit="1" customWidth="1"/>
    <col min="14" max="14" width="30.6640625" customWidth="1"/>
    <col min="15" max="15" width="30.21875" bestFit="1" customWidth="1"/>
    <col min="16" max="16" width="22.109375" bestFit="1" customWidth="1"/>
    <col min="17" max="17" width="25.77734375" bestFit="1" customWidth="1"/>
    <col min="18" max="18" width="11.77734375" bestFit="1" customWidth="1"/>
    <col min="24" max="24" width="13" bestFit="1" customWidth="1"/>
    <col min="25" max="25" width="26.77734375" customWidth="1"/>
  </cols>
  <sheetData>
    <row r="1" spans="1:25" ht="17.399999999999999">
      <c r="A1" s="13" t="s">
        <v>4</v>
      </c>
      <c r="B1" s="14" t="s">
        <v>5</v>
      </c>
      <c r="C1" s="15" t="s">
        <v>0</v>
      </c>
      <c r="D1" s="16" t="s">
        <v>2</v>
      </c>
      <c r="E1" s="17" t="s">
        <v>6</v>
      </c>
      <c r="F1" s="16" t="s">
        <v>1</v>
      </c>
      <c r="G1" s="43" t="s">
        <v>3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t="s">
        <v>282</v>
      </c>
      <c r="O1" t="s">
        <v>281</v>
      </c>
      <c r="P1" t="s">
        <v>283</v>
      </c>
      <c r="Q1" t="s">
        <v>284</v>
      </c>
      <c r="R1" t="s">
        <v>285</v>
      </c>
      <c r="S1" t="s">
        <v>286</v>
      </c>
      <c r="T1" t="s">
        <v>287</v>
      </c>
      <c r="U1" t="s">
        <v>288</v>
      </c>
      <c r="V1" t="s">
        <v>289</v>
      </c>
      <c r="W1" t="s">
        <v>290</v>
      </c>
      <c r="X1" t="s">
        <v>291</v>
      </c>
      <c r="Y1" t="s">
        <v>1012</v>
      </c>
    </row>
    <row r="2" spans="1:25" ht="18">
      <c r="A2" s="20" t="s">
        <v>15</v>
      </c>
      <c r="B2" s="21" t="s">
        <v>16</v>
      </c>
      <c r="C2" s="22">
        <v>753635</v>
      </c>
      <c r="D2" s="23">
        <v>1</v>
      </c>
      <c r="E2" s="24" t="str">
        <f>O2</f>
        <v>CU_ARS_2025_WOF_P_10_plant_1</v>
      </c>
      <c r="F2" s="21" t="s">
        <v>100</v>
      </c>
      <c r="G2" s="44" t="s">
        <v>101</v>
      </c>
      <c r="H2" s="47"/>
      <c r="I2" s="42" t="s">
        <v>954</v>
      </c>
      <c r="J2" s="42" t="s">
        <v>1002</v>
      </c>
      <c r="K2" s="42"/>
      <c r="L2" s="42"/>
      <c r="M2" s="42"/>
      <c r="N2" t="str">
        <f>VLOOKUP(C2,CU_ARS_2025_WOF_F2!$A$2:$K$673,2,FALSE)</f>
        <v>CU_ARS_2025_WOF_P_10_plant_1</v>
      </c>
      <c r="O2" t="str">
        <f>VLOOKUP(C2,CU_ARS_2025_WOF_F2!$A$2:$K$673,2,FALSE)</f>
        <v>CU_ARS_2025_WOF_P_10_plant_1</v>
      </c>
      <c r="P2" t="str">
        <f>VLOOKUP(C2,CU_ARS_2025_WOF_F2!$A$2:$K$673,3,FALSE)</f>
        <v>CU_ARS_2025_WOF_P_10</v>
      </c>
      <c r="Q2" t="str">
        <f>VLOOKUP(C2,CU_ARS_2025_WOF_F2!$A$2:$K$673,4,FALSE)</f>
        <v>AURORA</v>
      </c>
      <c r="R2">
        <f>VLOOKUP(C2,CU_ARS_2025_WOF_F2!$A$2:$K$673,5,FALSE)</f>
        <v>10</v>
      </c>
      <c r="S2">
        <f>VLOOKUP(C2,CU_ARS_2025_WOF_F2!$A$2:$K$673,6,FALSE)</f>
        <v>1</v>
      </c>
      <c r="T2">
        <f>VLOOKUP(C2,CU_ARS_2025_WOF_F2!$A$2:$K$673,7,FALSE)</f>
        <v>0</v>
      </c>
      <c r="U2">
        <f>VLOOKUP(C2,CU_ARS_2025_WOF_F2!$A$2:$K$673,8,FALSE)</f>
        <v>1</v>
      </c>
      <c r="V2">
        <f>VLOOKUP(C2,CU_ARS_2025_WOF_F2!$A$2:$K$673,9,FALSE)</f>
        <v>0</v>
      </c>
      <c r="W2">
        <f>VLOOKUP(C2,CU_ARS_2025_WOF_F2!$A$2:$K$673,10,FALSE)</f>
        <v>0</v>
      </c>
      <c r="X2">
        <f>VLOOKUP(C2,CU_ARS_2025_WOF_F2!$A$2:$K$673,11,FALSE)</f>
        <v>1</v>
      </c>
      <c r="Y2" t="s">
        <v>954</v>
      </c>
    </row>
    <row r="3" spans="1:25" ht="18">
      <c r="A3" s="20" t="s">
        <v>15</v>
      </c>
      <c r="B3" s="21" t="s">
        <v>16</v>
      </c>
      <c r="C3" s="22">
        <v>753857</v>
      </c>
      <c r="D3" s="23">
        <v>1</v>
      </c>
      <c r="E3" s="24" t="str">
        <f t="shared" ref="E3:E66" si="0">O3</f>
        <v>CU_ARS_2025_WOF_P_11_plant_3</v>
      </c>
      <c r="F3" s="21" t="s">
        <v>102</v>
      </c>
      <c r="G3" s="44" t="s">
        <v>103</v>
      </c>
      <c r="H3" s="47"/>
      <c r="I3" s="42" t="s">
        <v>959</v>
      </c>
      <c r="J3" s="42" t="s">
        <v>1002</v>
      </c>
      <c r="K3" s="42"/>
      <c r="L3" s="42"/>
      <c r="M3" s="42"/>
      <c r="N3" t="str">
        <f>VLOOKUP(C3,CU_ARS_2025_WOF_F2!$A$2:$K$673,2,FALSE)</f>
        <v>CU_ARS_2025_WOF_P_11_plant_3</v>
      </c>
      <c r="O3" t="str">
        <f>VLOOKUP(C3,CU_ARS_2025_WOF_F2!$A$2:$K$673,2,FALSE)</f>
        <v>CU_ARS_2025_WOF_P_11_plant_3</v>
      </c>
      <c r="P3" t="str">
        <f>VLOOKUP(C3,CU_ARS_2025_WOF_F2!$A$2:$K$673,3,FALSE)</f>
        <v>CU_ARS_2025_WOF_P_11</v>
      </c>
      <c r="Q3" t="str">
        <f>VLOOKUP(C3,CU_ARS_2025_WOF_F2!$A$2:$K$673,4,FALSE)</f>
        <v>AWNLESS_CURLED</v>
      </c>
      <c r="R3">
        <f>VLOOKUP(C3,CU_ARS_2025_WOF_F2!$A$2:$K$673,5,FALSE)</f>
        <v>11</v>
      </c>
      <c r="S3">
        <f>VLOOKUP(C3,CU_ARS_2025_WOF_F2!$A$2:$K$673,6,FALSE)</f>
        <v>1</v>
      </c>
      <c r="T3">
        <f>VLOOKUP(C3,CU_ARS_2025_WOF_F2!$A$2:$K$673,7,FALSE)</f>
        <v>0</v>
      </c>
      <c r="U3">
        <f>VLOOKUP(C3,CU_ARS_2025_WOF_F2!$A$2:$K$673,8,FALSE)</f>
        <v>1</v>
      </c>
      <c r="V3">
        <f>VLOOKUP(C3,CU_ARS_2025_WOF_F2!$A$2:$K$673,9,FALSE)</f>
        <v>0</v>
      </c>
      <c r="W3">
        <f>VLOOKUP(C3,CU_ARS_2025_WOF_F2!$A$2:$K$673,10,FALSE)</f>
        <v>0</v>
      </c>
      <c r="X3">
        <f>VLOOKUP(C3,CU_ARS_2025_WOF_F2!$A$2:$K$673,11,FALSE)</f>
        <v>3</v>
      </c>
      <c r="Y3" t="s">
        <v>959</v>
      </c>
    </row>
    <row r="4" spans="1:25" ht="18">
      <c r="A4" s="20" t="s">
        <v>15</v>
      </c>
      <c r="B4" s="21" t="s">
        <v>16</v>
      </c>
      <c r="C4" s="22">
        <v>754009</v>
      </c>
      <c r="D4" s="23">
        <v>1</v>
      </c>
      <c r="E4" s="24" t="str">
        <f t="shared" si="0"/>
        <v>CU_ARS_2025_WOF_P_12_plant_1</v>
      </c>
      <c r="F4" s="21" t="s">
        <v>104</v>
      </c>
      <c r="G4" s="44" t="s">
        <v>105</v>
      </c>
      <c r="H4" s="47"/>
      <c r="I4" s="42" t="s">
        <v>964</v>
      </c>
      <c r="J4" s="42" t="s">
        <v>1002</v>
      </c>
      <c r="K4" s="42"/>
      <c r="L4" s="42"/>
      <c r="M4" s="42"/>
      <c r="N4" t="str">
        <f>VLOOKUP(C4,CU_ARS_2025_WOF_F2!$A$2:$K$673,2,FALSE)</f>
        <v>CU_ARS_2025_WOF_P_12_plant_1</v>
      </c>
      <c r="O4" t="str">
        <f>VLOOKUP(C4,CU_ARS_2025_WOF_F2!$A$2:$K$673,2,FALSE)</f>
        <v>CU_ARS_2025_WOF_P_12_plant_1</v>
      </c>
      <c r="P4" t="str">
        <f>VLOOKUP(C4,CU_ARS_2025_WOF_F2!$A$2:$K$673,3,FALSE)</f>
        <v>CU_ARS_2025_WOF_P_12</v>
      </c>
      <c r="Q4" t="str">
        <f>VLOOKUP(C4,CU_ARS_2025_WOF_F2!$A$2:$K$673,4,FALSE)</f>
        <v>Gerard 227</v>
      </c>
      <c r="R4">
        <f>VLOOKUP(C4,CU_ARS_2025_WOF_F2!$A$2:$K$673,5,FALSE)</f>
        <v>12</v>
      </c>
      <c r="S4">
        <f>VLOOKUP(C4,CU_ARS_2025_WOF_F2!$A$2:$K$673,6,FALSE)</f>
        <v>1</v>
      </c>
      <c r="T4">
        <f>VLOOKUP(C4,CU_ARS_2025_WOF_F2!$A$2:$K$673,7,FALSE)</f>
        <v>0</v>
      </c>
      <c r="U4">
        <f>VLOOKUP(C4,CU_ARS_2025_WOF_F2!$A$2:$K$673,8,FALSE)</f>
        <v>1</v>
      </c>
      <c r="V4">
        <f>VLOOKUP(C4,CU_ARS_2025_WOF_F2!$A$2:$K$673,9,FALSE)</f>
        <v>0</v>
      </c>
      <c r="W4">
        <f>VLOOKUP(C4,CU_ARS_2025_WOF_F2!$A$2:$K$673,10,FALSE)</f>
        <v>0</v>
      </c>
      <c r="X4">
        <f>VLOOKUP(C4,CU_ARS_2025_WOF_F2!$A$2:$K$673,11,FALSE)</f>
        <v>1</v>
      </c>
      <c r="Y4" t="s">
        <v>964</v>
      </c>
    </row>
    <row r="5" spans="1:25" ht="18">
      <c r="A5" s="20" t="s">
        <v>15</v>
      </c>
      <c r="B5" s="21" t="s">
        <v>16</v>
      </c>
      <c r="C5" s="22">
        <v>754008</v>
      </c>
      <c r="D5" s="23">
        <v>1</v>
      </c>
      <c r="E5" s="24" t="str">
        <f t="shared" si="0"/>
        <v>CU_ARS_2025_WOF_P_13_plant_3</v>
      </c>
      <c r="F5" s="21" t="s">
        <v>69</v>
      </c>
      <c r="G5" s="44" t="s">
        <v>106</v>
      </c>
      <c r="H5" s="47"/>
      <c r="I5" s="42" t="s">
        <v>969</v>
      </c>
      <c r="J5" s="42" t="s">
        <v>1002</v>
      </c>
      <c r="K5" s="42"/>
      <c r="L5" s="42"/>
      <c r="M5" s="42"/>
      <c r="N5" t="str">
        <f>VLOOKUP(C5,CU_ARS_2025_WOF_F2!$A$2:$K$673,2,FALSE)</f>
        <v>CU_ARS_2025_WOF_P_13_plant_3</v>
      </c>
      <c r="O5" t="str">
        <f>VLOOKUP(C5,CU_ARS_2025_WOF_F2!$A$2:$K$673,2,FALSE)</f>
        <v>CU_ARS_2025_WOF_P_13_plant_3</v>
      </c>
      <c r="P5" t="str">
        <f>VLOOKUP(C5,CU_ARS_2025_WOF_F2!$A$2:$K$673,3,FALSE)</f>
        <v>CU_ARS_2025_WOF_P_13</v>
      </c>
      <c r="Q5" t="str">
        <f>VLOOKUP(C5,CU_ARS_2025_WOF_F2!$A$2:$K$673,4,FALSE)</f>
        <v>NC20-4452</v>
      </c>
      <c r="R5">
        <f>VLOOKUP(C5,CU_ARS_2025_WOF_F2!$A$2:$K$673,5,FALSE)</f>
        <v>13</v>
      </c>
      <c r="S5">
        <f>VLOOKUP(C5,CU_ARS_2025_WOF_F2!$A$2:$K$673,6,FALSE)</f>
        <v>1</v>
      </c>
      <c r="T5">
        <f>VLOOKUP(C5,CU_ARS_2025_WOF_F2!$A$2:$K$673,7,FALSE)</f>
        <v>0</v>
      </c>
      <c r="U5">
        <f>VLOOKUP(C5,CU_ARS_2025_WOF_F2!$A$2:$K$673,8,FALSE)</f>
        <v>1</v>
      </c>
      <c r="V5">
        <f>VLOOKUP(C5,CU_ARS_2025_WOF_F2!$A$2:$K$673,9,FALSE)</f>
        <v>0</v>
      </c>
      <c r="W5">
        <f>VLOOKUP(C5,CU_ARS_2025_WOF_F2!$A$2:$K$673,10,FALSE)</f>
        <v>0</v>
      </c>
      <c r="X5">
        <f>VLOOKUP(C5,CU_ARS_2025_WOF_F2!$A$2:$K$673,11,FALSE)</f>
        <v>3</v>
      </c>
      <c r="Y5" t="s">
        <v>969</v>
      </c>
    </row>
    <row r="6" spans="1:25" ht="18">
      <c r="A6" s="20" t="s">
        <v>15</v>
      </c>
      <c r="B6" s="21" t="s">
        <v>16</v>
      </c>
      <c r="C6" s="22">
        <v>754005</v>
      </c>
      <c r="D6" s="23">
        <v>1</v>
      </c>
      <c r="E6" s="24" t="str">
        <f t="shared" si="0"/>
        <v>CU_ARS_2025_WOF_P_14_plant_3</v>
      </c>
      <c r="F6" s="21" t="s">
        <v>71</v>
      </c>
      <c r="G6" s="44" t="s">
        <v>107</v>
      </c>
      <c r="H6" s="47"/>
      <c r="I6" s="42" t="s">
        <v>974</v>
      </c>
      <c r="J6" s="42" t="s">
        <v>1002</v>
      </c>
      <c r="K6" s="42"/>
      <c r="L6" s="42"/>
      <c r="M6" s="42"/>
      <c r="N6" t="str">
        <f>VLOOKUP(C6,CU_ARS_2025_WOF_F2!$A$2:$K$673,2,FALSE)</f>
        <v>CU_ARS_2025_WOF_P_14_plant_3</v>
      </c>
      <c r="O6" t="str">
        <f>VLOOKUP(C6,CU_ARS_2025_WOF_F2!$A$2:$K$673,2,FALSE)</f>
        <v>CU_ARS_2025_WOF_P_14_plant_3</v>
      </c>
      <c r="P6" t="str">
        <f>VLOOKUP(C6,CU_ARS_2025_WOF_F2!$A$2:$K$673,3,FALSE)</f>
        <v>CU_ARS_2025_WOF_P_14</v>
      </c>
      <c r="Q6" t="str">
        <f>VLOOKUP(C6,CU_ARS_2025_WOF_F2!$A$2:$K$673,4,FALSE)</f>
        <v>NC20-4526</v>
      </c>
      <c r="R6">
        <f>VLOOKUP(C6,CU_ARS_2025_WOF_F2!$A$2:$K$673,5,FALSE)</f>
        <v>14</v>
      </c>
      <c r="S6">
        <f>VLOOKUP(C6,CU_ARS_2025_WOF_F2!$A$2:$K$673,6,FALSE)</f>
        <v>1</v>
      </c>
      <c r="T6">
        <f>VLOOKUP(C6,CU_ARS_2025_WOF_F2!$A$2:$K$673,7,FALSE)</f>
        <v>0</v>
      </c>
      <c r="U6">
        <f>VLOOKUP(C6,CU_ARS_2025_WOF_F2!$A$2:$K$673,8,FALSE)</f>
        <v>1</v>
      </c>
      <c r="V6">
        <f>VLOOKUP(C6,CU_ARS_2025_WOF_F2!$A$2:$K$673,9,FALSE)</f>
        <v>0</v>
      </c>
      <c r="W6">
        <f>VLOOKUP(C6,CU_ARS_2025_WOF_F2!$A$2:$K$673,10,FALSE)</f>
        <v>0</v>
      </c>
      <c r="X6">
        <f>VLOOKUP(C6,CU_ARS_2025_WOF_F2!$A$2:$K$673,11,FALSE)</f>
        <v>3</v>
      </c>
      <c r="Y6" t="s">
        <v>974</v>
      </c>
    </row>
    <row r="7" spans="1:25" ht="18">
      <c r="A7" s="20" t="s">
        <v>15</v>
      </c>
      <c r="B7" s="21" t="s">
        <v>16</v>
      </c>
      <c r="C7" s="22">
        <v>753636</v>
      </c>
      <c r="D7" s="23">
        <v>1</v>
      </c>
      <c r="E7" s="24" t="str">
        <f t="shared" si="0"/>
        <v>CU_ARS_2025_WOF_P_10_plant_2</v>
      </c>
      <c r="F7" s="21" t="s">
        <v>73</v>
      </c>
      <c r="G7" s="44" t="s">
        <v>108</v>
      </c>
      <c r="H7" s="47"/>
      <c r="I7" s="42" t="s">
        <v>954</v>
      </c>
      <c r="J7" s="42" t="s">
        <v>1002</v>
      </c>
      <c r="K7" s="42"/>
      <c r="L7" s="42"/>
      <c r="M7" s="42"/>
      <c r="N7" t="str">
        <f>VLOOKUP(C7,CU_ARS_2025_WOF_F2!$A$2:$K$673,2,FALSE)</f>
        <v>CU_ARS_2025_WOF_P_10_plant_2</v>
      </c>
      <c r="O7" t="str">
        <f>VLOOKUP(C7,CU_ARS_2025_WOF_F2!$A$2:$K$673,2,FALSE)</f>
        <v>CU_ARS_2025_WOF_P_10_plant_2</v>
      </c>
      <c r="P7" t="str">
        <f>VLOOKUP(C7,CU_ARS_2025_WOF_F2!$A$2:$K$673,3,FALSE)</f>
        <v>CU_ARS_2025_WOF_P_10</v>
      </c>
      <c r="Q7" t="str">
        <f>VLOOKUP(C7,CU_ARS_2025_WOF_F2!$A$2:$K$673,4,FALSE)</f>
        <v>AURORA</v>
      </c>
      <c r="R7">
        <f>VLOOKUP(C7,CU_ARS_2025_WOF_F2!$A$2:$K$673,5,FALSE)</f>
        <v>10</v>
      </c>
      <c r="S7">
        <f>VLOOKUP(C7,CU_ARS_2025_WOF_F2!$A$2:$K$673,6,FALSE)</f>
        <v>1</v>
      </c>
      <c r="T7">
        <f>VLOOKUP(C7,CU_ARS_2025_WOF_F2!$A$2:$K$673,7,FALSE)</f>
        <v>0</v>
      </c>
      <c r="U7">
        <f>VLOOKUP(C7,CU_ARS_2025_WOF_F2!$A$2:$K$673,8,FALSE)</f>
        <v>1</v>
      </c>
      <c r="V7">
        <f>VLOOKUP(C7,CU_ARS_2025_WOF_F2!$A$2:$K$673,9,FALSE)</f>
        <v>0</v>
      </c>
      <c r="W7">
        <f>VLOOKUP(C7,CU_ARS_2025_WOF_F2!$A$2:$K$673,10,FALSE)</f>
        <v>0</v>
      </c>
      <c r="X7">
        <f>VLOOKUP(C7,CU_ARS_2025_WOF_F2!$A$2:$K$673,11,FALSE)</f>
        <v>2</v>
      </c>
      <c r="Y7" t="s">
        <v>954</v>
      </c>
    </row>
    <row r="8" spans="1:25" ht="18">
      <c r="A8" s="20" t="s">
        <v>15</v>
      </c>
      <c r="B8" s="21" t="s">
        <v>16</v>
      </c>
      <c r="C8" s="22">
        <v>753856</v>
      </c>
      <c r="D8" s="23">
        <v>1</v>
      </c>
      <c r="E8" s="24" t="str">
        <f t="shared" si="0"/>
        <v>CU_ARS_2025_WOF_P_11_plant_2</v>
      </c>
      <c r="F8" s="21" t="s">
        <v>75</v>
      </c>
      <c r="G8" s="44" t="s">
        <v>109</v>
      </c>
      <c r="H8" s="47"/>
      <c r="I8" s="42" t="s">
        <v>959</v>
      </c>
      <c r="J8" s="42" t="s">
        <v>1002</v>
      </c>
      <c r="K8" s="42"/>
      <c r="L8" s="42"/>
      <c r="M8" s="42"/>
      <c r="N8" t="str">
        <f>VLOOKUP(C8,CU_ARS_2025_WOF_F2!$A$2:$K$673,2,FALSE)</f>
        <v>CU_ARS_2025_WOF_P_11_plant_2</v>
      </c>
      <c r="O8" t="str">
        <f>VLOOKUP(C8,CU_ARS_2025_WOF_F2!$A$2:$K$673,2,FALSE)</f>
        <v>CU_ARS_2025_WOF_P_11_plant_2</v>
      </c>
      <c r="P8" t="str">
        <f>VLOOKUP(C8,CU_ARS_2025_WOF_F2!$A$2:$K$673,3,FALSE)</f>
        <v>CU_ARS_2025_WOF_P_11</v>
      </c>
      <c r="Q8" t="str">
        <f>VLOOKUP(C8,CU_ARS_2025_WOF_F2!$A$2:$K$673,4,FALSE)</f>
        <v>AWNLESS_CURLED</v>
      </c>
      <c r="R8">
        <f>VLOOKUP(C8,CU_ARS_2025_WOF_F2!$A$2:$K$673,5,FALSE)</f>
        <v>11</v>
      </c>
      <c r="S8">
        <f>VLOOKUP(C8,CU_ARS_2025_WOF_F2!$A$2:$K$673,6,FALSE)</f>
        <v>1</v>
      </c>
      <c r="T8">
        <f>VLOOKUP(C8,CU_ARS_2025_WOF_F2!$A$2:$K$673,7,FALSE)</f>
        <v>0</v>
      </c>
      <c r="U8">
        <f>VLOOKUP(C8,CU_ARS_2025_WOF_F2!$A$2:$K$673,8,FALSE)</f>
        <v>1</v>
      </c>
      <c r="V8">
        <f>VLOOKUP(C8,CU_ARS_2025_WOF_F2!$A$2:$K$673,9,FALSE)</f>
        <v>0</v>
      </c>
      <c r="W8">
        <f>VLOOKUP(C8,CU_ARS_2025_WOF_F2!$A$2:$K$673,10,FALSE)</f>
        <v>0</v>
      </c>
      <c r="X8">
        <f>VLOOKUP(C8,CU_ARS_2025_WOF_F2!$A$2:$K$673,11,FALSE)</f>
        <v>2</v>
      </c>
      <c r="Y8" t="s">
        <v>959</v>
      </c>
    </row>
    <row r="9" spans="1:25" ht="18">
      <c r="A9" s="20" t="s">
        <v>15</v>
      </c>
      <c r="B9" s="21" t="s">
        <v>16</v>
      </c>
      <c r="C9" s="22">
        <v>754011</v>
      </c>
      <c r="D9" s="23">
        <v>1</v>
      </c>
      <c r="E9" s="24" t="str">
        <f t="shared" si="0"/>
        <v>CU_ARS_2025_WOF_P_12_plant_3</v>
      </c>
      <c r="F9" s="21" t="s">
        <v>77</v>
      </c>
      <c r="G9" s="44" t="s">
        <v>110</v>
      </c>
      <c r="H9" s="47"/>
      <c r="I9" s="42" t="s">
        <v>964</v>
      </c>
      <c r="J9" s="42" t="s">
        <v>1002</v>
      </c>
      <c r="K9" s="42"/>
      <c r="L9" s="42"/>
      <c r="M9" s="42"/>
      <c r="N9" t="str">
        <f>VLOOKUP(C9,CU_ARS_2025_WOF_F2!$A$2:$K$673,2,FALSE)</f>
        <v>CU_ARS_2025_WOF_P_12_plant_3</v>
      </c>
      <c r="O9" t="str">
        <f>VLOOKUP(C9,CU_ARS_2025_WOF_F2!$A$2:$K$673,2,FALSE)</f>
        <v>CU_ARS_2025_WOF_P_12_plant_3</v>
      </c>
      <c r="P9" t="str">
        <f>VLOOKUP(C9,CU_ARS_2025_WOF_F2!$A$2:$K$673,3,FALSE)</f>
        <v>CU_ARS_2025_WOF_P_12</v>
      </c>
      <c r="Q9" t="str">
        <f>VLOOKUP(C9,CU_ARS_2025_WOF_F2!$A$2:$K$673,4,FALSE)</f>
        <v>Gerard 227</v>
      </c>
      <c r="R9">
        <f>VLOOKUP(C9,CU_ARS_2025_WOF_F2!$A$2:$K$673,5,FALSE)</f>
        <v>12</v>
      </c>
      <c r="S9">
        <f>VLOOKUP(C9,CU_ARS_2025_WOF_F2!$A$2:$K$673,6,FALSE)</f>
        <v>1</v>
      </c>
      <c r="T9">
        <f>VLOOKUP(C9,CU_ARS_2025_WOF_F2!$A$2:$K$673,7,FALSE)</f>
        <v>0</v>
      </c>
      <c r="U9">
        <f>VLOOKUP(C9,CU_ARS_2025_WOF_F2!$A$2:$K$673,8,FALSE)</f>
        <v>1</v>
      </c>
      <c r="V9">
        <f>VLOOKUP(C9,CU_ARS_2025_WOF_F2!$A$2:$K$673,9,FALSE)</f>
        <v>0</v>
      </c>
      <c r="W9">
        <f>VLOOKUP(C9,CU_ARS_2025_WOF_F2!$A$2:$K$673,10,FALSE)</f>
        <v>0</v>
      </c>
      <c r="X9">
        <f>VLOOKUP(C9,CU_ARS_2025_WOF_F2!$A$2:$K$673,11,FALSE)</f>
        <v>3</v>
      </c>
      <c r="Y9" t="s">
        <v>964</v>
      </c>
    </row>
    <row r="10" spans="1:25" ht="18">
      <c r="A10" s="20" t="s">
        <v>15</v>
      </c>
      <c r="B10" s="21" t="s">
        <v>16</v>
      </c>
      <c r="C10" s="22">
        <v>754007</v>
      </c>
      <c r="D10" s="23">
        <v>1</v>
      </c>
      <c r="E10" s="24" t="str">
        <f t="shared" si="0"/>
        <v>CU_ARS_2025_WOF_P_13_plant_2</v>
      </c>
      <c r="F10" s="21" t="s">
        <v>79</v>
      </c>
      <c r="G10" s="44" t="s">
        <v>111</v>
      </c>
      <c r="H10" s="47"/>
      <c r="I10" s="42" t="s">
        <v>969</v>
      </c>
      <c r="J10" s="42" t="s">
        <v>1002</v>
      </c>
      <c r="K10" s="42"/>
      <c r="L10" s="42"/>
      <c r="M10" s="42"/>
      <c r="N10" t="str">
        <f>VLOOKUP(C10,CU_ARS_2025_WOF_F2!$A$2:$K$673,2,FALSE)</f>
        <v>CU_ARS_2025_WOF_P_13_plant_2</v>
      </c>
      <c r="O10" t="str">
        <f>VLOOKUP(C10,CU_ARS_2025_WOF_F2!$A$2:$K$673,2,FALSE)</f>
        <v>CU_ARS_2025_WOF_P_13_plant_2</v>
      </c>
      <c r="P10" t="str">
        <f>VLOOKUP(C10,CU_ARS_2025_WOF_F2!$A$2:$K$673,3,FALSE)</f>
        <v>CU_ARS_2025_WOF_P_13</v>
      </c>
      <c r="Q10" t="str">
        <f>VLOOKUP(C10,CU_ARS_2025_WOF_F2!$A$2:$K$673,4,FALSE)</f>
        <v>NC20-4452</v>
      </c>
      <c r="R10">
        <f>VLOOKUP(C10,CU_ARS_2025_WOF_F2!$A$2:$K$673,5,FALSE)</f>
        <v>13</v>
      </c>
      <c r="S10">
        <f>VLOOKUP(C10,CU_ARS_2025_WOF_F2!$A$2:$K$673,6,FALSE)</f>
        <v>1</v>
      </c>
      <c r="T10">
        <f>VLOOKUP(C10,CU_ARS_2025_WOF_F2!$A$2:$K$673,7,FALSE)</f>
        <v>0</v>
      </c>
      <c r="U10">
        <f>VLOOKUP(C10,CU_ARS_2025_WOF_F2!$A$2:$K$673,8,FALSE)</f>
        <v>1</v>
      </c>
      <c r="V10">
        <f>VLOOKUP(C10,CU_ARS_2025_WOF_F2!$A$2:$K$673,9,FALSE)</f>
        <v>0</v>
      </c>
      <c r="W10">
        <f>VLOOKUP(C10,CU_ARS_2025_WOF_F2!$A$2:$K$673,10,FALSE)</f>
        <v>0</v>
      </c>
      <c r="X10">
        <f>VLOOKUP(C10,CU_ARS_2025_WOF_F2!$A$2:$K$673,11,FALSE)</f>
        <v>2</v>
      </c>
      <c r="Y10" t="s">
        <v>969</v>
      </c>
    </row>
    <row r="11" spans="1:25" ht="18">
      <c r="A11" s="20" t="s">
        <v>15</v>
      </c>
      <c r="B11" s="21" t="s">
        <v>16</v>
      </c>
      <c r="C11" s="22">
        <v>754004</v>
      </c>
      <c r="D11" s="23">
        <v>1</v>
      </c>
      <c r="E11" s="24" t="str">
        <f t="shared" si="0"/>
        <v>CU_ARS_2025_WOF_P_14_plant_2</v>
      </c>
      <c r="F11" s="21" t="s">
        <v>81</v>
      </c>
      <c r="G11" s="44" t="s">
        <v>112</v>
      </c>
      <c r="H11" s="47"/>
      <c r="I11" s="42" t="s">
        <v>974</v>
      </c>
      <c r="J11" s="42" t="s">
        <v>1002</v>
      </c>
      <c r="K11" s="42"/>
      <c r="L11" s="42"/>
      <c r="M11" s="42"/>
      <c r="N11" t="str">
        <f>VLOOKUP(C11,CU_ARS_2025_WOF_F2!$A$2:$K$673,2,FALSE)</f>
        <v>CU_ARS_2025_WOF_P_14_plant_2</v>
      </c>
      <c r="O11" t="str">
        <f>VLOOKUP(C11,CU_ARS_2025_WOF_F2!$A$2:$K$673,2,FALSE)</f>
        <v>CU_ARS_2025_WOF_P_14_plant_2</v>
      </c>
      <c r="P11" t="str">
        <f>VLOOKUP(C11,CU_ARS_2025_WOF_F2!$A$2:$K$673,3,FALSE)</f>
        <v>CU_ARS_2025_WOF_P_14</v>
      </c>
      <c r="Q11" t="str">
        <f>VLOOKUP(C11,CU_ARS_2025_WOF_F2!$A$2:$K$673,4,FALSE)</f>
        <v>NC20-4526</v>
      </c>
      <c r="R11">
        <f>VLOOKUP(C11,CU_ARS_2025_WOF_F2!$A$2:$K$673,5,FALSE)</f>
        <v>14</v>
      </c>
      <c r="S11">
        <f>VLOOKUP(C11,CU_ARS_2025_WOF_F2!$A$2:$K$673,6,FALSE)</f>
        <v>1</v>
      </c>
      <c r="T11">
        <f>VLOOKUP(C11,CU_ARS_2025_WOF_F2!$A$2:$K$673,7,FALSE)</f>
        <v>0</v>
      </c>
      <c r="U11">
        <f>VLOOKUP(C11,CU_ARS_2025_WOF_F2!$A$2:$K$673,8,FALSE)</f>
        <v>1</v>
      </c>
      <c r="V11">
        <f>VLOOKUP(C11,CU_ARS_2025_WOF_F2!$A$2:$K$673,9,FALSE)</f>
        <v>0</v>
      </c>
      <c r="W11">
        <f>VLOOKUP(C11,CU_ARS_2025_WOF_F2!$A$2:$K$673,10,FALSE)</f>
        <v>0</v>
      </c>
      <c r="X11">
        <f>VLOOKUP(C11,CU_ARS_2025_WOF_F2!$A$2:$K$673,11,FALSE)</f>
        <v>2</v>
      </c>
      <c r="Y11" t="s">
        <v>974</v>
      </c>
    </row>
    <row r="12" spans="1:25" ht="18">
      <c r="A12" s="20" t="s">
        <v>15</v>
      </c>
      <c r="B12" s="21" t="s">
        <v>16</v>
      </c>
      <c r="C12" s="22">
        <v>753637</v>
      </c>
      <c r="D12" s="23">
        <v>1</v>
      </c>
      <c r="E12" s="24" t="str">
        <f t="shared" si="0"/>
        <v>CU_ARS_2025_WOF_P_10_plant_3</v>
      </c>
      <c r="F12" s="21" t="s">
        <v>82</v>
      </c>
      <c r="G12" s="44" t="s">
        <v>113</v>
      </c>
      <c r="H12" s="47"/>
      <c r="I12" s="42" t="s">
        <v>954</v>
      </c>
      <c r="J12" s="42" t="s">
        <v>1002</v>
      </c>
      <c r="K12" s="42"/>
      <c r="L12" s="42"/>
      <c r="M12" s="42"/>
      <c r="N12" t="str">
        <f>VLOOKUP(C12,CU_ARS_2025_WOF_F2!$A$2:$K$673,2,FALSE)</f>
        <v>CU_ARS_2025_WOF_P_10_plant_3</v>
      </c>
      <c r="O12" t="str">
        <f>VLOOKUP(C12,CU_ARS_2025_WOF_F2!$A$2:$K$673,2,FALSE)</f>
        <v>CU_ARS_2025_WOF_P_10_plant_3</v>
      </c>
      <c r="P12" t="str">
        <f>VLOOKUP(C12,CU_ARS_2025_WOF_F2!$A$2:$K$673,3,FALSE)</f>
        <v>CU_ARS_2025_WOF_P_10</v>
      </c>
      <c r="Q12" t="str">
        <f>VLOOKUP(C12,CU_ARS_2025_WOF_F2!$A$2:$K$673,4,FALSE)</f>
        <v>AURORA</v>
      </c>
      <c r="R12">
        <f>VLOOKUP(C12,CU_ARS_2025_WOF_F2!$A$2:$K$673,5,FALSE)</f>
        <v>10</v>
      </c>
      <c r="S12">
        <f>VLOOKUP(C12,CU_ARS_2025_WOF_F2!$A$2:$K$673,6,FALSE)</f>
        <v>1</v>
      </c>
      <c r="T12">
        <f>VLOOKUP(C12,CU_ARS_2025_WOF_F2!$A$2:$K$673,7,FALSE)</f>
        <v>0</v>
      </c>
      <c r="U12">
        <f>VLOOKUP(C12,CU_ARS_2025_WOF_F2!$A$2:$K$673,8,FALSE)</f>
        <v>1</v>
      </c>
      <c r="V12">
        <f>VLOOKUP(C12,CU_ARS_2025_WOF_F2!$A$2:$K$673,9,FALSE)</f>
        <v>0</v>
      </c>
      <c r="W12">
        <f>VLOOKUP(C12,CU_ARS_2025_WOF_F2!$A$2:$K$673,10,FALSE)</f>
        <v>0</v>
      </c>
      <c r="X12">
        <f>VLOOKUP(C12,CU_ARS_2025_WOF_F2!$A$2:$K$673,11,FALSE)</f>
        <v>3</v>
      </c>
      <c r="Y12" t="s">
        <v>954</v>
      </c>
    </row>
    <row r="13" spans="1:25" ht="18">
      <c r="A13" s="20" t="s">
        <v>15</v>
      </c>
      <c r="B13" s="21" t="s">
        <v>16</v>
      </c>
      <c r="C13" s="22">
        <v>753855</v>
      </c>
      <c r="D13" s="23">
        <v>1</v>
      </c>
      <c r="E13" s="24" t="str">
        <f t="shared" si="0"/>
        <v>CU_ARS_2025_WOF_P_11_plant_1</v>
      </c>
      <c r="F13" s="21" t="s">
        <v>83</v>
      </c>
      <c r="G13" s="44" t="s">
        <v>114</v>
      </c>
      <c r="H13" s="47"/>
      <c r="I13" s="42" t="s">
        <v>959</v>
      </c>
      <c r="J13" s="42" t="s">
        <v>1002</v>
      </c>
      <c r="K13" s="42"/>
      <c r="L13" s="42"/>
      <c r="M13" s="42"/>
      <c r="N13" t="str">
        <f>VLOOKUP(C13,CU_ARS_2025_WOF_F2!$A$2:$K$673,2,FALSE)</f>
        <v>CU_ARS_2025_WOF_P_11_plant_1</v>
      </c>
      <c r="O13" t="str">
        <f>VLOOKUP(C13,CU_ARS_2025_WOF_F2!$A$2:$K$673,2,FALSE)</f>
        <v>CU_ARS_2025_WOF_P_11_plant_1</v>
      </c>
      <c r="P13" t="str">
        <f>VLOOKUP(C13,CU_ARS_2025_WOF_F2!$A$2:$K$673,3,FALSE)</f>
        <v>CU_ARS_2025_WOF_P_11</v>
      </c>
      <c r="Q13" t="str">
        <f>VLOOKUP(C13,CU_ARS_2025_WOF_F2!$A$2:$K$673,4,FALSE)</f>
        <v>AWNLESS_CURLED</v>
      </c>
      <c r="R13">
        <f>VLOOKUP(C13,CU_ARS_2025_WOF_F2!$A$2:$K$673,5,FALSE)</f>
        <v>11</v>
      </c>
      <c r="S13">
        <f>VLOOKUP(C13,CU_ARS_2025_WOF_F2!$A$2:$K$673,6,FALSE)</f>
        <v>1</v>
      </c>
      <c r="T13">
        <f>VLOOKUP(C13,CU_ARS_2025_WOF_F2!$A$2:$K$673,7,FALSE)</f>
        <v>0</v>
      </c>
      <c r="U13">
        <f>VLOOKUP(C13,CU_ARS_2025_WOF_F2!$A$2:$K$673,8,FALSE)</f>
        <v>1</v>
      </c>
      <c r="V13">
        <f>VLOOKUP(C13,CU_ARS_2025_WOF_F2!$A$2:$K$673,9,FALSE)</f>
        <v>0</v>
      </c>
      <c r="W13">
        <f>VLOOKUP(C13,CU_ARS_2025_WOF_F2!$A$2:$K$673,10,FALSE)</f>
        <v>0</v>
      </c>
      <c r="X13">
        <f>VLOOKUP(C13,CU_ARS_2025_WOF_F2!$A$2:$K$673,11,FALSE)</f>
        <v>1</v>
      </c>
      <c r="Y13" t="s">
        <v>959</v>
      </c>
    </row>
    <row r="14" spans="1:25" ht="18">
      <c r="A14" s="20" t="s">
        <v>15</v>
      </c>
      <c r="B14" s="21" t="s">
        <v>16</v>
      </c>
      <c r="C14" s="22">
        <v>754010</v>
      </c>
      <c r="D14" s="23">
        <v>1</v>
      </c>
      <c r="E14" s="24" t="str">
        <f t="shared" si="0"/>
        <v>CU_ARS_2025_WOF_P_12_plant_2</v>
      </c>
      <c r="F14" s="21" t="s">
        <v>84</v>
      </c>
      <c r="G14" s="44" t="s">
        <v>115</v>
      </c>
      <c r="H14" s="47"/>
      <c r="I14" s="42" t="s">
        <v>964</v>
      </c>
      <c r="J14" s="42" t="s">
        <v>1002</v>
      </c>
      <c r="K14" s="42"/>
      <c r="L14" s="42"/>
      <c r="M14" s="42"/>
      <c r="N14" t="str">
        <f>VLOOKUP(C14,CU_ARS_2025_WOF_F2!$A$2:$K$673,2,FALSE)</f>
        <v>CU_ARS_2025_WOF_P_12_plant_2</v>
      </c>
      <c r="O14" t="str">
        <f>VLOOKUP(C14,CU_ARS_2025_WOF_F2!$A$2:$K$673,2,FALSE)</f>
        <v>CU_ARS_2025_WOF_P_12_plant_2</v>
      </c>
      <c r="P14" t="str">
        <f>VLOOKUP(C14,CU_ARS_2025_WOF_F2!$A$2:$K$673,3,FALSE)</f>
        <v>CU_ARS_2025_WOF_P_12</v>
      </c>
      <c r="Q14" t="str">
        <f>VLOOKUP(C14,CU_ARS_2025_WOF_F2!$A$2:$K$673,4,FALSE)</f>
        <v>Gerard 227</v>
      </c>
      <c r="R14">
        <f>VLOOKUP(C14,CU_ARS_2025_WOF_F2!$A$2:$K$673,5,FALSE)</f>
        <v>12</v>
      </c>
      <c r="S14">
        <f>VLOOKUP(C14,CU_ARS_2025_WOF_F2!$A$2:$K$673,6,FALSE)</f>
        <v>1</v>
      </c>
      <c r="T14">
        <f>VLOOKUP(C14,CU_ARS_2025_WOF_F2!$A$2:$K$673,7,FALSE)</f>
        <v>0</v>
      </c>
      <c r="U14">
        <f>VLOOKUP(C14,CU_ARS_2025_WOF_F2!$A$2:$K$673,8,FALSE)</f>
        <v>1</v>
      </c>
      <c r="V14">
        <f>VLOOKUP(C14,CU_ARS_2025_WOF_F2!$A$2:$K$673,9,FALSE)</f>
        <v>0</v>
      </c>
      <c r="W14">
        <f>VLOOKUP(C14,CU_ARS_2025_WOF_F2!$A$2:$K$673,10,FALSE)</f>
        <v>0</v>
      </c>
      <c r="X14">
        <f>VLOOKUP(C14,CU_ARS_2025_WOF_F2!$A$2:$K$673,11,FALSE)</f>
        <v>2</v>
      </c>
      <c r="Y14" t="s">
        <v>964</v>
      </c>
    </row>
    <row r="15" spans="1:25" ht="18">
      <c r="A15" s="20" t="s">
        <v>15</v>
      </c>
      <c r="B15" s="21" t="s">
        <v>16</v>
      </c>
      <c r="C15" s="22">
        <v>754006</v>
      </c>
      <c r="D15" s="23">
        <v>1</v>
      </c>
      <c r="E15" s="24" t="str">
        <f t="shared" si="0"/>
        <v>CU_ARS_2025_WOF_P_13_plant_1</v>
      </c>
      <c r="F15" s="21" t="s">
        <v>85</v>
      </c>
      <c r="G15" s="44" t="s">
        <v>116</v>
      </c>
      <c r="H15" s="47"/>
      <c r="I15" s="42" t="s">
        <v>969</v>
      </c>
      <c r="J15" s="42" t="s">
        <v>1002</v>
      </c>
      <c r="K15" s="42"/>
      <c r="L15" s="42"/>
      <c r="M15" s="42"/>
      <c r="N15" t="str">
        <f>VLOOKUP(C15,CU_ARS_2025_WOF_F2!$A$2:$K$673,2,FALSE)</f>
        <v>CU_ARS_2025_WOF_P_13_plant_1</v>
      </c>
      <c r="O15" t="str">
        <f>VLOOKUP(C15,CU_ARS_2025_WOF_F2!$A$2:$K$673,2,FALSE)</f>
        <v>CU_ARS_2025_WOF_P_13_plant_1</v>
      </c>
      <c r="P15" t="str">
        <f>VLOOKUP(C15,CU_ARS_2025_WOF_F2!$A$2:$K$673,3,FALSE)</f>
        <v>CU_ARS_2025_WOF_P_13</v>
      </c>
      <c r="Q15" t="str">
        <f>VLOOKUP(C15,CU_ARS_2025_WOF_F2!$A$2:$K$673,4,FALSE)</f>
        <v>NC20-4452</v>
      </c>
      <c r="R15">
        <f>VLOOKUP(C15,CU_ARS_2025_WOF_F2!$A$2:$K$673,5,FALSE)</f>
        <v>13</v>
      </c>
      <c r="S15">
        <f>VLOOKUP(C15,CU_ARS_2025_WOF_F2!$A$2:$K$673,6,FALSE)</f>
        <v>1</v>
      </c>
      <c r="T15">
        <f>VLOOKUP(C15,CU_ARS_2025_WOF_F2!$A$2:$K$673,7,FALSE)</f>
        <v>0</v>
      </c>
      <c r="U15">
        <f>VLOOKUP(C15,CU_ARS_2025_WOF_F2!$A$2:$K$673,8,FALSE)</f>
        <v>1</v>
      </c>
      <c r="V15">
        <f>VLOOKUP(C15,CU_ARS_2025_WOF_F2!$A$2:$K$673,9,FALSE)</f>
        <v>0</v>
      </c>
      <c r="W15">
        <f>VLOOKUP(C15,CU_ARS_2025_WOF_F2!$A$2:$K$673,10,FALSE)</f>
        <v>0</v>
      </c>
      <c r="X15">
        <f>VLOOKUP(C15,CU_ARS_2025_WOF_F2!$A$2:$K$673,11,FALSE)</f>
        <v>1</v>
      </c>
      <c r="Y15" t="s">
        <v>969</v>
      </c>
    </row>
    <row r="16" spans="1:25" ht="18">
      <c r="A16" s="20" t="s">
        <v>15</v>
      </c>
      <c r="B16" s="21" t="s">
        <v>16</v>
      </c>
      <c r="C16" s="22">
        <v>754003</v>
      </c>
      <c r="D16" s="23">
        <v>1</v>
      </c>
      <c r="E16" s="24" t="str">
        <f t="shared" si="0"/>
        <v>CU_ARS_2025_WOF_P_14_plant_1</v>
      </c>
      <c r="F16" s="21" t="s">
        <v>117</v>
      </c>
      <c r="G16" s="44" t="s">
        <v>118</v>
      </c>
      <c r="H16" s="47"/>
      <c r="I16" s="42" t="s">
        <v>974</v>
      </c>
      <c r="J16" s="42" t="s">
        <v>1002</v>
      </c>
      <c r="K16" s="42"/>
      <c r="L16" s="42"/>
      <c r="M16" s="42"/>
      <c r="N16" t="str">
        <f>VLOOKUP(C16,CU_ARS_2025_WOF_F2!$A$2:$K$673,2,FALSE)</f>
        <v>CU_ARS_2025_WOF_P_14_plant_1</v>
      </c>
      <c r="O16" t="str">
        <f>VLOOKUP(C16,CU_ARS_2025_WOF_F2!$A$2:$K$673,2,FALSE)</f>
        <v>CU_ARS_2025_WOF_P_14_plant_1</v>
      </c>
      <c r="P16" t="str">
        <f>VLOOKUP(C16,CU_ARS_2025_WOF_F2!$A$2:$K$673,3,FALSE)</f>
        <v>CU_ARS_2025_WOF_P_14</v>
      </c>
      <c r="Q16" t="str">
        <f>VLOOKUP(C16,CU_ARS_2025_WOF_F2!$A$2:$K$673,4,FALSE)</f>
        <v>NC20-4526</v>
      </c>
      <c r="R16">
        <f>VLOOKUP(C16,CU_ARS_2025_WOF_F2!$A$2:$K$673,5,FALSE)</f>
        <v>14</v>
      </c>
      <c r="S16">
        <f>VLOOKUP(C16,CU_ARS_2025_WOF_F2!$A$2:$K$673,6,FALSE)</f>
        <v>1</v>
      </c>
      <c r="T16">
        <f>VLOOKUP(C16,CU_ARS_2025_WOF_F2!$A$2:$K$673,7,FALSE)</f>
        <v>0</v>
      </c>
      <c r="U16">
        <f>VLOOKUP(C16,CU_ARS_2025_WOF_F2!$A$2:$K$673,8,FALSE)</f>
        <v>1</v>
      </c>
      <c r="V16">
        <f>VLOOKUP(C16,CU_ARS_2025_WOF_F2!$A$2:$K$673,9,FALSE)</f>
        <v>0</v>
      </c>
      <c r="W16">
        <f>VLOOKUP(C16,CU_ARS_2025_WOF_F2!$A$2:$K$673,10,FALSE)</f>
        <v>0</v>
      </c>
      <c r="X16">
        <f>VLOOKUP(C16,CU_ARS_2025_WOF_F2!$A$2:$K$673,11,FALSE)</f>
        <v>1</v>
      </c>
      <c r="Y16" t="s">
        <v>974</v>
      </c>
    </row>
    <row r="17" spans="1:25" ht="18">
      <c r="A17" s="20" t="s">
        <v>15</v>
      </c>
      <c r="B17" s="21" t="s">
        <v>16</v>
      </c>
      <c r="C17" s="22">
        <v>753858</v>
      </c>
      <c r="D17" s="23">
        <v>1</v>
      </c>
      <c r="E17" s="24" t="str">
        <f t="shared" si="0"/>
        <v>CU_ARS_2025_WOF_P_15_plant_1</v>
      </c>
      <c r="F17" s="21" t="s">
        <v>119</v>
      </c>
      <c r="G17" s="44" t="s">
        <v>120</v>
      </c>
      <c r="H17" s="47"/>
      <c r="I17" s="42" t="s">
        <v>979</v>
      </c>
      <c r="J17" s="42" t="s">
        <v>1002</v>
      </c>
      <c r="K17" s="42"/>
      <c r="L17" s="42"/>
      <c r="M17" s="42"/>
      <c r="N17" t="str">
        <f>VLOOKUP(C17,CU_ARS_2025_WOF_F2!$A$2:$K$673,2,FALSE)</f>
        <v>CU_ARS_2025_WOF_P_15_plant_1</v>
      </c>
      <c r="O17" t="str">
        <f>VLOOKUP(C17,CU_ARS_2025_WOF_F2!$A$2:$K$673,2,FALSE)</f>
        <v>CU_ARS_2025_WOF_P_15_plant_1</v>
      </c>
      <c r="P17" t="str">
        <f>VLOOKUP(C17,CU_ARS_2025_WOF_F2!$A$2:$K$673,3,FALSE)</f>
        <v>CU_ARS_2025_WOF_P_15</v>
      </c>
      <c r="Q17" t="str">
        <f>VLOOKUP(C17,CU_ARS_2025_WOF_F2!$A$2:$K$673,4,FALSE)</f>
        <v>NC21-6429</v>
      </c>
      <c r="R17">
        <f>VLOOKUP(C17,CU_ARS_2025_WOF_F2!$A$2:$K$673,5,FALSE)</f>
        <v>15</v>
      </c>
      <c r="S17">
        <f>VLOOKUP(C17,CU_ARS_2025_WOF_F2!$A$2:$K$673,6,FALSE)</f>
        <v>1</v>
      </c>
      <c r="T17">
        <f>VLOOKUP(C17,CU_ARS_2025_WOF_F2!$A$2:$K$673,7,FALSE)</f>
        <v>0</v>
      </c>
      <c r="U17">
        <f>VLOOKUP(C17,CU_ARS_2025_WOF_F2!$A$2:$K$673,8,FALSE)</f>
        <v>1</v>
      </c>
      <c r="V17">
        <f>VLOOKUP(C17,CU_ARS_2025_WOF_F2!$A$2:$K$673,9,FALSE)</f>
        <v>0</v>
      </c>
      <c r="W17">
        <f>VLOOKUP(C17,CU_ARS_2025_WOF_F2!$A$2:$K$673,10,FALSE)</f>
        <v>0</v>
      </c>
      <c r="X17">
        <f>VLOOKUP(C17,CU_ARS_2025_WOF_F2!$A$2:$K$673,11,FALSE)</f>
        <v>1</v>
      </c>
      <c r="Y17" t="s">
        <v>979</v>
      </c>
    </row>
    <row r="18" spans="1:25" ht="18">
      <c r="A18" s="20" t="s">
        <v>15</v>
      </c>
      <c r="B18" s="21" t="s">
        <v>16</v>
      </c>
      <c r="C18" s="22">
        <v>754014</v>
      </c>
      <c r="D18" s="23">
        <v>1</v>
      </c>
      <c r="E18" s="24" t="str">
        <f t="shared" si="0"/>
        <v>CU_ARS_2025_WOF_P_19_plant_3</v>
      </c>
      <c r="F18" s="21" t="s">
        <v>121</v>
      </c>
      <c r="G18" s="44" t="s">
        <v>122</v>
      </c>
      <c r="H18" s="47"/>
      <c r="I18" s="42" t="s">
        <v>999</v>
      </c>
      <c r="J18" s="42" t="s">
        <v>1002</v>
      </c>
      <c r="K18" s="42"/>
      <c r="L18" s="42"/>
      <c r="M18" s="42"/>
      <c r="N18" t="str">
        <f>VLOOKUP(C18,CU_ARS_2025_WOF_F2!$A$2:$K$673,2,FALSE)</f>
        <v>CU_ARS_2025_WOF_P_19_plant_3</v>
      </c>
      <c r="O18" t="str">
        <f>VLOOKUP(C18,CU_ARS_2025_WOF_F2!$A$2:$K$673,2,FALSE)</f>
        <v>CU_ARS_2025_WOF_P_19_plant_3</v>
      </c>
      <c r="P18" t="str">
        <f>VLOOKUP(C18,CU_ARS_2025_WOF_F2!$A$2:$K$673,3,FALSE)</f>
        <v>CU_ARS_2025_WOF_P_19</v>
      </c>
      <c r="Q18" t="str">
        <f>VLOOKUP(C18,CU_ARS_2025_WOF_F2!$A$2:$K$673,4,FALSE)</f>
        <v>SEGER|PI306405</v>
      </c>
      <c r="R18">
        <f>VLOOKUP(C18,CU_ARS_2025_WOF_F2!$A$2:$K$673,5,FALSE)</f>
        <v>19</v>
      </c>
      <c r="S18">
        <f>VLOOKUP(C18,CU_ARS_2025_WOF_F2!$A$2:$K$673,6,FALSE)</f>
        <v>1</v>
      </c>
      <c r="T18">
        <f>VLOOKUP(C18,CU_ARS_2025_WOF_F2!$A$2:$K$673,7,FALSE)</f>
        <v>0</v>
      </c>
      <c r="U18">
        <f>VLOOKUP(C18,CU_ARS_2025_WOF_F2!$A$2:$K$673,8,FALSE)</f>
        <v>1</v>
      </c>
      <c r="V18">
        <f>VLOOKUP(C18,CU_ARS_2025_WOF_F2!$A$2:$K$673,9,FALSE)</f>
        <v>0</v>
      </c>
      <c r="W18">
        <f>VLOOKUP(C18,CU_ARS_2025_WOF_F2!$A$2:$K$673,10,FALSE)</f>
        <v>0</v>
      </c>
      <c r="X18">
        <f>VLOOKUP(C18,CU_ARS_2025_WOF_F2!$A$2:$K$673,11,FALSE)</f>
        <v>3</v>
      </c>
      <c r="Y18" t="s">
        <v>999</v>
      </c>
    </row>
    <row r="19" spans="1:25" ht="18">
      <c r="A19" s="20" t="s">
        <v>15</v>
      </c>
      <c r="B19" s="21" t="s">
        <v>16</v>
      </c>
      <c r="C19" s="22">
        <v>753487</v>
      </c>
      <c r="D19" s="23">
        <v>1</v>
      </c>
      <c r="E19" s="24" t="str">
        <f t="shared" si="0"/>
        <v>CU_ARS_2025_WOF_P_16_plant_2</v>
      </c>
      <c r="F19" s="21" t="s">
        <v>123</v>
      </c>
      <c r="G19" s="44" t="s">
        <v>124</v>
      </c>
      <c r="H19" s="47"/>
      <c r="I19" s="42" t="s">
        <v>984</v>
      </c>
      <c r="J19" s="42" t="s">
        <v>1002</v>
      </c>
      <c r="K19" s="42"/>
      <c r="L19" s="42"/>
      <c r="M19" s="42"/>
      <c r="N19" t="str">
        <f>VLOOKUP(C19,CU_ARS_2025_WOF_F2!$A$2:$K$673,2,FALSE)</f>
        <v>CU_ARS_2025_WOF_P_16_plant_2</v>
      </c>
      <c r="O19" t="str">
        <f>VLOOKUP(C19,CU_ARS_2025_WOF_F2!$A$2:$K$673,2,FALSE)</f>
        <v>CU_ARS_2025_WOF_P_16_plant_2</v>
      </c>
      <c r="P19" t="str">
        <f>VLOOKUP(C19,CU_ARS_2025_WOF_F2!$A$2:$K$673,3,FALSE)</f>
        <v>CU_ARS_2025_WOF_P_16</v>
      </c>
      <c r="Q19" t="str">
        <f>VLOOKUP(C19,CU_ARS_2025_WOF_F2!$A$2:$K$673,4,FALSE)</f>
        <v>NF01404A</v>
      </c>
      <c r="R19">
        <f>VLOOKUP(C19,CU_ARS_2025_WOF_F2!$A$2:$K$673,5,FALSE)</f>
        <v>16</v>
      </c>
      <c r="S19">
        <f>VLOOKUP(C19,CU_ARS_2025_WOF_F2!$A$2:$K$673,6,FALSE)</f>
        <v>1</v>
      </c>
      <c r="T19">
        <f>VLOOKUP(C19,CU_ARS_2025_WOF_F2!$A$2:$K$673,7,FALSE)</f>
        <v>0</v>
      </c>
      <c r="U19">
        <f>VLOOKUP(C19,CU_ARS_2025_WOF_F2!$A$2:$K$673,8,FALSE)</f>
        <v>1</v>
      </c>
      <c r="V19">
        <f>VLOOKUP(C19,CU_ARS_2025_WOF_F2!$A$2:$K$673,9,FALSE)</f>
        <v>0</v>
      </c>
      <c r="W19">
        <f>VLOOKUP(C19,CU_ARS_2025_WOF_F2!$A$2:$K$673,10,FALSE)</f>
        <v>0</v>
      </c>
      <c r="X19">
        <f>VLOOKUP(C19,CU_ARS_2025_WOF_F2!$A$2:$K$673,11,FALSE)</f>
        <v>2</v>
      </c>
      <c r="Y19" t="s">
        <v>984</v>
      </c>
    </row>
    <row r="20" spans="1:25" ht="18">
      <c r="A20" s="20" t="s">
        <v>15</v>
      </c>
      <c r="B20" s="21" t="s">
        <v>16</v>
      </c>
      <c r="C20" s="22">
        <v>753853</v>
      </c>
      <c r="D20" s="23">
        <v>1</v>
      </c>
      <c r="E20" s="24" t="str">
        <f t="shared" si="0"/>
        <v>CU_ARS_2025_WOF_P_17_plant_2</v>
      </c>
      <c r="F20" s="21" t="s">
        <v>125</v>
      </c>
      <c r="G20" s="44" t="s">
        <v>126</v>
      </c>
      <c r="H20" s="47"/>
      <c r="I20" s="42" t="s">
        <v>989</v>
      </c>
      <c r="J20" s="42" t="s">
        <v>1002</v>
      </c>
      <c r="K20" s="42"/>
      <c r="L20" s="42"/>
      <c r="M20" s="42"/>
      <c r="N20" t="str">
        <f>VLOOKUP(C20,CU_ARS_2025_WOF_F2!$A$2:$K$673,2,FALSE)</f>
        <v>CU_ARS_2025_WOF_P_17_plant_2</v>
      </c>
      <c r="O20" t="str">
        <f>VLOOKUP(C20,CU_ARS_2025_WOF_F2!$A$2:$K$673,2,FALSE)</f>
        <v>CU_ARS_2025_WOF_P_17_plant_2</v>
      </c>
      <c r="P20" t="str">
        <f>VLOOKUP(C20,CU_ARS_2025_WOF_F2!$A$2:$K$673,3,FALSE)</f>
        <v>CU_ARS_2025_WOF_P_17</v>
      </c>
      <c r="Q20" t="str">
        <f>VLOOKUP(C20,CU_ARS_2025_WOF_F2!$A$2:$K$673,4,FALSE)</f>
        <v>NF13-4126-4_3</v>
      </c>
      <c r="R20">
        <f>VLOOKUP(C20,CU_ARS_2025_WOF_F2!$A$2:$K$673,5,FALSE)</f>
        <v>17</v>
      </c>
      <c r="S20">
        <f>VLOOKUP(C20,CU_ARS_2025_WOF_F2!$A$2:$K$673,6,FALSE)</f>
        <v>1</v>
      </c>
      <c r="T20">
        <f>VLOOKUP(C20,CU_ARS_2025_WOF_F2!$A$2:$K$673,7,FALSE)</f>
        <v>0</v>
      </c>
      <c r="U20">
        <f>VLOOKUP(C20,CU_ARS_2025_WOF_F2!$A$2:$K$673,8,FALSE)</f>
        <v>1</v>
      </c>
      <c r="V20">
        <f>VLOOKUP(C20,CU_ARS_2025_WOF_F2!$A$2:$K$673,9,FALSE)</f>
        <v>0</v>
      </c>
      <c r="W20">
        <f>VLOOKUP(C20,CU_ARS_2025_WOF_F2!$A$2:$K$673,10,FALSE)</f>
        <v>0</v>
      </c>
      <c r="X20">
        <f>VLOOKUP(C20,CU_ARS_2025_WOF_F2!$A$2:$K$673,11,FALSE)</f>
        <v>2</v>
      </c>
      <c r="Y20" t="s">
        <v>989</v>
      </c>
    </row>
    <row r="21" spans="1:25" ht="18">
      <c r="A21" s="20" t="s">
        <v>15</v>
      </c>
      <c r="B21" s="21" t="s">
        <v>16</v>
      </c>
      <c r="C21" s="22">
        <v>753633</v>
      </c>
      <c r="D21" s="23">
        <v>1</v>
      </c>
      <c r="E21" s="24" t="str">
        <f t="shared" si="0"/>
        <v>CU_ARS_2025_WOF_P_18_plant_2</v>
      </c>
      <c r="F21" s="21" t="s">
        <v>86</v>
      </c>
      <c r="G21" s="44" t="s">
        <v>127</v>
      </c>
      <c r="H21" s="47"/>
      <c r="I21" s="42" t="s">
        <v>994</v>
      </c>
      <c r="J21" s="42" t="s">
        <v>1002</v>
      </c>
      <c r="K21" s="42"/>
      <c r="L21" s="42"/>
      <c r="M21" s="42"/>
      <c r="N21" t="str">
        <f>VLOOKUP(C21,CU_ARS_2025_WOF_F2!$A$2:$K$673,2,FALSE)</f>
        <v>CU_ARS_2025_WOF_P_18_plant_2</v>
      </c>
      <c r="O21" t="str">
        <f>VLOOKUP(C21,CU_ARS_2025_WOF_F2!$A$2:$K$673,2,FALSE)</f>
        <v>CU_ARS_2025_WOF_P_18_plant_2</v>
      </c>
      <c r="P21" t="str">
        <f>VLOOKUP(C21,CU_ARS_2025_WOF_F2!$A$2:$K$673,3,FALSE)</f>
        <v>CU_ARS_2025_WOF_P_18</v>
      </c>
      <c r="Q21" t="str">
        <f>VLOOKUP(C21,CU_ARS_2025_WOF_F2!$A$2:$K$673,4,FALSE)</f>
        <v>PA8014-840</v>
      </c>
      <c r="R21">
        <f>VLOOKUP(C21,CU_ARS_2025_WOF_F2!$A$2:$K$673,5,FALSE)</f>
        <v>18</v>
      </c>
      <c r="S21">
        <f>VLOOKUP(C21,CU_ARS_2025_WOF_F2!$A$2:$K$673,6,FALSE)</f>
        <v>1</v>
      </c>
      <c r="T21">
        <f>VLOOKUP(C21,CU_ARS_2025_WOF_F2!$A$2:$K$673,7,FALSE)</f>
        <v>0</v>
      </c>
      <c r="U21">
        <f>VLOOKUP(C21,CU_ARS_2025_WOF_F2!$A$2:$K$673,8,FALSE)</f>
        <v>1</v>
      </c>
      <c r="V21">
        <f>VLOOKUP(C21,CU_ARS_2025_WOF_F2!$A$2:$K$673,9,FALSE)</f>
        <v>0</v>
      </c>
      <c r="W21">
        <f>VLOOKUP(C21,CU_ARS_2025_WOF_F2!$A$2:$K$673,10,FALSE)</f>
        <v>0</v>
      </c>
      <c r="X21">
        <f>VLOOKUP(C21,CU_ARS_2025_WOF_F2!$A$2:$K$673,11,FALSE)</f>
        <v>2</v>
      </c>
      <c r="Y21" t="s">
        <v>994</v>
      </c>
    </row>
    <row r="22" spans="1:25" ht="18">
      <c r="A22" s="20" t="s">
        <v>15</v>
      </c>
      <c r="B22" s="21" t="s">
        <v>16</v>
      </c>
      <c r="C22" s="22">
        <v>753486</v>
      </c>
      <c r="D22" s="23">
        <v>1</v>
      </c>
      <c r="E22" s="24" t="str">
        <f t="shared" si="0"/>
        <v>CU_ARS_2025_WOF_P_16_plant_1</v>
      </c>
      <c r="F22" s="21" t="s">
        <v>87</v>
      </c>
      <c r="G22" s="44" t="s">
        <v>128</v>
      </c>
      <c r="H22" s="47"/>
      <c r="I22" s="42" t="s">
        <v>984</v>
      </c>
      <c r="J22" s="42" t="s">
        <v>1002</v>
      </c>
      <c r="K22" s="42"/>
      <c r="L22" s="42"/>
      <c r="M22" s="42"/>
      <c r="N22" t="str">
        <f>VLOOKUP(C22,CU_ARS_2025_WOF_F2!$A$2:$K$673,2,FALSE)</f>
        <v>CU_ARS_2025_WOF_P_16_plant_1</v>
      </c>
      <c r="O22" t="str">
        <f>VLOOKUP(C22,CU_ARS_2025_WOF_F2!$A$2:$K$673,2,FALSE)</f>
        <v>CU_ARS_2025_WOF_P_16_plant_1</v>
      </c>
      <c r="P22" t="str">
        <f>VLOOKUP(C22,CU_ARS_2025_WOF_F2!$A$2:$K$673,3,FALSE)</f>
        <v>CU_ARS_2025_WOF_P_16</v>
      </c>
      <c r="Q22" t="str">
        <f>VLOOKUP(C22,CU_ARS_2025_WOF_F2!$A$2:$K$673,4,FALSE)</f>
        <v>NF01404A</v>
      </c>
      <c r="R22">
        <f>VLOOKUP(C22,CU_ARS_2025_WOF_F2!$A$2:$K$673,5,FALSE)</f>
        <v>16</v>
      </c>
      <c r="S22">
        <f>VLOOKUP(C22,CU_ARS_2025_WOF_F2!$A$2:$K$673,6,FALSE)</f>
        <v>1</v>
      </c>
      <c r="T22">
        <f>VLOOKUP(C22,CU_ARS_2025_WOF_F2!$A$2:$K$673,7,FALSE)</f>
        <v>0</v>
      </c>
      <c r="U22">
        <f>VLOOKUP(C22,CU_ARS_2025_WOF_F2!$A$2:$K$673,8,FALSE)</f>
        <v>1</v>
      </c>
      <c r="V22">
        <f>VLOOKUP(C22,CU_ARS_2025_WOF_F2!$A$2:$K$673,9,FALSE)</f>
        <v>0</v>
      </c>
      <c r="W22">
        <f>VLOOKUP(C22,CU_ARS_2025_WOF_F2!$A$2:$K$673,10,FALSE)</f>
        <v>0</v>
      </c>
      <c r="X22">
        <f>VLOOKUP(C22,CU_ARS_2025_WOF_F2!$A$2:$K$673,11,FALSE)</f>
        <v>1</v>
      </c>
      <c r="Y22" t="s">
        <v>984</v>
      </c>
    </row>
    <row r="23" spans="1:25" ht="18">
      <c r="A23" s="20" t="s">
        <v>15</v>
      </c>
      <c r="B23" s="21" t="s">
        <v>16</v>
      </c>
      <c r="C23" s="22">
        <v>753852</v>
      </c>
      <c r="D23" s="23">
        <v>1</v>
      </c>
      <c r="E23" s="24" t="str">
        <f t="shared" si="0"/>
        <v>CU_ARS_2025_WOF_P_17_plant_1</v>
      </c>
      <c r="F23" s="21" t="s">
        <v>88</v>
      </c>
      <c r="G23" s="44" t="s">
        <v>129</v>
      </c>
      <c r="H23" s="47"/>
      <c r="I23" s="42" t="s">
        <v>989</v>
      </c>
      <c r="J23" s="42" t="s">
        <v>1002</v>
      </c>
      <c r="K23" s="42"/>
      <c r="L23" s="42"/>
      <c r="M23" s="42"/>
      <c r="N23" t="str">
        <f>VLOOKUP(C23,CU_ARS_2025_WOF_F2!$A$2:$K$673,2,FALSE)</f>
        <v>CU_ARS_2025_WOF_P_17_plant_1</v>
      </c>
      <c r="O23" t="str">
        <f>VLOOKUP(C23,CU_ARS_2025_WOF_F2!$A$2:$K$673,2,FALSE)</f>
        <v>CU_ARS_2025_WOF_P_17_plant_1</v>
      </c>
      <c r="P23" t="str">
        <f>VLOOKUP(C23,CU_ARS_2025_WOF_F2!$A$2:$K$673,3,FALSE)</f>
        <v>CU_ARS_2025_WOF_P_17</v>
      </c>
      <c r="Q23" t="str">
        <f>VLOOKUP(C23,CU_ARS_2025_WOF_F2!$A$2:$K$673,4,FALSE)</f>
        <v>NF13-4126-4_3</v>
      </c>
      <c r="R23">
        <f>VLOOKUP(C23,CU_ARS_2025_WOF_F2!$A$2:$K$673,5,FALSE)</f>
        <v>17</v>
      </c>
      <c r="S23">
        <f>VLOOKUP(C23,CU_ARS_2025_WOF_F2!$A$2:$K$673,6,FALSE)</f>
        <v>1</v>
      </c>
      <c r="T23">
        <f>VLOOKUP(C23,CU_ARS_2025_WOF_F2!$A$2:$K$673,7,FALSE)</f>
        <v>0</v>
      </c>
      <c r="U23">
        <f>VLOOKUP(C23,CU_ARS_2025_WOF_F2!$A$2:$K$673,8,FALSE)</f>
        <v>1</v>
      </c>
      <c r="V23">
        <f>VLOOKUP(C23,CU_ARS_2025_WOF_F2!$A$2:$K$673,9,FALSE)</f>
        <v>0</v>
      </c>
      <c r="W23">
        <f>VLOOKUP(C23,CU_ARS_2025_WOF_F2!$A$2:$K$673,10,FALSE)</f>
        <v>0</v>
      </c>
      <c r="X23">
        <f>VLOOKUP(C23,CU_ARS_2025_WOF_F2!$A$2:$K$673,11,FALSE)</f>
        <v>1</v>
      </c>
      <c r="Y23" t="s">
        <v>989</v>
      </c>
    </row>
    <row r="24" spans="1:25" ht="18">
      <c r="A24" s="20" t="s">
        <v>15</v>
      </c>
      <c r="B24" s="21" t="s">
        <v>16</v>
      </c>
      <c r="C24" s="22">
        <v>753632</v>
      </c>
      <c r="D24" s="23">
        <v>1</v>
      </c>
      <c r="E24" s="24" t="str">
        <f t="shared" si="0"/>
        <v>CU_ARS_2025_WOF_P_18_plant_1</v>
      </c>
      <c r="F24" s="21" t="s">
        <v>89</v>
      </c>
      <c r="G24" s="44" t="s">
        <v>130</v>
      </c>
      <c r="H24" s="47"/>
      <c r="I24" s="42" t="s">
        <v>994</v>
      </c>
      <c r="J24" s="42" t="s">
        <v>1002</v>
      </c>
      <c r="K24" s="42"/>
      <c r="L24" s="42"/>
      <c r="M24" s="42"/>
      <c r="N24" t="str">
        <f>VLOOKUP(C24,CU_ARS_2025_WOF_F2!$A$2:$K$673,2,FALSE)</f>
        <v>CU_ARS_2025_WOF_P_18_plant_1</v>
      </c>
      <c r="O24" t="str">
        <f>VLOOKUP(C24,CU_ARS_2025_WOF_F2!$A$2:$K$673,2,FALSE)</f>
        <v>CU_ARS_2025_WOF_P_18_plant_1</v>
      </c>
      <c r="P24" t="str">
        <f>VLOOKUP(C24,CU_ARS_2025_WOF_F2!$A$2:$K$673,3,FALSE)</f>
        <v>CU_ARS_2025_WOF_P_18</v>
      </c>
      <c r="Q24" t="str">
        <f>VLOOKUP(C24,CU_ARS_2025_WOF_F2!$A$2:$K$673,4,FALSE)</f>
        <v>PA8014-840</v>
      </c>
      <c r="R24">
        <f>VLOOKUP(C24,CU_ARS_2025_WOF_F2!$A$2:$K$673,5,FALSE)</f>
        <v>18</v>
      </c>
      <c r="S24">
        <f>VLOOKUP(C24,CU_ARS_2025_WOF_F2!$A$2:$K$673,6,FALSE)</f>
        <v>1</v>
      </c>
      <c r="T24">
        <f>VLOOKUP(C24,CU_ARS_2025_WOF_F2!$A$2:$K$673,7,FALSE)</f>
        <v>0</v>
      </c>
      <c r="U24">
        <f>VLOOKUP(C24,CU_ARS_2025_WOF_F2!$A$2:$K$673,8,FALSE)</f>
        <v>1</v>
      </c>
      <c r="V24">
        <f>VLOOKUP(C24,CU_ARS_2025_WOF_F2!$A$2:$K$673,9,FALSE)</f>
        <v>0</v>
      </c>
      <c r="W24">
        <f>VLOOKUP(C24,CU_ARS_2025_WOF_F2!$A$2:$K$673,10,FALSE)</f>
        <v>0</v>
      </c>
      <c r="X24">
        <f>VLOOKUP(C24,CU_ARS_2025_WOF_F2!$A$2:$K$673,11,FALSE)</f>
        <v>1</v>
      </c>
      <c r="Y24" t="s">
        <v>994</v>
      </c>
    </row>
    <row r="25" spans="1:25" ht="18">
      <c r="A25" s="20" t="s">
        <v>15</v>
      </c>
      <c r="B25" s="21" t="s">
        <v>16</v>
      </c>
      <c r="C25" s="22">
        <v>754013</v>
      </c>
      <c r="D25" s="23">
        <v>1</v>
      </c>
      <c r="E25" s="24" t="str">
        <f t="shared" si="0"/>
        <v>CU_ARS_2025_WOF_P_19_plant_2</v>
      </c>
      <c r="F25" s="21" t="s">
        <v>90</v>
      </c>
      <c r="G25" s="44" t="s">
        <v>131</v>
      </c>
      <c r="H25" s="47"/>
      <c r="I25" s="42" t="s">
        <v>999</v>
      </c>
      <c r="J25" s="42" t="s">
        <v>1002</v>
      </c>
      <c r="K25" s="42"/>
      <c r="L25" s="42"/>
      <c r="M25" s="42"/>
      <c r="N25" t="str">
        <f>VLOOKUP(C25,CU_ARS_2025_WOF_F2!$A$2:$K$673,2,FALSE)</f>
        <v>CU_ARS_2025_WOF_P_19_plant_2</v>
      </c>
      <c r="O25" t="str">
        <f>VLOOKUP(C25,CU_ARS_2025_WOF_F2!$A$2:$K$673,2,FALSE)</f>
        <v>CU_ARS_2025_WOF_P_19_plant_2</v>
      </c>
      <c r="P25" t="str">
        <f>VLOOKUP(C25,CU_ARS_2025_WOF_F2!$A$2:$K$673,3,FALSE)</f>
        <v>CU_ARS_2025_WOF_P_19</v>
      </c>
      <c r="Q25" t="str">
        <f>VLOOKUP(C25,CU_ARS_2025_WOF_F2!$A$2:$K$673,4,FALSE)</f>
        <v>SEGER|PI306405</v>
      </c>
      <c r="R25">
        <f>VLOOKUP(C25,CU_ARS_2025_WOF_F2!$A$2:$K$673,5,FALSE)</f>
        <v>19</v>
      </c>
      <c r="S25">
        <f>VLOOKUP(C25,CU_ARS_2025_WOF_F2!$A$2:$K$673,6,FALSE)</f>
        <v>1</v>
      </c>
      <c r="T25">
        <f>VLOOKUP(C25,CU_ARS_2025_WOF_F2!$A$2:$K$673,7,FALSE)</f>
        <v>0</v>
      </c>
      <c r="U25">
        <f>VLOOKUP(C25,CU_ARS_2025_WOF_F2!$A$2:$K$673,8,FALSE)</f>
        <v>1</v>
      </c>
      <c r="V25">
        <f>VLOOKUP(C25,CU_ARS_2025_WOF_F2!$A$2:$K$673,9,FALSE)</f>
        <v>0</v>
      </c>
      <c r="W25">
        <f>VLOOKUP(C25,CU_ARS_2025_WOF_F2!$A$2:$K$673,10,FALSE)</f>
        <v>0</v>
      </c>
      <c r="X25">
        <f>VLOOKUP(C25,CU_ARS_2025_WOF_F2!$A$2:$K$673,11,FALSE)</f>
        <v>2</v>
      </c>
      <c r="Y25" t="s">
        <v>999</v>
      </c>
    </row>
    <row r="26" spans="1:25" ht="18">
      <c r="A26" s="20" t="s">
        <v>15</v>
      </c>
      <c r="B26" s="21" t="s">
        <v>16</v>
      </c>
      <c r="C26" s="22">
        <v>753859</v>
      </c>
      <c r="D26" s="23">
        <v>1</v>
      </c>
      <c r="E26" s="24" t="str">
        <f t="shared" si="0"/>
        <v>CU_ARS_2025_WOF_P_15_plant_2</v>
      </c>
      <c r="F26" s="21" t="s">
        <v>132</v>
      </c>
      <c r="G26" s="44" t="s">
        <v>133</v>
      </c>
      <c r="H26" s="47"/>
      <c r="I26" s="42" t="s">
        <v>979</v>
      </c>
      <c r="J26" s="42" t="s">
        <v>1002</v>
      </c>
      <c r="K26" s="42"/>
      <c r="L26" s="42"/>
      <c r="M26" s="42"/>
      <c r="N26" t="str">
        <f>VLOOKUP(C26,CU_ARS_2025_WOF_F2!$A$2:$K$673,2,FALSE)</f>
        <v>CU_ARS_2025_WOF_P_15_plant_2</v>
      </c>
      <c r="O26" t="str">
        <f>VLOOKUP(C26,CU_ARS_2025_WOF_F2!$A$2:$K$673,2,FALSE)</f>
        <v>CU_ARS_2025_WOF_P_15_plant_2</v>
      </c>
      <c r="P26" t="str">
        <f>VLOOKUP(C26,CU_ARS_2025_WOF_F2!$A$2:$K$673,3,FALSE)</f>
        <v>CU_ARS_2025_WOF_P_15</v>
      </c>
      <c r="Q26" t="str">
        <f>VLOOKUP(C26,CU_ARS_2025_WOF_F2!$A$2:$K$673,4,FALSE)</f>
        <v>NC21-6429</v>
      </c>
      <c r="R26">
        <f>VLOOKUP(C26,CU_ARS_2025_WOF_F2!$A$2:$K$673,5,FALSE)</f>
        <v>15</v>
      </c>
      <c r="S26">
        <f>VLOOKUP(C26,CU_ARS_2025_WOF_F2!$A$2:$K$673,6,FALSE)</f>
        <v>1</v>
      </c>
      <c r="T26">
        <f>VLOOKUP(C26,CU_ARS_2025_WOF_F2!$A$2:$K$673,7,FALSE)</f>
        <v>0</v>
      </c>
      <c r="U26">
        <f>VLOOKUP(C26,CU_ARS_2025_WOF_F2!$A$2:$K$673,8,FALSE)</f>
        <v>1</v>
      </c>
      <c r="V26">
        <f>VLOOKUP(C26,CU_ARS_2025_WOF_F2!$A$2:$K$673,9,FALSE)</f>
        <v>0</v>
      </c>
      <c r="W26">
        <f>VLOOKUP(C26,CU_ARS_2025_WOF_F2!$A$2:$K$673,10,FALSE)</f>
        <v>0</v>
      </c>
      <c r="X26">
        <f>VLOOKUP(C26,CU_ARS_2025_WOF_F2!$A$2:$K$673,11,FALSE)</f>
        <v>2</v>
      </c>
      <c r="Y26" t="s">
        <v>979</v>
      </c>
    </row>
    <row r="27" spans="1:25" ht="18">
      <c r="A27" s="20" t="s">
        <v>15</v>
      </c>
      <c r="B27" s="21" t="s">
        <v>16</v>
      </c>
      <c r="C27" s="22">
        <v>754012</v>
      </c>
      <c r="D27" s="23">
        <v>1</v>
      </c>
      <c r="E27" s="24" t="str">
        <f t="shared" si="0"/>
        <v>CU_ARS_2025_WOF_P_19_plant_1</v>
      </c>
      <c r="F27" s="21" t="s">
        <v>134</v>
      </c>
      <c r="G27" s="44" t="s">
        <v>135</v>
      </c>
      <c r="H27" s="47"/>
      <c r="I27" s="42" t="s">
        <v>999</v>
      </c>
      <c r="J27" s="42" t="s">
        <v>1002</v>
      </c>
      <c r="K27" s="42"/>
      <c r="L27" s="42"/>
      <c r="M27" s="42"/>
      <c r="N27" t="str">
        <f>VLOOKUP(C27,CU_ARS_2025_WOF_F2!$A$2:$K$673,2,FALSE)</f>
        <v>CU_ARS_2025_WOF_P_19_plant_1</v>
      </c>
      <c r="O27" t="str">
        <f>VLOOKUP(C27,CU_ARS_2025_WOF_F2!$A$2:$K$673,2,FALSE)</f>
        <v>CU_ARS_2025_WOF_P_19_plant_1</v>
      </c>
      <c r="P27" t="str">
        <f>VLOOKUP(C27,CU_ARS_2025_WOF_F2!$A$2:$K$673,3,FALSE)</f>
        <v>CU_ARS_2025_WOF_P_19</v>
      </c>
      <c r="Q27" t="str">
        <f>VLOOKUP(C27,CU_ARS_2025_WOF_F2!$A$2:$K$673,4,FALSE)</f>
        <v>SEGER|PI306405</v>
      </c>
      <c r="R27">
        <f>VLOOKUP(C27,CU_ARS_2025_WOF_F2!$A$2:$K$673,5,FALSE)</f>
        <v>19</v>
      </c>
      <c r="S27">
        <f>VLOOKUP(C27,CU_ARS_2025_WOF_F2!$A$2:$K$673,6,FALSE)</f>
        <v>1</v>
      </c>
      <c r="T27">
        <f>VLOOKUP(C27,CU_ARS_2025_WOF_F2!$A$2:$K$673,7,FALSE)</f>
        <v>0</v>
      </c>
      <c r="U27">
        <f>VLOOKUP(C27,CU_ARS_2025_WOF_F2!$A$2:$K$673,8,FALSE)</f>
        <v>1</v>
      </c>
      <c r="V27">
        <f>VLOOKUP(C27,CU_ARS_2025_WOF_F2!$A$2:$K$673,9,FALSE)</f>
        <v>0</v>
      </c>
      <c r="W27">
        <f>VLOOKUP(C27,CU_ARS_2025_WOF_F2!$A$2:$K$673,10,FALSE)</f>
        <v>0</v>
      </c>
      <c r="X27">
        <f>VLOOKUP(C27,CU_ARS_2025_WOF_F2!$A$2:$K$673,11,FALSE)</f>
        <v>1</v>
      </c>
      <c r="Y27" t="s">
        <v>999</v>
      </c>
    </row>
    <row r="28" spans="1:25" ht="18">
      <c r="A28" s="20" t="s">
        <v>15</v>
      </c>
      <c r="B28" s="21" t="s">
        <v>16</v>
      </c>
      <c r="C28" s="22">
        <v>753860</v>
      </c>
      <c r="D28" s="23">
        <v>1</v>
      </c>
      <c r="E28" s="24" t="str">
        <f t="shared" si="0"/>
        <v>CU_ARS_2025_WOF_P_15_plant_3</v>
      </c>
      <c r="F28" s="21" t="s">
        <v>136</v>
      </c>
      <c r="G28" s="44" t="s">
        <v>137</v>
      </c>
      <c r="H28" s="47"/>
      <c r="I28" s="42" t="s">
        <v>979</v>
      </c>
      <c r="J28" s="42" t="s">
        <v>1002</v>
      </c>
      <c r="K28" s="42"/>
      <c r="L28" s="42"/>
      <c r="M28" s="42"/>
      <c r="N28" t="str">
        <f>VLOOKUP(C28,CU_ARS_2025_WOF_F2!$A$2:$K$673,2,FALSE)</f>
        <v>CU_ARS_2025_WOF_P_15_plant_3</v>
      </c>
      <c r="O28" t="str">
        <f>VLOOKUP(C28,CU_ARS_2025_WOF_F2!$A$2:$K$673,2,FALSE)</f>
        <v>CU_ARS_2025_WOF_P_15_plant_3</v>
      </c>
      <c r="P28" t="str">
        <f>VLOOKUP(C28,CU_ARS_2025_WOF_F2!$A$2:$K$673,3,FALSE)</f>
        <v>CU_ARS_2025_WOF_P_15</v>
      </c>
      <c r="Q28" t="str">
        <f>VLOOKUP(C28,CU_ARS_2025_WOF_F2!$A$2:$K$673,4,FALSE)</f>
        <v>NC21-6429</v>
      </c>
      <c r="R28">
        <f>VLOOKUP(C28,CU_ARS_2025_WOF_F2!$A$2:$K$673,5,FALSE)</f>
        <v>15</v>
      </c>
      <c r="S28">
        <f>VLOOKUP(C28,CU_ARS_2025_WOF_F2!$A$2:$K$673,6,FALSE)</f>
        <v>1</v>
      </c>
      <c r="T28">
        <f>VLOOKUP(C28,CU_ARS_2025_WOF_F2!$A$2:$K$673,7,FALSE)</f>
        <v>0</v>
      </c>
      <c r="U28">
        <f>VLOOKUP(C28,CU_ARS_2025_WOF_F2!$A$2:$K$673,8,FALSE)</f>
        <v>1</v>
      </c>
      <c r="V28">
        <f>VLOOKUP(C28,CU_ARS_2025_WOF_F2!$A$2:$K$673,9,FALSE)</f>
        <v>0</v>
      </c>
      <c r="W28">
        <f>VLOOKUP(C28,CU_ARS_2025_WOF_F2!$A$2:$K$673,10,FALSE)</f>
        <v>0</v>
      </c>
      <c r="X28">
        <f>VLOOKUP(C28,CU_ARS_2025_WOF_F2!$A$2:$K$673,11,FALSE)</f>
        <v>3</v>
      </c>
      <c r="Y28" t="s">
        <v>979</v>
      </c>
    </row>
    <row r="29" spans="1:25" ht="18">
      <c r="A29" s="20" t="s">
        <v>15</v>
      </c>
      <c r="B29" s="21" t="s">
        <v>16</v>
      </c>
      <c r="C29" s="22">
        <v>753488</v>
      </c>
      <c r="D29" s="23">
        <v>1</v>
      </c>
      <c r="E29" s="24" t="str">
        <f t="shared" si="0"/>
        <v>CU_ARS_2025_WOF_P_16_plant_3</v>
      </c>
      <c r="F29" s="21" t="s">
        <v>138</v>
      </c>
      <c r="G29" s="44" t="s">
        <v>139</v>
      </c>
      <c r="H29" s="47"/>
      <c r="I29" s="42" t="s">
        <v>984</v>
      </c>
      <c r="J29" s="42" t="s">
        <v>1002</v>
      </c>
      <c r="K29" s="42"/>
      <c r="L29" s="42"/>
      <c r="M29" s="42"/>
      <c r="N29" t="str">
        <f>VLOOKUP(C29,CU_ARS_2025_WOF_F2!$A$2:$K$673,2,FALSE)</f>
        <v>CU_ARS_2025_WOF_P_16_plant_3</v>
      </c>
      <c r="O29" t="str">
        <f>VLOOKUP(C29,CU_ARS_2025_WOF_F2!$A$2:$K$673,2,FALSE)</f>
        <v>CU_ARS_2025_WOF_P_16_plant_3</v>
      </c>
      <c r="P29" t="str">
        <f>VLOOKUP(C29,CU_ARS_2025_WOF_F2!$A$2:$K$673,3,FALSE)</f>
        <v>CU_ARS_2025_WOF_P_16</v>
      </c>
      <c r="Q29" t="str">
        <f>VLOOKUP(C29,CU_ARS_2025_WOF_F2!$A$2:$K$673,4,FALSE)</f>
        <v>NF01404A</v>
      </c>
      <c r="R29">
        <f>VLOOKUP(C29,CU_ARS_2025_WOF_F2!$A$2:$K$673,5,FALSE)</f>
        <v>16</v>
      </c>
      <c r="S29">
        <f>VLOOKUP(C29,CU_ARS_2025_WOF_F2!$A$2:$K$673,6,FALSE)</f>
        <v>1</v>
      </c>
      <c r="T29">
        <f>VLOOKUP(C29,CU_ARS_2025_WOF_F2!$A$2:$K$673,7,FALSE)</f>
        <v>0</v>
      </c>
      <c r="U29">
        <f>VLOOKUP(C29,CU_ARS_2025_WOF_F2!$A$2:$K$673,8,FALSE)</f>
        <v>1</v>
      </c>
      <c r="V29">
        <f>VLOOKUP(C29,CU_ARS_2025_WOF_F2!$A$2:$K$673,9,FALSE)</f>
        <v>0</v>
      </c>
      <c r="W29">
        <f>VLOOKUP(C29,CU_ARS_2025_WOF_F2!$A$2:$K$673,10,FALSE)</f>
        <v>0</v>
      </c>
      <c r="X29">
        <f>VLOOKUP(C29,CU_ARS_2025_WOF_F2!$A$2:$K$673,11,FALSE)</f>
        <v>3</v>
      </c>
      <c r="Y29" t="s">
        <v>984</v>
      </c>
    </row>
    <row r="30" spans="1:25" ht="18">
      <c r="A30" s="20" t="s">
        <v>15</v>
      </c>
      <c r="B30" s="21" t="s">
        <v>16</v>
      </c>
      <c r="C30" s="22">
        <v>753854</v>
      </c>
      <c r="D30" s="23">
        <v>1</v>
      </c>
      <c r="E30" s="24" t="str">
        <f t="shared" si="0"/>
        <v>CU_ARS_2025_WOF_P_17_plant_3</v>
      </c>
      <c r="F30" s="21" t="s">
        <v>140</v>
      </c>
      <c r="G30" s="44" t="s">
        <v>141</v>
      </c>
      <c r="H30" s="47"/>
      <c r="I30" s="42" t="s">
        <v>989</v>
      </c>
      <c r="J30" s="42" t="s">
        <v>1002</v>
      </c>
      <c r="K30" s="42"/>
      <c r="L30" s="42"/>
      <c r="M30" s="42"/>
      <c r="N30" t="str">
        <f>VLOOKUP(C30,CU_ARS_2025_WOF_F2!$A$2:$K$673,2,FALSE)</f>
        <v>CU_ARS_2025_WOF_P_17_plant_3</v>
      </c>
      <c r="O30" t="str">
        <f>VLOOKUP(C30,CU_ARS_2025_WOF_F2!$A$2:$K$673,2,FALSE)</f>
        <v>CU_ARS_2025_WOF_P_17_plant_3</v>
      </c>
      <c r="P30" t="str">
        <f>VLOOKUP(C30,CU_ARS_2025_WOF_F2!$A$2:$K$673,3,FALSE)</f>
        <v>CU_ARS_2025_WOF_P_17</v>
      </c>
      <c r="Q30" t="str">
        <f>VLOOKUP(C30,CU_ARS_2025_WOF_F2!$A$2:$K$673,4,FALSE)</f>
        <v>NF13-4126-4_3</v>
      </c>
      <c r="R30">
        <f>VLOOKUP(C30,CU_ARS_2025_WOF_F2!$A$2:$K$673,5,FALSE)</f>
        <v>17</v>
      </c>
      <c r="S30">
        <f>VLOOKUP(C30,CU_ARS_2025_WOF_F2!$A$2:$K$673,6,FALSE)</f>
        <v>1</v>
      </c>
      <c r="T30">
        <f>VLOOKUP(C30,CU_ARS_2025_WOF_F2!$A$2:$K$673,7,FALSE)</f>
        <v>0</v>
      </c>
      <c r="U30">
        <f>VLOOKUP(C30,CU_ARS_2025_WOF_F2!$A$2:$K$673,8,FALSE)</f>
        <v>1</v>
      </c>
      <c r="V30">
        <f>VLOOKUP(C30,CU_ARS_2025_WOF_F2!$A$2:$K$673,9,FALSE)</f>
        <v>0</v>
      </c>
      <c r="W30">
        <f>VLOOKUP(C30,CU_ARS_2025_WOF_F2!$A$2:$K$673,10,FALSE)</f>
        <v>0</v>
      </c>
      <c r="X30">
        <f>VLOOKUP(C30,CU_ARS_2025_WOF_F2!$A$2:$K$673,11,FALSE)</f>
        <v>3</v>
      </c>
      <c r="Y30" t="s">
        <v>989</v>
      </c>
    </row>
    <row r="31" spans="1:25" ht="18">
      <c r="A31" s="20" t="s">
        <v>15</v>
      </c>
      <c r="B31" s="21" t="s">
        <v>16</v>
      </c>
      <c r="C31" s="22">
        <v>753634</v>
      </c>
      <c r="D31" s="23">
        <v>1</v>
      </c>
      <c r="E31" s="24" t="str">
        <f t="shared" si="0"/>
        <v>CU_ARS_2025_WOF_P_18_plant_3</v>
      </c>
      <c r="F31" s="21" t="s">
        <v>142</v>
      </c>
      <c r="G31" s="44" t="s">
        <v>143</v>
      </c>
      <c r="H31" s="47"/>
      <c r="I31" s="42" t="s">
        <v>994</v>
      </c>
      <c r="J31" s="42" t="s">
        <v>1002</v>
      </c>
      <c r="K31" s="42"/>
      <c r="L31" s="42"/>
      <c r="M31" s="42"/>
      <c r="N31" t="str">
        <f>VLOOKUP(C31,CU_ARS_2025_WOF_F2!$A$2:$K$673,2,FALSE)</f>
        <v>CU_ARS_2025_WOF_P_18_plant_3</v>
      </c>
      <c r="O31" t="str">
        <f>VLOOKUP(C31,CU_ARS_2025_WOF_F2!$A$2:$K$673,2,FALSE)</f>
        <v>CU_ARS_2025_WOF_P_18_plant_3</v>
      </c>
      <c r="P31" t="str">
        <f>VLOOKUP(C31,CU_ARS_2025_WOF_F2!$A$2:$K$673,3,FALSE)</f>
        <v>CU_ARS_2025_WOF_P_18</v>
      </c>
      <c r="Q31" t="str">
        <f>VLOOKUP(C31,CU_ARS_2025_WOF_F2!$A$2:$K$673,4,FALSE)</f>
        <v>PA8014-840</v>
      </c>
      <c r="R31">
        <f>VLOOKUP(C31,CU_ARS_2025_WOF_F2!$A$2:$K$673,5,FALSE)</f>
        <v>18</v>
      </c>
      <c r="S31">
        <f>VLOOKUP(C31,CU_ARS_2025_WOF_F2!$A$2:$K$673,6,FALSE)</f>
        <v>1</v>
      </c>
      <c r="T31">
        <f>VLOOKUP(C31,CU_ARS_2025_WOF_F2!$A$2:$K$673,7,FALSE)</f>
        <v>0</v>
      </c>
      <c r="U31">
        <f>VLOOKUP(C31,CU_ARS_2025_WOF_F2!$A$2:$K$673,8,FALSE)</f>
        <v>1</v>
      </c>
      <c r="V31">
        <f>VLOOKUP(C31,CU_ARS_2025_WOF_F2!$A$2:$K$673,9,FALSE)</f>
        <v>0</v>
      </c>
      <c r="W31">
        <f>VLOOKUP(C31,CU_ARS_2025_WOF_F2!$A$2:$K$673,10,FALSE)</f>
        <v>0</v>
      </c>
      <c r="X31">
        <f>VLOOKUP(C31,CU_ARS_2025_WOF_F2!$A$2:$K$673,11,FALSE)</f>
        <v>3</v>
      </c>
      <c r="Y31" t="s">
        <v>994</v>
      </c>
    </row>
    <row r="32" spans="1:25" ht="18">
      <c r="A32" s="20" t="s">
        <v>15</v>
      </c>
      <c r="B32" s="21" t="s">
        <v>16</v>
      </c>
      <c r="C32" s="22">
        <v>753561</v>
      </c>
      <c r="D32" s="23">
        <v>1</v>
      </c>
      <c r="E32" s="24" t="str">
        <f t="shared" si="0"/>
        <v>CU_ARS_2025_WOF_F2_9_plant_1</v>
      </c>
      <c r="F32" s="21" t="s">
        <v>144</v>
      </c>
      <c r="G32" s="44" t="s">
        <v>145</v>
      </c>
      <c r="H32" s="47"/>
      <c r="I32" s="42" t="s">
        <v>1014</v>
      </c>
      <c r="J32" s="42" t="s">
        <v>1003</v>
      </c>
      <c r="K32" s="42"/>
      <c r="L32" s="42"/>
      <c r="M32" s="42"/>
      <c r="N32" t="str">
        <f>VLOOKUP(C32,CU_ARS_2025_WOF_F2!$A$2:$K$673,2,FALSE)</f>
        <v>CU_ARS_2025_WOF_F2_9_plant_1</v>
      </c>
      <c r="O32" t="str">
        <f>VLOOKUP(C32,CU_ARS_2025_WOF_F2!$A$2:$K$673,2,FALSE)</f>
        <v>CU_ARS_2025_WOF_F2_9_plant_1</v>
      </c>
      <c r="P32" t="str">
        <f>VLOOKUP(C32,CU_ARS_2025_WOF_F2!$A$2:$K$673,3,FALSE)</f>
        <v>CU_ARS_2025_WOF_F2_9</v>
      </c>
      <c r="Q32" t="str">
        <f>VLOOKUP(C32,CU_ARS_2025_WOF_F2!$A$2:$K$673,4,FALSE)</f>
        <v>CU_ARS_2025_WOF_cross_1</v>
      </c>
      <c r="R32">
        <f>VLOOKUP(C32,CU_ARS_2025_WOF_F2!$A$2:$K$673,5,FALSE)</f>
        <v>9</v>
      </c>
      <c r="S32">
        <f>VLOOKUP(C32,CU_ARS_2025_WOF_F2!$A$2:$K$673,6,FALSE)</f>
        <v>1</v>
      </c>
      <c r="T32">
        <f>VLOOKUP(C32,CU_ARS_2025_WOF_F2!$A$2:$K$673,7,FALSE)</f>
        <v>0</v>
      </c>
      <c r="U32">
        <f>VLOOKUP(C32,CU_ARS_2025_WOF_F2!$A$2:$K$673,8,FALSE)</f>
        <v>1</v>
      </c>
      <c r="V32">
        <f>VLOOKUP(C32,CU_ARS_2025_WOF_F2!$A$2:$K$673,9,FALSE)</f>
        <v>0</v>
      </c>
      <c r="W32">
        <f>VLOOKUP(C32,CU_ARS_2025_WOF_F2!$A$2:$K$673,10,FALSE)</f>
        <v>0</v>
      </c>
      <c r="X32">
        <f>VLOOKUP(C32,CU_ARS_2025_WOF_F2!$A$2:$K$673,11,FALSE)</f>
        <v>1</v>
      </c>
      <c r="Y32" t="str">
        <f>VLOOKUP(Q32,cross_pedigree!$A$2:$B$23,2,FALSE)</f>
        <v>AURORA/AWNLESS_CURLED</v>
      </c>
    </row>
    <row r="33" spans="1:25" ht="18">
      <c r="A33" s="20" t="s">
        <v>15</v>
      </c>
      <c r="B33" s="21" t="s">
        <v>16</v>
      </c>
      <c r="C33" s="22">
        <v>753562</v>
      </c>
      <c r="D33" s="23">
        <v>1</v>
      </c>
      <c r="E33" s="24" t="str">
        <f t="shared" si="0"/>
        <v>CU_ARS_2025_WOF_F2_9_plant_2</v>
      </c>
      <c r="F33" s="21" t="s">
        <v>146</v>
      </c>
      <c r="G33" s="44" t="s">
        <v>147</v>
      </c>
      <c r="H33" s="47"/>
      <c r="I33" s="42" t="s">
        <v>1014</v>
      </c>
      <c r="J33" s="42" t="s">
        <v>1003</v>
      </c>
      <c r="K33" s="42"/>
      <c r="L33" s="42"/>
      <c r="M33" s="42"/>
      <c r="N33" t="str">
        <f>VLOOKUP(C33,CU_ARS_2025_WOF_F2!$A$2:$K$673,2,FALSE)</f>
        <v>CU_ARS_2025_WOF_F2_9_plant_2</v>
      </c>
      <c r="O33" t="str">
        <f>VLOOKUP(C33,CU_ARS_2025_WOF_F2!$A$2:$K$673,2,FALSE)</f>
        <v>CU_ARS_2025_WOF_F2_9_plant_2</v>
      </c>
      <c r="P33" t="str">
        <f>VLOOKUP(C33,CU_ARS_2025_WOF_F2!$A$2:$K$673,3,FALSE)</f>
        <v>CU_ARS_2025_WOF_F2_9</v>
      </c>
      <c r="Q33" t="str">
        <f>VLOOKUP(C33,CU_ARS_2025_WOF_F2!$A$2:$K$673,4,FALSE)</f>
        <v>CU_ARS_2025_WOF_cross_1</v>
      </c>
      <c r="R33">
        <f>VLOOKUP(C33,CU_ARS_2025_WOF_F2!$A$2:$K$673,5,FALSE)</f>
        <v>9</v>
      </c>
      <c r="S33">
        <f>VLOOKUP(C33,CU_ARS_2025_WOF_F2!$A$2:$K$673,6,FALSE)</f>
        <v>1</v>
      </c>
      <c r="T33">
        <f>VLOOKUP(C33,CU_ARS_2025_WOF_F2!$A$2:$K$673,7,FALSE)</f>
        <v>0</v>
      </c>
      <c r="U33">
        <f>VLOOKUP(C33,CU_ARS_2025_WOF_F2!$A$2:$K$673,8,FALSE)</f>
        <v>1</v>
      </c>
      <c r="V33">
        <f>VLOOKUP(C33,CU_ARS_2025_WOF_F2!$A$2:$K$673,9,FALSE)</f>
        <v>0</v>
      </c>
      <c r="W33">
        <f>VLOOKUP(C33,CU_ARS_2025_WOF_F2!$A$2:$K$673,10,FALSE)</f>
        <v>0</v>
      </c>
      <c r="X33">
        <f>VLOOKUP(C33,CU_ARS_2025_WOF_F2!$A$2:$K$673,11,FALSE)</f>
        <v>2</v>
      </c>
      <c r="Y33" t="str">
        <f>VLOOKUP(Q33,cross_pedigree!$A$2:$B$23,2,FALSE)</f>
        <v>AURORA/AWNLESS_CURLED</v>
      </c>
    </row>
    <row r="34" spans="1:25" ht="18">
      <c r="A34" s="20" t="s">
        <v>15</v>
      </c>
      <c r="B34" s="21" t="s">
        <v>16</v>
      </c>
      <c r="C34" s="22">
        <v>753563</v>
      </c>
      <c r="D34" s="23">
        <v>1</v>
      </c>
      <c r="E34" s="24" t="str">
        <f t="shared" si="0"/>
        <v>CU_ARS_2025_WOF_F2_9_plant_3</v>
      </c>
      <c r="F34" s="21" t="s">
        <v>148</v>
      </c>
      <c r="G34" s="44" t="s">
        <v>149</v>
      </c>
      <c r="H34" s="47"/>
      <c r="I34" s="42" t="s">
        <v>1014</v>
      </c>
      <c r="J34" s="42" t="s">
        <v>1003</v>
      </c>
      <c r="K34" s="42"/>
      <c r="L34" s="42"/>
      <c r="M34" s="42"/>
      <c r="N34" t="str">
        <f>VLOOKUP(C34,CU_ARS_2025_WOF_F2!$A$2:$K$673,2,FALSE)</f>
        <v>CU_ARS_2025_WOF_F2_9_plant_3</v>
      </c>
      <c r="O34" t="str">
        <f>VLOOKUP(C34,CU_ARS_2025_WOF_F2!$A$2:$K$673,2,FALSE)</f>
        <v>CU_ARS_2025_WOF_F2_9_plant_3</v>
      </c>
      <c r="P34" t="str">
        <f>VLOOKUP(C34,CU_ARS_2025_WOF_F2!$A$2:$K$673,3,FALSE)</f>
        <v>CU_ARS_2025_WOF_F2_9</v>
      </c>
      <c r="Q34" t="str">
        <f>VLOOKUP(C34,CU_ARS_2025_WOF_F2!$A$2:$K$673,4,FALSE)</f>
        <v>CU_ARS_2025_WOF_cross_1</v>
      </c>
      <c r="R34">
        <f>VLOOKUP(C34,CU_ARS_2025_WOF_F2!$A$2:$K$673,5,FALSE)</f>
        <v>9</v>
      </c>
      <c r="S34">
        <f>VLOOKUP(C34,CU_ARS_2025_WOF_F2!$A$2:$K$673,6,FALSE)</f>
        <v>1</v>
      </c>
      <c r="T34">
        <f>VLOOKUP(C34,CU_ARS_2025_WOF_F2!$A$2:$K$673,7,FALSE)</f>
        <v>0</v>
      </c>
      <c r="U34">
        <f>VLOOKUP(C34,CU_ARS_2025_WOF_F2!$A$2:$K$673,8,FALSE)</f>
        <v>1</v>
      </c>
      <c r="V34">
        <f>VLOOKUP(C34,CU_ARS_2025_WOF_F2!$A$2:$K$673,9,FALSE)</f>
        <v>0</v>
      </c>
      <c r="W34">
        <f>VLOOKUP(C34,CU_ARS_2025_WOF_F2!$A$2:$K$673,10,FALSE)</f>
        <v>0</v>
      </c>
      <c r="X34">
        <f>VLOOKUP(C34,CU_ARS_2025_WOF_F2!$A$2:$K$673,11,FALSE)</f>
        <v>3</v>
      </c>
      <c r="Y34" t="str">
        <f>VLOOKUP(Q34,cross_pedigree!$A$2:$B$23,2,FALSE)</f>
        <v>AURORA/AWNLESS_CURLED</v>
      </c>
    </row>
    <row r="35" spans="1:25" ht="18">
      <c r="A35" s="20" t="s">
        <v>15</v>
      </c>
      <c r="B35" s="21" t="s">
        <v>16</v>
      </c>
      <c r="C35" s="22">
        <v>753564</v>
      </c>
      <c r="D35" s="23">
        <v>1</v>
      </c>
      <c r="E35" s="24" t="str">
        <f t="shared" si="0"/>
        <v>CU_ARS_2025_WOF_F2_9_plant_4</v>
      </c>
      <c r="F35" s="21" t="s">
        <v>150</v>
      </c>
      <c r="G35" s="44" t="s">
        <v>151</v>
      </c>
      <c r="H35" s="47"/>
      <c r="I35" s="42" t="s">
        <v>1014</v>
      </c>
      <c r="J35" s="42" t="s">
        <v>1003</v>
      </c>
      <c r="K35" s="42"/>
      <c r="L35" s="42"/>
      <c r="M35" s="42"/>
      <c r="N35" t="str">
        <f>VLOOKUP(C35,CU_ARS_2025_WOF_F2!$A$2:$K$673,2,FALSE)</f>
        <v>CU_ARS_2025_WOF_F2_9_plant_4</v>
      </c>
      <c r="O35" t="str">
        <f>VLOOKUP(C35,CU_ARS_2025_WOF_F2!$A$2:$K$673,2,FALSE)</f>
        <v>CU_ARS_2025_WOF_F2_9_plant_4</v>
      </c>
      <c r="P35" t="str">
        <f>VLOOKUP(C35,CU_ARS_2025_WOF_F2!$A$2:$K$673,3,FALSE)</f>
        <v>CU_ARS_2025_WOF_F2_9</v>
      </c>
      <c r="Q35" t="str">
        <f>VLOOKUP(C35,CU_ARS_2025_WOF_F2!$A$2:$K$673,4,FALSE)</f>
        <v>CU_ARS_2025_WOF_cross_1</v>
      </c>
      <c r="R35">
        <f>VLOOKUP(C35,CU_ARS_2025_WOF_F2!$A$2:$K$673,5,FALSE)</f>
        <v>9</v>
      </c>
      <c r="S35">
        <f>VLOOKUP(C35,CU_ARS_2025_WOF_F2!$A$2:$K$673,6,FALSE)</f>
        <v>1</v>
      </c>
      <c r="T35">
        <f>VLOOKUP(C35,CU_ARS_2025_WOF_F2!$A$2:$K$673,7,FALSE)</f>
        <v>0</v>
      </c>
      <c r="U35">
        <f>VLOOKUP(C35,CU_ARS_2025_WOF_F2!$A$2:$K$673,8,FALSE)</f>
        <v>1</v>
      </c>
      <c r="V35">
        <f>VLOOKUP(C35,CU_ARS_2025_WOF_F2!$A$2:$K$673,9,FALSE)</f>
        <v>0</v>
      </c>
      <c r="W35">
        <f>VLOOKUP(C35,CU_ARS_2025_WOF_F2!$A$2:$K$673,10,FALSE)</f>
        <v>0</v>
      </c>
      <c r="X35">
        <f>VLOOKUP(C35,CU_ARS_2025_WOF_F2!$A$2:$K$673,11,FALSE)</f>
        <v>4</v>
      </c>
      <c r="Y35" t="str">
        <f>VLOOKUP(Q35,cross_pedigree!$A$2:$B$23,2,FALSE)</f>
        <v>AURORA/AWNLESS_CURLED</v>
      </c>
    </row>
    <row r="36" spans="1:25" ht="18">
      <c r="A36" s="20" t="s">
        <v>15</v>
      </c>
      <c r="B36" s="21" t="s">
        <v>16</v>
      </c>
      <c r="C36" s="22">
        <v>753820</v>
      </c>
      <c r="D36" s="23">
        <v>1</v>
      </c>
      <c r="E36" s="24" t="str">
        <f t="shared" si="0"/>
        <v>CU_ARS_2025_WOF_F2_1_plant_41</v>
      </c>
      <c r="F36" s="21" t="s">
        <v>13</v>
      </c>
      <c r="G36" s="44" t="s">
        <v>14</v>
      </c>
      <c r="H36" s="47"/>
      <c r="I36" s="42" t="s">
        <v>1036</v>
      </c>
      <c r="J36" s="42" t="s">
        <v>1003</v>
      </c>
      <c r="K36" s="42"/>
      <c r="L36" s="42"/>
      <c r="M36" s="42"/>
      <c r="N36" t="str">
        <f>VLOOKUP(C36,CU_ARS_2025_WOF_F2!$A$2:$K$673,2,FALSE)</f>
        <v>CU_ARS_2025_WOF_F2_1_plant_41</v>
      </c>
      <c r="O36" t="str">
        <f>VLOOKUP(C36,CU_ARS_2025_WOF_F2!$A$2:$K$673,2,FALSE)</f>
        <v>CU_ARS_2025_WOF_F2_1_plant_41</v>
      </c>
      <c r="P36" t="str">
        <f>VLOOKUP(C36,CU_ARS_2025_WOF_F2!$A$2:$K$673,3,FALSE)</f>
        <v>CU_ARS_2025_WOF_F2_1</v>
      </c>
      <c r="Q36" t="str">
        <f>VLOOKUP(C36,CU_ARS_2025_WOF_F2!$A$2:$K$673,4,FALSE)</f>
        <v>CU_ARS_2025_WOF_cross_55</v>
      </c>
      <c r="R36">
        <f>VLOOKUP(C36,CU_ARS_2025_WOF_F2!$A$2:$K$673,5,FALSE)</f>
        <v>1</v>
      </c>
      <c r="S36">
        <f>VLOOKUP(C36,CU_ARS_2025_WOF_F2!$A$2:$K$673,6,FALSE)</f>
        <v>1</v>
      </c>
      <c r="T36">
        <f>VLOOKUP(C36,CU_ARS_2025_WOF_F2!$A$2:$K$673,7,FALSE)</f>
        <v>0</v>
      </c>
      <c r="U36">
        <f>VLOOKUP(C36,CU_ARS_2025_WOF_F2!$A$2:$K$673,8,FALSE)</f>
        <v>1</v>
      </c>
      <c r="V36">
        <f>VLOOKUP(C36,CU_ARS_2025_WOF_F2!$A$2:$K$673,9,FALSE)</f>
        <v>0</v>
      </c>
      <c r="W36">
        <f>VLOOKUP(C36,CU_ARS_2025_WOF_F2!$A$2:$K$673,10,FALSE)</f>
        <v>0</v>
      </c>
      <c r="X36">
        <f>VLOOKUP(C36,CU_ARS_2025_WOF_F2!$A$2:$K$673,11,FALSE)</f>
        <v>41</v>
      </c>
      <c r="Y36" t="str">
        <f>VLOOKUP(Q36,cross_pedigree!$A$2:$B$23,2,FALSE)</f>
        <v>PA8014-840/NC20-4452</v>
      </c>
    </row>
    <row r="37" spans="1:25" ht="18">
      <c r="A37" s="20" t="s">
        <v>15</v>
      </c>
      <c r="B37" s="21" t="s">
        <v>16</v>
      </c>
      <c r="C37" s="22">
        <v>753821</v>
      </c>
      <c r="D37" s="23">
        <v>1</v>
      </c>
      <c r="E37" s="24" t="str">
        <f t="shared" si="0"/>
        <v>CU_ARS_2025_WOF_F2_1_plant_42</v>
      </c>
      <c r="F37" s="21" t="s">
        <v>17</v>
      </c>
      <c r="G37" s="44" t="s">
        <v>18</v>
      </c>
      <c r="H37" s="47"/>
      <c r="I37" s="42" t="s">
        <v>1036</v>
      </c>
      <c r="J37" s="42" t="s">
        <v>1003</v>
      </c>
      <c r="K37" s="42"/>
      <c r="L37" s="42"/>
      <c r="M37" s="42"/>
      <c r="N37" t="str">
        <f>VLOOKUP(C37,CU_ARS_2025_WOF_F2!$A$2:$K$673,2,FALSE)</f>
        <v>CU_ARS_2025_WOF_F2_1_plant_42</v>
      </c>
      <c r="O37" t="str">
        <f>VLOOKUP(C37,CU_ARS_2025_WOF_F2!$A$2:$K$673,2,FALSE)</f>
        <v>CU_ARS_2025_WOF_F2_1_plant_42</v>
      </c>
      <c r="P37" t="str">
        <f>VLOOKUP(C37,CU_ARS_2025_WOF_F2!$A$2:$K$673,3,FALSE)</f>
        <v>CU_ARS_2025_WOF_F2_1</v>
      </c>
      <c r="Q37" t="str">
        <f>VLOOKUP(C37,CU_ARS_2025_WOF_F2!$A$2:$K$673,4,FALSE)</f>
        <v>CU_ARS_2025_WOF_cross_55</v>
      </c>
      <c r="R37">
        <f>VLOOKUP(C37,CU_ARS_2025_WOF_F2!$A$2:$K$673,5,FALSE)</f>
        <v>1</v>
      </c>
      <c r="S37">
        <f>VLOOKUP(C37,CU_ARS_2025_WOF_F2!$A$2:$K$673,6,FALSE)</f>
        <v>1</v>
      </c>
      <c r="T37">
        <f>VLOOKUP(C37,CU_ARS_2025_WOF_F2!$A$2:$K$673,7,FALSE)</f>
        <v>0</v>
      </c>
      <c r="U37">
        <f>VLOOKUP(C37,CU_ARS_2025_WOF_F2!$A$2:$K$673,8,FALSE)</f>
        <v>1</v>
      </c>
      <c r="V37">
        <f>VLOOKUP(C37,CU_ARS_2025_WOF_F2!$A$2:$K$673,9,FALSE)</f>
        <v>0</v>
      </c>
      <c r="W37">
        <f>VLOOKUP(C37,CU_ARS_2025_WOF_F2!$A$2:$K$673,10,FALSE)</f>
        <v>0</v>
      </c>
      <c r="X37">
        <f>VLOOKUP(C37,CU_ARS_2025_WOF_F2!$A$2:$K$673,11,FALSE)</f>
        <v>42</v>
      </c>
      <c r="Y37" t="str">
        <f>VLOOKUP(Q37,cross_pedigree!$A$2:$B$23,2,FALSE)</f>
        <v>PA8014-840/NC20-4452</v>
      </c>
    </row>
    <row r="38" spans="1:25" ht="18">
      <c r="A38" s="20" t="s">
        <v>15</v>
      </c>
      <c r="B38" s="21" t="s">
        <v>16</v>
      </c>
      <c r="C38" s="22">
        <v>753822</v>
      </c>
      <c r="D38" s="23">
        <v>1</v>
      </c>
      <c r="E38" s="24" t="str">
        <f t="shared" si="0"/>
        <v>CU_ARS_2025_WOF_F2_1_plant_43</v>
      </c>
      <c r="F38" s="21" t="s">
        <v>19</v>
      </c>
      <c r="G38" s="44" t="s">
        <v>20</v>
      </c>
      <c r="H38" s="47"/>
      <c r="I38" s="42" t="s">
        <v>1036</v>
      </c>
      <c r="J38" s="42" t="s">
        <v>1003</v>
      </c>
      <c r="K38" s="42"/>
      <c r="L38" s="42"/>
      <c r="M38" s="42"/>
      <c r="N38" t="str">
        <f>VLOOKUP(C38,CU_ARS_2025_WOF_F2!$A$2:$K$673,2,FALSE)</f>
        <v>CU_ARS_2025_WOF_F2_1_plant_43</v>
      </c>
      <c r="O38" t="str">
        <f>VLOOKUP(C38,CU_ARS_2025_WOF_F2!$A$2:$K$673,2,FALSE)</f>
        <v>CU_ARS_2025_WOF_F2_1_plant_43</v>
      </c>
      <c r="P38" t="str">
        <f>VLOOKUP(C38,CU_ARS_2025_WOF_F2!$A$2:$K$673,3,FALSE)</f>
        <v>CU_ARS_2025_WOF_F2_1</v>
      </c>
      <c r="Q38" t="str">
        <f>VLOOKUP(C38,CU_ARS_2025_WOF_F2!$A$2:$K$673,4,FALSE)</f>
        <v>CU_ARS_2025_WOF_cross_55</v>
      </c>
      <c r="R38">
        <f>VLOOKUP(C38,CU_ARS_2025_WOF_F2!$A$2:$K$673,5,FALSE)</f>
        <v>1</v>
      </c>
      <c r="S38">
        <f>VLOOKUP(C38,CU_ARS_2025_WOF_F2!$A$2:$K$673,6,FALSE)</f>
        <v>1</v>
      </c>
      <c r="T38">
        <f>VLOOKUP(C38,CU_ARS_2025_WOF_F2!$A$2:$K$673,7,FALSE)</f>
        <v>0</v>
      </c>
      <c r="U38">
        <f>VLOOKUP(C38,CU_ARS_2025_WOF_F2!$A$2:$K$673,8,FALSE)</f>
        <v>1</v>
      </c>
      <c r="V38">
        <f>VLOOKUP(C38,CU_ARS_2025_WOF_F2!$A$2:$K$673,9,FALSE)</f>
        <v>0</v>
      </c>
      <c r="W38">
        <f>VLOOKUP(C38,CU_ARS_2025_WOF_F2!$A$2:$K$673,10,FALSE)</f>
        <v>0</v>
      </c>
      <c r="X38">
        <f>VLOOKUP(C38,CU_ARS_2025_WOF_F2!$A$2:$K$673,11,FALSE)</f>
        <v>43</v>
      </c>
      <c r="Y38" t="str">
        <f>VLOOKUP(Q38,cross_pedigree!$A$2:$B$23,2,FALSE)</f>
        <v>PA8014-840/NC20-4452</v>
      </c>
    </row>
    <row r="39" spans="1:25" ht="18">
      <c r="A39" s="20" t="s">
        <v>15</v>
      </c>
      <c r="B39" s="21" t="s">
        <v>16</v>
      </c>
      <c r="C39" s="22">
        <v>753823</v>
      </c>
      <c r="D39" s="23">
        <v>1</v>
      </c>
      <c r="E39" s="24" t="str">
        <f t="shared" si="0"/>
        <v>CU_ARS_2025_WOF_F2_1_plant_44</v>
      </c>
      <c r="F39" s="21" t="s">
        <v>21</v>
      </c>
      <c r="G39" s="44" t="s">
        <v>22</v>
      </c>
      <c r="H39" s="47"/>
      <c r="I39" s="42" t="s">
        <v>1036</v>
      </c>
      <c r="J39" s="42" t="s">
        <v>1003</v>
      </c>
      <c r="K39" s="42"/>
      <c r="L39" s="42"/>
      <c r="M39" s="42"/>
      <c r="N39" t="str">
        <f>VLOOKUP(C39,CU_ARS_2025_WOF_F2!$A$2:$K$673,2,FALSE)</f>
        <v>CU_ARS_2025_WOF_F2_1_plant_44</v>
      </c>
      <c r="O39" t="str">
        <f>VLOOKUP(C39,CU_ARS_2025_WOF_F2!$A$2:$K$673,2,FALSE)</f>
        <v>CU_ARS_2025_WOF_F2_1_plant_44</v>
      </c>
      <c r="P39" t="str">
        <f>VLOOKUP(C39,CU_ARS_2025_WOF_F2!$A$2:$K$673,3,FALSE)</f>
        <v>CU_ARS_2025_WOF_F2_1</v>
      </c>
      <c r="Q39" t="str">
        <f>VLOOKUP(C39,CU_ARS_2025_WOF_F2!$A$2:$K$673,4,FALSE)</f>
        <v>CU_ARS_2025_WOF_cross_55</v>
      </c>
      <c r="R39">
        <f>VLOOKUP(C39,CU_ARS_2025_WOF_F2!$A$2:$K$673,5,FALSE)</f>
        <v>1</v>
      </c>
      <c r="S39">
        <f>VLOOKUP(C39,CU_ARS_2025_WOF_F2!$A$2:$K$673,6,FALSE)</f>
        <v>1</v>
      </c>
      <c r="T39">
        <f>VLOOKUP(C39,CU_ARS_2025_WOF_F2!$A$2:$K$673,7,FALSE)</f>
        <v>0</v>
      </c>
      <c r="U39">
        <f>VLOOKUP(C39,CU_ARS_2025_WOF_F2!$A$2:$K$673,8,FALSE)</f>
        <v>1</v>
      </c>
      <c r="V39">
        <f>VLOOKUP(C39,CU_ARS_2025_WOF_F2!$A$2:$K$673,9,FALSE)</f>
        <v>0</v>
      </c>
      <c r="W39">
        <f>VLOOKUP(C39,CU_ARS_2025_WOF_F2!$A$2:$K$673,10,FALSE)</f>
        <v>0</v>
      </c>
      <c r="X39">
        <f>VLOOKUP(C39,CU_ARS_2025_WOF_F2!$A$2:$K$673,11,FALSE)</f>
        <v>44</v>
      </c>
      <c r="Y39" t="str">
        <f>VLOOKUP(Q39,cross_pedigree!$A$2:$B$23,2,FALSE)</f>
        <v>PA8014-840/NC20-4452</v>
      </c>
    </row>
    <row r="40" spans="1:25" ht="18">
      <c r="A40" s="20" t="s">
        <v>15</v>
      </c>
      <c r="B40" s="21" t="s">
        <v>16</v>
      </c>
      <c r="C40" s="22">
        <v>753569</v>
      </c>
      <c r="D40" s="23">
        <v>1</v>
      </c>
      <c r="E40" s="24" t="str">
        <f t="shared" si="0"/>
        <v>CU_ARS_2025_WOF_F2_9_plant_9</v>
      </c>
      <c r="F40" s="21" t="s">
        <v>152</v>
      </c>
      <c r="G40" s="44" t="s">
        <v>153</v>
      </c>
      <c r="H40" s="47"/>
      <c r="I40" s="42" t="s">
        <v>1014</v>
      </c>
      <c r="J40" s="42" t="s">
        <v>1003</v>
      </c>
      <c r="K40" s="42"/>
      <c r="L40" s="42"/>
      <c r="M40" s="42"/>
      <c r="N40" t="str">
        <f>VLOOKUP(C40,CU_ARS_2025_WOF_F2!$A$2:$K$673,2,FALSE)</f>
        <v>CU_ARS_2025_WOF_F2_9_plant_9</v>
      </c>
      <c r="O40" t="str">
        <f>VLOOKUP(C40,CU_ARS_2025_WOF_F2!$A$2:$K$673,2,FALSE)</f>
        <v>CU_ARS_2025_WOF_F2_9_plant_9</v>
      </c>
      <c r="P40" t="str">
        <f>VLOOKUP(C40,CU_ARS_2025_WOF_F2!$A$2:$K$673,3,FALSE)</f>
        <v>CU_ARS_2025_WOF_F2_9</v>
      </c>
      <c r="Q40" t="str">
        <f>VLOOKUP(C40,CU_ARS_2025_WOF_F2!$A$2:$K$673,4,FALSE)</f>
        <v>CU_ARS_2025_WOF_cross_1</v>
      </c>
      <c r="R40">
        <f>VLOOKUP(C40,CU_ARS_2025_WOF_F2!$A$2:$K$673,5,FALSE)</f>
        <v>9</v>
      </c>
      <c r="S40">
        <f>VLOOKUP(C40,CU_ARS_2025_WOF_F2!$A$2:$K$673,6,FALSE)</f>
        <v>1</v>
      </c>
      <c r="T40">
        <f>VLOOKUP(C40,CU_ARS_2025_WOF_F2!$A$2:$K$673,7,FALSE)</f>
        <v>0</v>
      </c>
      <c r="U40">
        <f>VLOOKUP(C40,CU_ARS_2025_WOF_F2!$A$2:$K$673,8,FALSE)</f>
        <v>1</v>
      </c>
      <c r="V40">
        <f>VLOOKUP(C40,CU_ARS_2025_WOF_F2!$A$2:$K$673,9,FALSE)</f>
        <v>0</v>
      </c>
      <c r="W40">
        <f>VLOOKUP(C40,CU_ARS_2025_WOF_F2!$A$2:$K$673,10,FALSE)</f>
        <v>0</v>
      </c>
      <c r="X40">
        <f>VLOOKUP(C40,CU_ARS_2025_WOF_F2!$A$2:$K$673,11,FALSE)</f>
        <v>9</v>
      </c>
      <c r="Y40" t="str">
        <f>VLOOKUP(Q40,cross_pedigree!$A$2:$B$23,2,FALSE)</f>
        <v>AURORA/AWNLESS_CURLED</v>
      </c>
    </row>
    <row r="41" spans="1:25" ht="18">
      <c r="A41" s="20" t="s">
        <v>15</v>
      </c>
      <c r="B41" s="21" t="s">
        <v>16</v>
      </c>
      <c r="C41" s="22">
        <v>753570</v>
      </c>
      <c r="D41" s="23">
        <v>1</v>
      </c>
      <c r="E41" s="24" t="str">
        <f t="shared" si="0"/>
        <v>CU_ARS_2025_WOF_F2_9_plant_10</v>
      </c>
      <c r="F41" s="21" t="s">
        <v>154</v>
      </c>
      <c r="G41" s="44" t="s">
        <v>155</v>
      </c>
      <c r="H41" s="47"/>
      <c r="I41" s="42" t="s">
        <v>1014</v>
      </c>
      <c r="J41" s="42" t="s">
        <v>1003</v>
      </c>
      <c r="K41" s="42"/>
      <c r="L41" s="42"/>
      <c r="M41" s="42"/>
      <c r="N41" t="str">
        <f>VLOOKUP(C41,CU_ARS_2025_WOF_F2!$A$2:$K$673,2,FALSE)</f>
        <v>CU_ARS_2025_WOF_F2_9_plant_10</v>
      </c>
      <c r="O41" t="str">
        <f>VLOOKUP(C41,CU_ARS_2025_WOF_F2!$A$2:$K$673,2,FALSE)</f>
        <v>CU_ARS_2025_WOF_F2_9_plant_10</v>
      </c>
      <c r="P41" t="str">
        <f>VLOOKUP(C41,CU_ARS_2025_WOF_F2!$A$2:$K$673,3,FALSE)</f>
        <v>CU_ARS_2025_WOF_F2_9</v>
      </c>
      <c r="Q41" t="str">
        <f>VLOOKUP(C41,CU_ARS_2025_WOF_F2!$A$2:$K$673,4,FALSE)</f>
        <v>CU_ARS_2025_WOF_cross_1</v>
      </c>
      <c r="R41">
        <f>VLOOKUP(C41,CU_ARS_2025_WOF_F2!$A$2:$K$673,5,FALSE)</f>
        <v>9</v>
      </c>
      <c r="S41">
        <f>VLOOKUP(C41,CU_ARS_2025_WOF_F2!$A$2:$K$673,6,FALSE)</f>
        <v>1</v>
      </c>
      <c r="T41">
        <f>VLOOKUP(C41,CU_ARS_2025_WOF_F2!$A$2:$K$673,7,FALSE)</f>
        <v>0</v>
      </c>
      <c r="U41">
        <f>VLOOKUP(C41,CU_ARS_2025_WOF_F2!$A$2:$K$673,8,FALSE)</f>
        <v>1</v>
      </c>
      <c r="V41">
        <f>VLOOKUP(C41,CU_ARS_2025_WOF_F2!$A$2:$K$673,9,FALSE)</f>
        <v>0</v>
      </c>
      <c r="W41">
        <f>VLOOKUP(C41,CU_ARS_2025_WOF_F2!$A$2:$K$673,10,FALSE)</f>
        <v>0</v>
      </c>
      <c r="X41">
        <f>VLOOKUP(C41,CU_ARS_2025_WOF_F2!$A$2:$K$673,11,FALSE)</f>
        <v>10</v>
      </c>
      <c r="Y41" t="str">
        <f>VLOOKUP(Q41,cross_pedigree!$A$2:$B$23,2,FALSE)</f>
        <v>AURORA/AWNLESS_CURLED</v>
      </c>
    </row>
    <row r="42" spans="1:25" ht="18">
      <c r="A42" s="20" t="s">
        <v>15</v>
      </c>
      <c r="B42" s="21" t="s">
        <v>16</v>
      </c>
      <c r="C42" s="22">
        <v>753571</v>
      </c>
      <c r="D42" s="23">
        <v>1</v>
      </c>
      <c r="E42" s="24" t="str">
        <f t="shared" si="0"/>
        <v>CU_ARS_2025_WOF_F2_9_plant_11</v>
      </c>
      <c r="F42" s="21" t="s">
        <v>156</v>
      </c>
      <c r="G42" s="44" t="s">
        <v>157</v>
      </c>
      <c r="H42" s="47"/>
      <c r="I42" s="42" t="s">
        <v>1014</v>
      </c>
      <c r="J42" s="42" t="s">
        <v>1003</v>
      </c>
      <c r="K42" s="42"/>
      <c r="L42" s="42"/>
      <c r="M42" s="42"/>
      <c r="N42" t="str">
        <f>VLOOKUP(C42,CU_ARS_2025_WOF_F2!$A$2:$K$673,2,FALSE)</f>
        <v>CU_ARS_2025_WOF_F2_9_plant_11</v>
      </c>
      <c r="O42" t="str">
        <f>VLOOKUP(C42,CU_ARS_2025_WOF_F2!$A$2:$K$673,2,FALSE)</f>
        <v>CU_ARS_2025_WOF_F2_9_plant_11</v>
      </c>
      <c r="P42" t="str">
        <f>VLOOKUP(C42,CU_ARS_2025_WOF_F2!$A$2:$K$673,3,FALSE)</f>
        <v>CU_ARS_2025_WOF_F2_9</v>
      </c>
      <c r="Q42" t="str">
        <f>VLOOKUP(C42,CU_ARS_2025_WOF_F2!$A$2:$K$673,4,FALSE)</f>
        <v>CU_ARS_2025_WOF_cross_1</v>
      </c>
      <c r="R42">
        <f>VLOOKUP(C42,CU_ARS_2025_WOF_F2!$A$2:$K$673,5,FALSE)</f>
        <v>9</v>
      </c>
      <c r="S42">
        <f>VLOOKUP(C42,CU_ARS_2025_WOF_F2!$A$2:$K$673,6,FALSE)</f>
        <v>1</v>
      </c>
      <c r="T42">
        <f>VLOOKUP(C42,CU_ARS_2025_WOF_F2!$A$2:$K$673,7,FALSE)</f>
        <v>0</v>
      </c>
      <c r="U42">
        <f>VLOOKUP(C42,CU_ARS_2025_WOF_F2!$A$2:$K$673,8,FALSE)</f>
        <v>1</v>
      </c>
      <c r="V42">
        <f>VLOOKUP(C42,CU_ARS_2025_WOF_F2!$A$2:$K$673,9,FALSE)</f>
        <v>0</v>
      </c>
      <c r="W42">
        <f>VLOOKUP(C42,CU_ARS_2025_WOF_F2!$A$2:$K$673,10,FALSE)</f>
        <v>0</v>
      </c>
      <c r="X42">
        <f>VLOOKUP(C42,CU_ARS_2025_WOF_F2!$A$2:$K$673,11,FALSE)</f>
        <v>11</v>
      </c>
      <c r="Y42" t="str">
        <f>VLOOKUP(Q42,cross_pedigree!$A$2:$B$23,2,FALSE)</f>
        <v>AURORA/AWNLESS_CURLED</v>
      </c>
    </row>
    <row r="43" spans="1:25" ht="18">
      <c r="A43" s="20" t="s">
        <v>15</v>
      </c>
      <c r="B43" s="21" t="s">
        <v>16</v>
      </c>
      <c r="C43" s="22">
        <v>753572</v>
      </c>
      <c r="D43" s="23">
        <v>1</v>
      </c>
      <c r="E43" s="24" t="str">
        <f t="shared" si="0"/>
        <v>CU_ARS_2025_WOF_F2_9_plant_12</v>
      </c>
      <c r="F43" s="21" t="s">
        <v>158</v>
      </c>
      <c r="G43" s="44" t="s">
        <v>159</v>
      </c>
      <c r="H43" s="47"/>
      <c r="I43" s="42" t="s">
        <v>1014</v>
      </c>
      <c r="J43" s="42" t="s">
        <v>1003</v>
      </c>
      <c r="K43" s="42"/>
      <c r="L43" s="42"/>
      <c r="M43" s="42"/>
      <c r="N43" t="str">
        <f>VLOOKUP(C43,CU_ARS_2025_WOF_F2!$A$2:$K$673,2,FALSE)</f>
        <v>CU_ARS_2025_WOF_F2_9_plant_12</v>
      </c>
      <c r="O43" t="str">
        <f>VLOOKUP(C43,CU_ARS_2025_WOF_F2!$A$2:$K$673,2,FALSE)</f>
        <v>CU_ARS_2025_WOF_F2_9_plant_12</v>
      </c>
      <c r="P43" t="str">
        <f>VLOOKUP(C43,CU_ARS_2025_WOF_F2!$A$2:$K$673,3,FALSE)</f>
        <v>CU_ARS_2025_WOF_F2_9</v>
      </c>
      <c r="Q43" t="str">
        <f>VLOOKUP(C43,CU_ARS_2025_WOF_F2!$A$2:$K$673,4,FALSE)</f>
        <v>CU_ARS_2025_WOF_cross_1</v>
      </c>
      <c r="R43">
        <f>VLOOKUP(C43,CU_ARS_2025_WOF_F2!$A$2:$K$673,5,FALSE)</f>
        <v>9</v>
      </c>
      <c r="S43">
        <f>VLOOKUP(C43,CU_ARS_2025_WOF_F2!$A$2:$K$673,6,FALSE)</f>
        <v>1</v>
      </c>
      <c r="T43">
        <f>VLOOKUP(C43,CU_ARS_2025_WOF_F2!$A$2:$K$673,7,FALSE)</f>
        <v>0</v>
      </c>
      <c r="U43">
        <f>VLOOKUP(C43,CU_ARS_2025_WOF_F2!$A$2:$K$673,8,FALSE)</f>
        <v>1</v>
      </c>
      <c r="V43">
        <f>VLOOKUP(C43,CU_ARS_2025_WOF_F2!$A$2:$K$673,9,FALSE)</f>
        <v>0</v>
      </c>
      <c r="W43">
        <f>VLOOKUP(C43,CU_ARS_2025_WOF_F2!$A$2:$K$673,10,FALSE)</f>
        <v>0</v>
      </c>
      <c r="X43">
        <f>VLOOKUP(C43,CU_ARS_2025_WOF_F2!$A$2:$K$673,11,FALSE)</f>
        <v>12</v>
      </c>
      <c r="Y43" t="str">
        <f>VLOOKUP(Q43,cross_pedigree!$A$2:$B$23,2,FALSE)</f>
        <v>AURORA/AWNLESS_CURLED</v>
      </c>
    </row>
    <row r="44" spans="1:25" ht="18">
      <c r="A44" s="20" t="s">
        <v>15</v>
      </c>
      <c r="B44" s="21" t="s">
        <v>16</v>
      </c>
      <c r="C44" s="22">
        <v>753573</v>
      </c>
      <c r="D44" s="23">
        <v>1</v>
      </c>
      <c r="E44" s="24" t="str">
        <f t="shared" si="0"/>
        <v>CU_ARS_2025_WOF_F2_9_plant_13</v>
      </c>
      <c r="F44" s="21" t="s">
        <v>160</v>
      </c>
      <c r="G44" s="44" t="s">
        <v>161</v>
      </c>
      <c r="H44" s="47"/>
      <c r="I44" s="42" t="s">
        <v>1014</v>
      </c>
      <c r="J44" s="42" t="s">
        <v>1003</v>
      </c>
      <c r="K44" s="42"/>
      <c r="L44" s="42"/>
      <c r="M44" s="42"/>
      <c r="N44" t="str">
        <f>VLOOKUP(C44,CU_ARS_2025_WOF_F2!$A$2:$K$673,2,FALSE)</f>
        <v>CU_ARS_2025_WOF_F2_9_plant_13</v>
      </c>
      <c r="O44" t="str">
        <f>VLOOKUP(C44,CU_ARS_2025_WOF_F2!$A$2:$K$673,2,FALSE)</f>
        <v>CU_ARS_2025_WOF_F2_9_plant_13</v>
      </c>
      <c r="P44" t="str">
        <f>VLOOKUP(C44,CU_ARS_2025_WOF_F2!$A$2:$K$673,3,FALSE)</f>
        <v>CU_ARS_2025_WOF_F2_9</v>
      </c>
      <c r="Q44" t="str">
        <f>VLOOKUP(C44,CU_ARS_2025_WOF_F2!$A$2:$K$673,4,FALSE)</f>
        <v>CU_ARS_2025_WOF_cross_1</v>
      </c>
      <c r="R44">
        <f>VLOOKUP(C44,CU_ARS_2025_WOF_F2!$A$2:$K$673,5,FALSE)</f>
        <v>9</v>
      </c>
      <c r="S44">
        <f>VLOOKUP(C44,CU_ARS_2025_WOF_F2!$A$2:$K$673,6,FALSE)</f>
        <v>1</v>
      </c>
      <c r="T44">
        <f>VLOOKUP(C44,CU_ARS_2025_WOF_F2!$A$2:$K$673,7,FALSE)</f>
        <v>0</v>
      </c>
      <c r="U44">
        <f>VLOOKUP(C44,CU_ARS_2025_WOF_F2!$A$2:$K$673,8,FALSE)</f>
        <v>1</v>
      </c>
      <c r="V44">
        <f>VLOOKUP(C44,CU_ARS_2025_WOF_F2!$A$2:$K$673,9,FALSE)</f>
        <v>0</v>
      </c>
      <c r="W44">
        <f>VLOOKUP(C44,CU_ARS_2025_WOF_F2!$A$2:$K$673,10,FALSE)</f>
        <v>0</v>
      </c>
      <c r="X44">
        <f>VLOOKUP(C44,CU_ARS_2025_WOF_F2!$A$2:$K$673,11,FALSE)</f>
        <v>13</v>
      </c>
      <c r="Y44" t="str">
        <f>VLOOKUP(Q44,cross_pedigree!$A$2:$B$23,2,FALSE)</f>
        <v>AURORA/AWNLESS_CURLED</v>
      </c>
    </row>
    <row r="45" spans="1:25" ht="18">
      <c r="A45" s="20" t="s">
        <v>15</v>
      </c>
      <c r="B45" s="21" t="s">
        <v>16</v>
      </c>
      <c r="C45" s="22">
        <v>753824</v>
      </c>
      <c r="D45" s="23">
        <v>1</v>
      </c>
      <c r="E45" s="24" t="str">
        <f t="shared" si="0"/>
        <v>CU_ARS_2025_WOF_F2_1_plant_45</v>
      </c>
      <c r="F45" s="21" t="s">
        <v>23</v>
      </c>
      <c r="G45" s="44" t="s">
        <v>24</v>
      </c>
      <c r="H45" s="48"/>
      <c r="I45" s="42" t="s">
        <v>1036</v>
      </c>
      <c r="J45" s="42" t="s">
        <v>1003</v>
      </c>
      <c r="K45" s="42"/>
      <c r="L45" s="42"/>
      <c r="M45" s="42"/>
      <c r="N45" t="str">
        <f>VLOOKUP(C45,CU_ARS_2025_WOF_F2!$A$2:$K$673,2,FALSE)</f>
        <v>CU_ARS_2025_WOF_F2_1_plant_45</v>
      </c>
      <c r="O45" t="str">
        <f>VLOOKUP(C45,CU_ARS_2025_WOF_F2!$A$2:$K$673,2,FALSE)</f>
        <v>CU_ARS_2025_WOF_F2_1_plant_45</v>
      </c>
      <c r="P45" t="str">
        <f>VLOOKUP(C45,CU_ARS_2025_WOF_F2!$A$2:$K$673,3,FALSE)</f>
        <v>CU_ARS_2025_WOF_F2_1</v>
      </c>
      <c r="Q45" t="str">
        <f>VLOOKUP(C45,CU_ARS_2025_WOF_F2!$A$2:$K$673,4,FALSE)</f>
        <v>CU_ARS_2025_WOF_cross_55</v>
      </c>
      <c r="R45">
        <f>VLOOKUP(C45,CU_ARS_2025_WOF_F2!$A$2:$K$673,5,FALSE)</f>
        <v>1</v>
      </c>
      <c r="S45">
        <f>VLOOKUP(C45,CU_ARS_2025_WOF_F2!$A$2:$K$673,6,FALSE)</f>
        <v>1</v>
      </c>
      <c r="T45">
        <f>VLOOKUP(C45,CU_ARS_2025_WOF_F2!$A$2:$K$673,7,FALSE)</f>
        <v>0</v>
      </c>
      <c r="U45">
        <f>VLOOKUP(C45,CU_ARS_2025_WOF_F2!$A$2:$K$673,8,FALSE)</f>
        <v>1</v>
      </c>
      <c r="V45">
        <f>VLOOKUP(C45,CU_ARS_2025_WOF_F2!$A$2:$K$673,9,FALSE)</f>
        <v>0</v>
      </c>
      <c r="W45">
        <f>VLOOKUP(C45,CU_ARS_2025_WOF_F2!$A$2:$K$673,10,FALSE)</f>
        <v>0</v>
      </c>
      <c r="X45">
        <f>VLOOKUP(C45,CU_ARS_2025_WOF_F2!$A$2:$K$673,11,FALSE)</f>
        <v>45</v>
      </c>
      <c r="Y45" t="str">
        <f>VLOOKUP(Q45,cross_pedigree!$A$2:$B$23,2,FALSE)</f>
        <v>PA8014-840/NC20-4452</v>
      </c>
    </row>
    <row r="46" spans="1:25" ht="18">
      <c r="A46" s="20" t="s">
        <v>15</v>
      </c>
      <c r="B46" s="21" t="s">
        <v>16</v>
      </c>
      <c r="C46" s="22">
        <v>753836</v>
      </c>
      <c r="D46" s="23">
        <v>1</v>
      </c>
      <c r="E46" s="24" t="str">
        <f t="shared" si="0"/>
        <v>CU_ARS_2025_WOF_F2_1_plant_57</v>
      </c>
      <c r="F46" s="21" t="s">
        <v>25</v>
      </c>
      <c r="G46" s="44" t="s">
        <v>26</v>
      </c>
      <c r="H46" s="47"/>
      <c r="I46" s="42" t="s">
        <v>1036</v>
      </c>
      <c r="J46" s="42" t="s">
        <v>1003</v>
      </c>
      <c r="K46" s="42"/>
      <c r="L46" s="42"/>
      <c r="M46" s="42"/>
      <c r="N46" t="str">
        <f>VLOOKUP(C46,CU_ARS_2025_WOF_F2!$A$2:$K$673,2,FALSE)</f>
        <v>CU_ARS_2025_WOF_F2_1_plant_57</v>
      </c>
      <c r="O46" t="str">
        <f>VLOOKUP(C46,CU_ARS_2025_WOF_F2!$A$2:$K$673,2,FALSE)</f>
        <v>CU_ARS_2025_WOF_F2_1_plant_57</v>
      </c>
      <c r="P46" t="str">
        <f>VLOOKUP(C46,CU_ARS_2025_WOF_F2!$A$2:$K$673,3,FALSE)</f>
        <v>CU_ARS_2025_WOF_F2_1</v>
      </c>
      <c r="Q46" t="str">
        <f>VLOOKUP(C46,CU_ARS_2025_WOF_F2!$A$2:$K$673,4,FALSE)</f>
        <v>CU_ARS_2025_WOF_cross_55</v>
      </c>
      <c r="R46">
        <f>VLOOKUP(C46,CU_ARS_2025_WOF_F2!$A$2:$K$673,5,FALSE)</f>
        <v>1</v>
      </c>
      <c r="S46">
        <f>VLOOKUP(C46,CU_ARS_2025_WOF_F2!$A$2:$K$673,6,FALSE)</f>
        <v>1</v>
      </c>
      <c r="T46">
        <f>VLOOKUP(C46,CU_ARS_2025_WOF_F2!$A$2:$K$673,7,FALSE)</f>
        <v>0</v>
      </c>
      <c r="U46">
        <f>VLOOKUP(C46,CU_ARS_2025_WOF_F2!$A$2:$K$673,8,FALSE)</f>
        <v>1</v>
      </c>
      <c r="V46">
        <f>VLOOKUP(C46,CU_ARS_2025_WOF_F2!$A$2:$K$673,9,FALSE)</f>
        <v>0</v>
      </c>
      <c r="W46">
        <f>VLOOKUP(C46,CU_ARS_2025_WOF_F2!$A$2:$K$673,10,FALSE)</f>
        <v>0</v>
      </c>
      <c r="X46">
        <f>VLOOKUP(C46,CU_ARS_2025_WOF_F2!$A$2:$K$673,11,FALSE)</f>
        <v>57</v>
      </c>
      <c r="Y46" t="str">
        <f>VLOOKUP(Q46,cross_pedigree!$A$2:$B$23,2,FALSE)</f>
        <v>PA8014-840/NC20-4452</v>
      </c>
    </row>
    <row r="47" spans="1:25" ht="18">
      <c r="A47" s="20" t="s">
        <v>15</v>
      </c>
      <c r="B47" s="21" t="s">
        <v>16</v>
      </c>
      <c r="C47" s="22">
        <v>753837</v>
      </c>
      <c r="D47" s="23">
        <v>1</v>
      </c>
      <c r="E47" s="24" t="str">
        <f t="shared" si="0"/>
        <v>CU_ARS_2025_WOF_F2_1_plant_58</v>
      </c>
      <c r="F47" s="21" t="s">
        <v>27</v>
      </c>
      <c r="G47" s="44" t="s">
        <v>28</v>
      </c>
      <c r="H47" s="47"/>
      <c r="I47" s="42" t="s">
        <v>1036</v>
      </c>
      <c r="J47" s="42" t="s">
        <v>1003</v>
      </c>
      <c r="K47" s="42"/>
      <c r="L47" s="42"/>
      <c r="M47" s="42"/>
      <c r="N47" t="str">
        <f>VLOOKUP(C47,CU_ARS_2025_WOF_F2!$A$2:$K$673,2,FALSE)</f>
        <v>CU_ARS_2025_WOF_F2_1_plant_58</v>
      </c>
      <c r="O47" t="str">
        <f>VLOOKUP(C47,CU_ARS_2025_WOF_F2!$A$2:$K$673,2,FALSE)</f>
        <v>CU_ARS_2025_WOF_F2_1_plant_58</v>
      </c>
      <c r="P47" t="str">
        <f>VLOOKUP(C47,CU_ARS_2025_WOF_F2!$A$2:$K$673,3,FALSE)</f>
        <v>CU_ARS_2025_WOF_F2_1</v>
      </c>
      <c r="Q47" t="str">
        <f>VLOOKUP(C47,CU_ARS_2025_WOF_F2!$A$2:$K$673,4,FALSE)</f>
        <v>CU_ARS_2025_WOF_cross_55</v>
      </c>
      <c r="R47">
        <f>VLOOKUP(C47,CU_ARS_2025_WOF_F2!$A$2:$K$673,5,FALSE)</f>
        <v>1</v>
      </c>
      <c r="S47">
        <f>VLOOKUP(C47,CU_ARS_2025_WOF_F2!$A$2:$K$673,6,FALSE)</f>
        <v>1</v>
      </c>
      <c r="T47">
        <f>VLOOKUP(C47,CU_ARS_2025_WOF_F2!$A$2:$K$673,7,FALSE)</f>
        <v>0</v>
      </c>
      <c r="U47">
        <f>VLOOKUP(C47,CU_ARS_2025_WOF_F2!$A$2:$K$673,8,FALSE)</f>
        <v>1</v>
      </c>
      <c r="V47">
        <f>VLOOKUP(C47,CU_ARS_2025_WOF_F2!$A$2:$K$673,9,FALSE)</f>
        <v>0</v>
      </c>
      <c r="W47">
        <f>VLOOKUP(C47,CU_ARS_2025_WOF_F2!$A$2:$K$673,10,FALSE)</f>
        <v>0</v>
      </c>
      <c r="X47">
        <f>VLOOKUP(C47,CU_ARS_2025_WOF_F2!$A$2:$K$673,11,FALSE)</f>
        <v>58</v>
      </c>
      <c r="Y47" t="str">
        <f>VLOOKUP(Q47,cross_pedigree!$A$2:$B$23,2,FALSE)</f>
        <v>PA8014-840/NC20-4452</v>
      </c>
    </row>
    <row r="48" spans="1:25" ht="18">
      <c r="A48" s="20" t="s">
        <v>15</v>
      </c>
      <c r="B48" s="21" t="s">
        <v>16</v>
      </c>
      <c r="C48" s="22">
        <v>753590</v>
      </c>
      <c r="D48" s="23">
        <v>1</v>
      </c>
      <c r="E48" s="24" t="str">
        <f t="shared" si="0"/>
        <v>CU_ARS_2025_WOF_F2_9_plant_30</v>
      </c>
      <c r="F48" s="21" t="s">
        <v>162</v>
      </c>
      <c r="G48" s="44" t="s">
        <v>163</v>
      </c>
      <c r="H48" s="47"/>
      <c r="I48" s="42" t="s">
        <v>1014</v>
      </c>
      <c r="J48" s="42" t="s">
        <v>1003</v>
      </c>
      <c r="K48" s="42"/>
      <c r="L48" s="42"/>
      <c r="M48" s="42"/>
      <c r="N48" t="str">
        <f>VLOOKUP(C48,CU_ARS_2025_WOF_F2!$A$2:$K$673,2,FALSE)</f>
        <v>CU_ARS_2025_WOF_F2_9_plant_30</v>
      </c>
      <c r="O48" t="str">
        <f>VLOOKUP(C48,CU_ARS_2025_WOF_F2!$A$2:$K$673,2,FALSE)</f>
        <v>CU_ARS_2025_WOF_F2_9_plant_30</v>
      </c>
      <c r="P48" t="str">
        <f>VLOOKUP(C48,CU_ARS_2025_WOF_F2!$A$2:$K$673,3,FALSE)</f>
        <v>CU_ARS_2025_WOF_F2_9</v>
      </c>
      <c r="Q48" t="str">
        <f>VLOOKUP(C48,CU_ARS_2025_WOF_F2!$A$2:$K$673,4,FALSE)</f>
        <v>CU_ARS_2025_WOF_cross_1</v>
      </c>
      <c r="R48">
        <f>VLOOKUP(C48,CU_ARS_2025_WOF_F2!$A$2:$K$673,5,FALSE)</f>
        <v>9</v>
      </c>
      <c r="S48">
        <f>VLOOKUP(C48,CU_ARS_2025_WOF_F2!$A$2:$K$673,6,FALSE)</f>
        <v>1</v>
      </c>
      <c r="T48">
        <f>VLOOKUP(C48,CU_ARS_2025_WOF_F2!$A$2:$K$673,7,FALSE)</f>
        <v>0</v>
      </c>
      <c r="U48">
        <f>VLOOKUP(C48,CU_ARS_2025_WOF_F2!$A$2:$K$673,8,FALSE)</f>
        <v>1</v>
      </c>
      <c r="V48">
        <f>VLOOKUP(C48,CU_ARS_2025_WOF_F2!$A$2:$K$673,9,FALSE)</f>
        <v>0</v>
      </c>
      <c r="W48">
        <f>VLOOKUP(C48,CU_ARS_2025_WOF_F2!$A$2:$K$673,10,FALSE)</f>
        <v>0</v>
      </c>
      <c r="X48">
        <f>VLOOKUP(C48,CU_ARS_2025_WOF_F2!$A$2:$K$673,11,FALSE)</f>
        <v>30</v>
      </c>
      <c r="Y48" t="str">
        <f>VLOOKUP(Q48,cross_pedigree!$A$2:$B$23,2,FALSE)</f>
        <v>AURORA/AWNLESS_CURLED</v>
      </c>
    </row>
    <row r="49" spans="1:25" ht="18">
      <c r="A49" s="20" t="s">
        <v>15</v>
      </c>
      <c r="B49" s="21" t="s">
        <v>16</v>
      </c>
      <c r="C49" s="22">
        <v>753591</v>
      </c>
      <c r="D49" s="23">
        <v>1</v>
      </c>
      <c r="E49" s="24" t="str">
        <f t="shared" si="0"/>
        <v>CU_ARS_2025_WOF_F2_9_plant_31</v>
      </c>
      <c r="F49" s="21" t="s">
        <v>164</v>
      </c>
      <c r="G49" s="44" t="s">
        <v>165</v>
      </c>
      <c r="H49" s="47"/>
      <c r="I49" s="42" t="s">
        <v>1014</v>
      </c>
      <c r="J49" s="42" t="s">
        <v>1003</v>
      </c>
      <c r="K49" s="42"/>
      <c r="L49" s="42"/>
      <c r="M49" s="42"/>
      <c r="N49" t="str">
        <f>VLOOKUP(C49,CU_ARS_2025_WOF_F2!$A$2:$K$673,2,FALSE)</f>
        <v>CU_ARS_2025_WOF_F2_9_plant_31</v>
      </c>
      <c r="O49" t="str">
        <f>VLOOKUP(C49,CU_ARS_2025_WOF_F2!$A$2:$K$673,2,FALSE)</f>
        <v>CU_ARS_2025_WOF_F2_9_plant_31</v>
      </c>
      <c r="P49" t="str">
        <f>VLOOKUP(C49,CU_ARS_2025_WOF_F2!$A$2:$K$673,3,FALSE)</f>
        <v>CU_ARS_2025_WOF_F2_9</v>
      </c>
      <c r="Q49" t="str">
        <f>VLOOKUP(C49,CU_ARS_2025_WOF_F2!$A$2:$K$673,4,FALSE)</f>
        <v>CU_ARS_2025_WOF_cross_1</v>
      </c>
      <c r="R49">
        <f>VLOOKUP(C49,CU_ARS_2025_WOF_F2!$A$2:$K$673,5,FALSE)</f>
        <v>9</v>
      </c>
      <c r="S49">
        <f>VLOOKUP(C49,CU_ARS_2025_WOF_F2!$A$2:$K$673,6,FALSE)</f>
        <v>1</v>
      </c>
      <c r="T49">
        <f>VLOOKUP(C49,CU_ARS_2025_WOF_F2!$A$2:$K$673,7,FALSE)</f>
        <v>0</v>
      </c>
      <c r="U49">
        <f>VLOOKUP(C49,CU_ARS_2025_WOF_F2!$A$2:$K$673,8,FALSE)</f>
        <v>1</v>
      </c>
      <c r="V49">
        <f>VLOOKUP(C49,CU_ARS_2025_WOF_F2!$A$2:$K$673,9,FALSE)</f>
        <v>0</v>
      </c>
      <c r="W49">
        <f>VLOOKUP(C49,CU_ARS_2025_WOF_F2!$A$2:$K$673,10,FALSE)</f>
        <v>0</v>
      </c>
      <c r="X49">
        <f>VLOOKUP(C49,CU_ARS_2025_WOF_F2!$A$2:$K$673,11,FALSE)</f>
        <v>31</v>
      </c>
      <c r="Y49" t="str">
        <f>VLOOKUP(Q49,cross_pedigree!$A$2:$B$23,2,FALSE)</f>
        <v>AURORA/AWNLESS_CURLED</v>
      </c>
    </row>
    <row r="50" spans="1:25" ht="18">
      <c r="A50" s="20" t="s">
        <v>15</v>
      </c>
      <c r="B50" s="21" t="s">
        <v>16</v>
      </c>
      <c r="C50" s="22">
        <v>753592</v>
      </c>
      <c r="D50" s="23">
        <v>1</v>
      </c>
      <c r="E50" s="24" t="str">
        <f t="shared" si="0"/>
        <v>CU_ARS_2025_WOF_F2_9_plant_32</v>
      </c>
      <c r="F50" s="21" t="s">
        <v>166</v>
      </c>
      <c r="G50" s="44" t="s">
        <v>167</v>
      </c>
      <c r="H50" s="47"/>
      <c r="I50" s="42" t="s">
        <v>1014</v>
      </c>
      <c r="J50" s="42" t="s">
        <v>1003</v>
      </c>
      <c r="K50" s="42"/>
      <c r="L50" s="42"/>
      <c r="M50" s="42"/>
      <c r="N50" t="str">
        <f>VLOOKUP(C50,CU_ARS_2025_WOF_F2!$A$2:$K$673,2,FALSE)</f>
        <v>CU_ARS_2025_WOF_F2_9_plant_32</v>
      </c>
      <c r="O50" t="str">
        <f>VLOOKUP(C50,CU_ARS_2025_WOF_F2!$A$2:$K$673,2,FALSE)</f>
        <v>CU_ARS_2025_WOF_F2_9_plant_32</v>
      </c>
      <c r="P50" t="str">
        <f>VLOOKUP(C50,CU_ARS_2025_WOF_F2!$A$2:$K$673,3,FALSE)</f>
        <v>CU_ARS_2025_WOF_F2_9</v>
      </c>
      <c r="Q50" t="str">
        <f>VLOOKUP(C50,CU_ARS_2025_WOF_F2!$A$2:$K$673,4,FALSE)</f>
        <v>CU_ARS_2025_WOF_cross_1</v>
      </c>
      <c r="R50">
        <f>VLOOKUP(C50,CU_ARS_2025_WOF_F2!$A$2:$K$673,5,FALSE)</f>
        <v>9</v>
      </c>
      <c r="S50">
        <f>VLOOKUP(C50,CU_ARS_2025_WOF_F2!$A$2:$K$673,6,FALSE)</f>
        <v>1</v>
      </c>
      <c r="T50">
        <f>VLOOKUP(C50,CU_ARS_2025_WOF_F2!$A$2:$K$673,7,FALSE)</f>
        <v>0</v>
      </c>
      <c r="U50">
        <f>VLOOKUP(C50,CU_ARS_2025_WOF_F2!$A$2:$K$673,8,FALSE)</f>
        <v>1</v>
      </c>
      <c r="V50">
        <f>VLOOKUP(C50,CU_ARS_2025_WOF_F2!$A$2:$K$673,9,FALSE)</f>
        <v>0</v>
      </c>
      <c r="W50">
        <f>VLOOKUP(C50,CU_ARS_2025_WOF_F2!$A$2:$K$673,10,FALSE)</f>
        <v>0</v>
      </c>
      <c r="X50">
        <f>VLOOKUP(C50,CU_ARS_2025_WOF_F2!$A$2:$K$673,11,FALSE)</f>
        <v>32</v>
      </c>
      <c r="Y50" t="str">
        <f>VLOOKUP(Q50,cross_pedigree!$A$2:$B$23,2,FALSE)</f>
        <v>AURORA/AWNLESS_CURLED</v>
      </c>
    </row>
    <row r="51" spans="1:25" ht="18">
      <c r="A51" s="20" t="s">
        <v>15</v>
      </c>
      <c r="B51" s="21" t="s">
        <v>16</v>
      </c>
      <c r="C51" s="22">
        <v>753584</v>
      </c>
      <c r="D51" s="23">
        <v>1</v>
      </c>
      <c r="E51" s="24" t="str">
        <f t="shared" si="0"/>
        <v>CU_ARS_2025_WOF_F2_9_plant_24</v>
      </c>
      <c r="F51" s="21" t="s">
        <v>168</v>
      </c>
      <c r="G51" s="44" t="s">
        <v>169</v>
      </c>
      <c r="H51" s="47"/>
      <c r="I51" s="42" t="s">
        <v>1014</v>
      </c>
      <c r="J51" s="42" t="s">
        <v>1003</v>
      </c>
      <c r="K51" s="42"/>
      <c r="L51" s="42"/>
      <c r="M51" s="42"/>
      <c r="N51" t="str">
        <f>VLOOKUP(C51,CU_ARS_2025_WOF_F2!$A$2:$K$673,2,FALSE)</f>
        <v>CU_ARS_2025_WOF_F2_9_plant_24</v>
      </c>
      <c r="O51" t="str">
        <f>VLOOKUP(C51,CU_ARS_2025_WOF_F2!$A$2:$K$673,2,FALSE)</f>
        <v>CU_ARS_2025_WOF_F2_9_plant_24</v>
      </c>
      <c r="P51" t="str">
        <f>VLOOKUP(C51,CU_ARS_2025_WOF_F2!$A$2:$K$673,3,FALSE)</f>
        <v>CU_ARS_2025_WOF_F2_9</v>
      </c>
      <c r="Q51" t="str">
        <f>VLOOKUP(C51,CU_ARS_2025_WOF_F2!$A$2:$K$673,4,FALSE)</f>
        <v>CU_ARS_2025_WOF_cross_1</v>
      </c>
      <c r="R51">
        <f>VLOOKUP(C51,CU_ARS_2025_WOF_F2!$A$2:$K$673,5,FALSE)</f>
        <v>9</v>
      </c>
      <c r="S51">
        <f>VLOOKUP(C51,CU_ARS_2025_WOF_F2!$A$2:$K$673,6,FALSE)</f>
        <v>1</v>
      </c>
      <c r="T51">
        <f>VLOOKUP(C51,CU_ARS_2025_WOF_F2!$A$2:$K$673,7,FALSE)</f>
        <v>0</v>
      </c>
      <c r="U51">
        <f>VLOOKUP(C51,CU_ARS_2025_WOF_F2!$A$2:$K$673,8,FALSE)</f>
        <v>1</v>
      </c>
      <c r="V51">
        <f>VLOOKUP(C51,CU_ARS_2025_WOF_F2!$A$2:$K$673,9,FALSE)</f>
        <v>0</v>
      </c>
      <c r="W51">
        <f>VLOOKUP(C51,CU_ARS_2025_WOF_F2!$A$2:$K$673,10,FALSE)</f>
        <v>0</v>
      </c>
      <c r="X51">
        <f>VLOOKUP(C51,CU_ARS_2025_WOF_F2!$A$2:$K$673,11,FALSE)</f>
        <v>24</v>
      </c>
      <c r="Y51" t="str">
        <f>VLOOKUP(Q51,cross_pedigree!$A$2:$B$23,2,FALSE)</f>
        <v>AURORA/AWNLESS_CURLED</v>
      </c>
    </row>
    <row r="52" spans="1:25" ht="18">
      <c r="A52" s="20" t="s">
        <v>15</v>
      </c>
      <c r="B52" s="21" t="s">
        <v>16</v>
      </c>
      <c r="C52" s="22">
        <v>753583</v>
      </c>
      <c r="D52" s="23">
        <v>1</v>
      </c>
      <c r="E52" s="24" t="str">
        <f t="shared" si="0"/>
        <v>CU_ARS_2025_WOF_F2_9_plant_23</v>
      </c>
      <c r="F52" s="21" t="s">
        <v>43</v>
      </c>
      <c r="G52" s="44" t="s">
        <v>44</v>
      </c>
      <c r="H52" s="47"/>
      <c r="I52" s="42" t="s">
        <v>1014</v>
      </c>
      <c r="J52" s="42" t="s">
        <v>1003</v>
      </c>
      <c r="K52" s="42"/>
      <c r="L52" s="42"/>
      <c r="M52" s="42"/>
      <c r="N52" t="str">
        <f>VLOOKUP(C52,CU_ARS_2025_WOF_F2!$A$2:$K$673,2,FALSE)</f>
        <v>CU_ARS_2025_WOF_F2_9_plant_23</v>
      </c>
      <c r="O52" t="str">
        <f>VLOOKUP(C52,CU_ARS_2025_WOF_F2!$A$2:$K$673,2,FALSE)</f>
        <v>CU_ARS_2025_WOF_F2_9_plant_23</v>
      </c>
      <c r="P52" t="str">
        <f>VLOOKUP(C52,CU_ARS_2025_WOF_F2!$A$2:$K$673,3,FALSE)</f>
        <v>CU_ARS_2025_WOF_F2_9</v>
      </c>
      <c r="Q52" t="str">
        <f>VLOOKUP(C52,CU_ARS_2025_WOF_F2!$A$2:$K$673,4,FALSE)</f>
        <v>CU_ARS_2025_WOF_cross_1</v>
      </c>
      <c r="R52">
        <f>VLOOKUP(C52,CU_ARS_2025_WOF_F2!$A$2:$K$673,5,FALSE)</f>
        <v>9</v>
      </c>
      <c r="S52">
        <f>VLOOKUP(C52,CU_ARS_2025_WOF_F2!$A$2:$K$673,6,FALSE)</f>
        <v>1</v>
      </c>
      <c r="T52">
        <f>VLOOKUP(C52,CU_ARS_2025_WOF_F2!$A$2:$K$673,7,FALSE)</f>
        <v>0</v>
      </c>
      <c r="U52">
        <f>VLOOKUP(C52,CU_ARS_2025_WOF_F2!$A$2:$K$673,8,FALSE)</f>
        <v>1</v>
      </c>
      <c r="V52">
        <f>VLOOKUP(C52,CU_ARS_2025_WOF_F2!$A$2:$K$673,9,FALSE)</f>
        <v>0</v>
      </c>
      <c r="W52">
        <f>VLOOKUP(C52,CU_ARS_2025_WOF_F2!$A$2:$K$673,10,FALSE)</f>
        <v>0</v>
      </c>
      <c r="X52">
        <f>VLOOKUP(C52,CU_ARS_2025_WOF_F2!$A$2:$K$673,11,FALSE)</f>
        <v>23</v>
      </c>
      <c r="Y52" t="str">
        <f>VLOOKUP(Q52,cross_pedigree!$A$2:$B$23,2,FALSE)</f>
        <v>AURORA/AWNLESS_CURLED</v>
      </c>
    </row>
    <row r="53" spans="1:25" ht="18">
      <c r="A53" s="20" t="s">
        <v>15</v>
      </c>
      <c r="B53" s="21" t="s">
        <v>16</v>
      </c>
      <c r="C53" s="22">
        <v>753582</v>
      </c>
      <c r="D53" s="23">
        <v>1</v>
      </c>
      <c r="E53" s="24" t="str">
        <f t="shared" si="0"/>
        <v>CU_ARS_2025_WOF_F2_9_plant_22</v>
      </c>
      <c r="F53" s="21" t="s">
        <v>45</v>
      </c>
      <c r="G53" s="44" t="s">
        <v>46</v>
      </c>
      <c r="H53" s="47"/>
      <c r="I53" s="42" t="s">
        <v>1014</v>
      </c>
      <c r="J53" s="42" t="s">
        <v>1003</v>
      </c>
      <c r="K53" s="42"/>
      <c r="L53" s="42"/>
      <c r="M53" s="42"/>
      <c r="N53" t="str">
        <f>VLOOKUP(C53,CU_ARS_2025_WOF_F2!$A$2:$K$673,2,FALSE)</f>
        <v>CU_ARS_2025_WOF_F2_9_plant_22</v>
      </c>
      <c r="O53" t="str">
        <f>VLOOKUP(C53,CU_ARS_2025_WOF_F2!$A$2:$K$673,2,FALSE)</f>
        <v>CU_ARS_2025_WOF_F2_9_plant_22</v>
      </c>
      <c r="P53" t="str">
        <f>VLOOKUP(C53,CU_ARS_2025_WOF_F2!$A$2:$K$673,3,FALSE)</f>
        <v>CU_ARS_2025_WOF_F2_9</v>
      </c>
      <c r="Q53" t="str">
        <f>VLOOKUP(C53,CU_ARS_2025_WOF_F2!$A$2:$K$673,4,FALSE)</f>
        <v>CU_ARS_2025_WOF_cross_1</v>
      </c>
      <c r="R53">
        <f>VLOOKUP(C53,CU_ARS_2025_WOF_F2!$A$2:$K$673,5,FALSE)</f>
        <v>9</v>
      </c>
      <c r="S53">
        <f>VLOOKUP(C53,CU_ARS_2025_WOF_F2!$A$2:$K$673,6,FALSE)</f>
        <v>1</v>
      </c>
      <c r="T53">
        <f>VLOOKUP(C53,CU_ARS_2025_WOF_F2!$A$2:$K$673,7,FALSE)</f>
        <v>0</v>
      </c>
      <c r="U53">
        <f>VLOOKUP(C53,CU_ARS_2025_WOF_F2!$A$2:$K$673,8,FALSE)</f>
        <v>1</v>
      </c>
      <c r="V53">
        <f>VLOOKUP(C53,CU_ARS_2025_WOF_F2!$A$2:$K$673,9,FALSE)</f>
        <v>0</v>
      </c>
      <c r="W53">
        <f>VLOOKUP(C53,CU_ARS_2025_WOF_F2!$A$2:$K$673,10,FALSE)</f>
        <v>0</v>
      </c>
      <c r="X53">
        <f>VLOOKUP(C53,CU_ARS_2025_WOF_F2!$A$2:$K$673,11,FALSE)</f>
        <v>22</v>
      </c>
      <c r="Y53" t="str">
        <f>VLOOKUP(Q53,cross_pedigree!$A$2:$B$23,2,FALSE)</f>
        <v>AURORA/AWNLESS_CURLED</v>
      </c>
    </row>
    <row r="54" spans="1:25" ht="18">
      <c r="A54" s="20" t="s">
        <v>15</v>
      </c>
      <c r="B54" s="21" t="s">
        <v>16</v>
      </c>
      <c r="C54" s="22">
        <v>753566</v>
      </c>
      <c r="D54" s="23">
        <v>1</v>
      </c>
      <c r="E54" s="24" t="str">
        <f t="shared" si="0"/>
        <v>CU_ARS_2025_WOF_F2_9_plant_6</v>
      </c>
      <c r="F54" s="21" t="s">
        <v>170</v>
      </c>
      <c r="G54" s="44" t="s">
        <v>171</v>
      </c>
      <c r="H54" s="47"/>
      <c r="I54" s="42" t="s">
        <v>1014</v>
      </c>
      <c r="J54" s="42" t="s">
        <v>1003</v>
      </c>
      <c r="K54" s="42"/>
      <c r="L54" s="42"/>
      <c r="M54" s="42"/>
      <c r="N54" t="str">
        <f>VLOOKUP(C54,CU_ARS_2025_WOF_F2!$A$2:$K$673,2,FALSE)</f>
        <v>CU_ARS_2025_WOF_F2_9_plant_6</v>
      </c>
      <c r="O54" t="str">
        <f>VLOOKUP(C54,CU_ARS_2025_WOF_F2!$A$2:$K$673,2,FALSE)</f>
        <v>CU_ARS_2025_WOF_F2_9_plant_6</v>
      </c>
      <c r="P54" t="str">
        <f>VLOOKUP(C54,CU_ARS_2025_WOF_F2!$A$2:$K$673,3,FALSE)</f>
        <v>CU_ARS_2025_WOF_F2_9</v>
      </c>
      <c r="Q54" t="str">
        <f>VLOOKUP(C54,CU_ARS_2025_WOF_F2!$A$2:$K$673,4,FALSE)</f>
        <v>CU_ARS_2025_WOF_cross_1</v>
      </c>
      <c r="R54">
        <f>VLOOKUP(C54,CU_ARS_2025_WOF_F2!$A$2:$K$673,5,FALSE)</f>
        <v>9</v>
      </c>
      <c r="S54">
        <f>VLOOKUP(C54,CU_ARS_2025_WOF_F2!$A$2:$K$673,6,FALSE)</f>
        <v>1</v>
      </c>
      <c r="T54">
        <f>VLOOKUP(C54,CU_ARS_2025_WOF_F2!$A$2:$K$673,7,FALSE)</f>
        <v>0</v>
      </c>
      <c r="U54">
        <f>VLOOKUP(C54,CU_ARS_2025_WOF_F2!$A$2:$K$673,8,FALSE)</f>
        <v>1</v>
      </c>
      <c r="V54">
        <f>VLOOKUP(C54,CU_ARS_2025_WOF_F2!$A$2:$K$673,9,FALSE)</f>
        <v>0</v>
      </c>
      <c r="W54">
        <f>VLOOKUP(C54,CU_ARS_2025_WOF_F2!$A$2:$K$673,10,FALSE)</f>
        <v>0</v>
      </c>
      <c r="X54">
        <f>VLOOKUP(C54,CU_ARS_2025_WOF_F2!$A$2:$K$673,11,FALSE)</f>
        <v>6</v>
      </c>
      <c r="Y54" t="str">
        <f>VLOOKUP(Q54,cross_pedigree!$A$2:$B$23,2,FALSE)</f>
        <v>AURORA/AWNLESS_CURLED</v>
      </c>
    </row>
    <row r="55" spans="1:25" ht="18">
      <c r="A55" s="20" t="s">
        <v>15</v>
      </c>
      <c r="B55" s="21" t="s">
        <v>16</v>
      </c>
      <c r="C55" s="22">
        <v>753838</v>
      </c>
      <c r="D55" s="23">
        <v>1</v>
      </c>
      <c r="E55" s="24" t="str">
        <f t="shared" si="0"/>
        <v>CU_ARS_2025_WOF_F2_1_plant_59</v>
      </c>
      <c r="F55" s="21" t="s">
        <v>29</v>
      </c>
      <c r="G55" s="44" t="s">
        <v>30</v>
      </c>
      <c r="H55" s="47"/>
      <c r="I55" s="42" t="s">
        <v>1036</v>
      </c>
      <c r="J55" s="42" t="s">
        <v>1003</v>
      </c>
      <c r="K55" s="42"/>
      <c r="L55" s="42"/>
      <c r="M55" s="42"/>
      <c r="N55" t="str">
        <f>VLOOKUP(C55,CU_ARS_2025_WOF_F2!$A$2:$K$673,2,FALSE)</f>
        <v>CU_ARS_2025_WOF_F2_1_plant_59</v>
      </c>
      <c r="O55" t="str">
        <f>VLOOKUP(C55,CU_ARS_2025_WOF_F2!$A$2:$K$673,2,FALSE)</f>
        <v>CU_ARS_2025_WOF_F2_1_plant_59</v>
      </c>
      <c r="P55" t="str">
        <f>VLOOKUP(C55,CU_ARS_2025_WOF_F2!$A$2:$K$673,3,FALSE)</f>
        <v>CU_ARS_2025_WOF_F2_1</v>
      </c>
      <c r="Q55" t="str">
        <f>VLOOKUP(C55,CU_ARS_2025_WOF_F2!$A$2:$K$673,4,FALSE)</f>
        <v>CU_ARS_2025_WOF_cross_55</v>
      </c>
      <c r="R55">
        <f>VLOOKUP(C55,CU_ARS_2025_WOF_F2!$A$2:$K$673,5,FALSE)</f>
        <v>1</v>
      </c>
      <c r="S55">
        <f>VLOOKUP(C55,CU_ARS_2025_WOF_F2!$A$2:$K$673,6,FALSE)</f>
        <v>1</v>
      </c>
      <c r="T55">
        <f>VLOOKUP(C55,CU_ARS_2025_WOF_F2!$A$2:$K$673,7,FALSE)</f>
        <v>0</v>
      </c>
      <c r="U55">
        <f>VLOOKUP(C55,CU_ARS_2025_WOF_F2!$A$2:$K$673,8,FALSE)</f>
        <v>1</v>
      </c>
      <c r="V55">
        <f>VLOOKUP(C55,CU_ARS_2025_WOF_F2!$A$2:$K$673,9,FALSE)</f>
        <v>0</v>
      </c>
      <c r="W55">
        <f>VLOOKUP(C55,CU_ARS_2025_WOF_F2!$A$2:$K$673,10,FALSE)</f>
        <v>0</v>
      </c>
      <c r="X55">
        <f>VLOOKUP(C55,CU_ARS_2025_WOF_F2!$A$2:$K$673,11,FALSE)</f>
        <v>59</v>
      </c>
      <c r="Y55" t="str">
        <f>VLOOKUP(Q55,cross_pedigree!$A$2:$B$23,2,FALSE)</f>
        <v>PA8014-840/NC20-4452</v>
      </c>
    </row>
    <row r="56" spans="1:25" ht="18">
      <c r="A56" s="20" t="s">
        <v>15</v>
      </c>
      <c r="B56" s="21" t="s">
        <v>16</v>
      </c>
      <c r="C56" s="22">
        <v>753839</v>
      </c>
      <c r="D56" s="23">
        <v>1</v>
      </c>
      <c r="E56" s="24" t="str">
        <f t="shared" si="0"/>
        <v>CU_ARS_2025_WOF_F2_1_plant_60</v>
      </c>
      <c r="F56" s="21" t="s">
        <v>31</v>
      </c>
      <c r="G56" s="44" t="s">
        <v>32</v>
      </c>
      <c r="H56" s="47"/>
      <c r="I56" s="42" t="s">
        <v>1036</v>
      </c>
      <c r="J56" s="42" t="s">
        <v>1003</v>
      </c>
      <c r="K56" s="42"/>
      <c r="L56" s="42"/>
      <c r="M56" s="42"/>
      <c r="N56" t="str">
        <f>VLOOKUP(C56,CU_ARS_2025_WOF_F2!$A$2:$K$673,2,FALSE)</f>
        <v>CU_ARS_2025_WOF_F2_1_plant_60</v>
      </c>
      <c r="O56" t="str">
        <f>VLOOKUP(C56,CU_ARS_2025_WOF_F2!$A$2:$K$673,2,FALSE)</f>
        <v>CU_ARS_2025_WOF_F2_1_plant_60</v>
      </c>
      <c r="P56" t="str">
        <f>VLOOKUP(C56,CU_ARS_2025_WOF_F2!$A$2:$K$673,3,FALSE)</f>
        <v>CU_ARS_2025_WOF_F2_1</v>
      </c>
      <c r="Q56" t="str">
        <f>VLOOKUP(C56,CU_ARS_2025_WOF_F2!$A$2:$K$673,4,FALSE)</f>
        <v>CU_ARS_2025_WOF_cross_55</v>
      </c>
      <c r="R56">
        <f>VLOOKUP(C56,CU_ARS_2025_WOF_F2!$A$2:$K$673,5,FALSE)</f>
        <v>1</v>
      </c>
      <c r="S56">
        <f>VLOOKUP(C56,CU_ARS_2025_WOF_F2!$A$2:$K$673,6,FALSE)</f>
        <v>1</v>
      </c>
      <c r="T56">
        <f>VLOOKUP(C56,CU_ARS_2025_WOF_F2!$A$2:$K$673,7,FALSE)</f>
        <v>0</v>
      </c>
      <c r="U56">
        <f>VLOOKUP(C56,CU_ARS_2025_WOF_F2!$A$2:$K$673,8,FALSE)</f>
        <v>1</v>
      </c>
      <c r="V56">
        <f>VLOOKUP(C56,CU_ARS_2025_WOF_F2!$A$2:$K$673,9,FALSE)</f>
        <v>0</v>
      </c>
      <c r="W56">
        <f>VLOOKUP(C56,CU_ARS_2025_WOF_F2!$A$2:$K$673,10,FALSE)</f>
        <v>0</v>
      </c>
      <c r="X56">
        <f>VLOOKUP(C56,CU_ARS_2025_WOF_F2!$A$2:$K$673,11,FALSE)</f>
        <v>60</v>
      </c>
      <c r="Y56" t="str">
        <f>VLOOKUP(Q56,cross_pedigree!$A$2:$B$23,2,FALSE)</f>
        <v>PA8014-840/NC20-4452</v>
      </c>
    </row>
    <row r="57" spans="1:25" ht="18">
      <c r="A57" s="20" t="s">
        <v>15</v>
      </c>
      <c r="B57" s="21" t="s">
        <v>16</v>
      </c>
      <c r="C57" s="22">
        <v>753840</v>
      </c>
      <c r="D57" s="23">
        <v>1</v>
      </c>
      <c r="E57" s="24" t="str">
        <f t="shared" si="0"/>
        <v>CU_ARS_2025_WOF_F2_1_plant_61</v>
      </c>
      <c r="F57" s="21" t="s">
        <v>33</v>
      </c>
      <c r="G57" s="44" t="s">
        <v>34</v>
      </c>
      <c r="H57" s="47"/>
      <c r="I57" s="42" t="s">
        <v>1036</v>
      </c>
      <c r="J57" s="42" t="s">
        <v>1003</v>
      </c>
      <c r="K57" s="42"/>
      <c r="L57" s="42"/>
      <c r="M57" s="42"/>
      <c r="N57" t="str">
        <f>VLOOKUP(C57,CU_ARS_2025_WOF_F2!$A$2:$K$673,2,FALSE)</f>
        <v>CU_ARS_2025_WOF_F2_1_plant_61</v>
      </c>
      <c r="O57" t="str">
        <f>VLOOKUP(C57,CU_ARS_2025_WOF_F2!$A$2:$K$673,2,FALSE)</f>
        <v>CU_ARS_2025_WOF_F2_1_plant_61</v>
      </c>
      <c r="P57" t="str">
        <f>VLOOKUP(C57,CU_ARS_2025_WOF_F2!$A$2:$K$673,3,FALSE)</f>
        <v>CU_ARS_2025_WOF_F2_1</v>
      </c>
      <c r="Q57" t="str">
        <f>VLOOKUP(C57,CU_ARS_2025_WOF_F2!$A$2:$K$673,4,FALSE)</f>
        <v>CU_ARS_2025_WOF_cross_55</v>
      </c>
      <c r="R57">
        <f>VLOOKUP(C57,CU_ARS_2025_WOF_F2!$A$2:$K$673,5,FALSE)</f>
        <v>1</v>
      </c>
      <c r="S57">
        <f>VLOOKUP(C57,CU_ARS_2025_WOF_F2!$A$2:$K$673,6,FALSE)</f>
        <v>1</v>
      </c>
      <c r="T57">
        <f>VLOOKUP(C57,CU_ARS_2025_WOF_F2!$A$2:$K$673,7,FALSE)</f>
        <v>0</v>
      </c>
      <c r="U57">
        <f>VLOOKUP(C57,CU_ARS_2025_WOF_F2!$A$2:$K$673,8,FALSE)</f>
        <v>1</v>
      </c>
      <c r="V57">
        <f>VLOOKUP(C57,CU_ARS_2025_WOF_F2!$A$2:$K$673,9,FALSE)</f>
        <v>0</v>
      </c>
      <c r="W57">
        <f>VLOOKUP(C57,CU_ARS_2025_WOF_F2!$A$2:$K$673,10,FALSE)</f>
        <v>0</v>
      </c>
      <c r="X57">
        <f>VLOOKUP(C57,CU_ARS_2025_WOF_F2!$A$2:$K$673,11,FALSE)</f>
        <v>61</v>
      </c>
      <c r="Y57" t="str">
        <f>VLOOKUP(Q57,cross_pedigree!$A$2:$B$23,2,FALSE)</f>
        <v>PA8014-840/NC20-4452</v>
      </c>
    </row>
    <row r="58" spans="1:25" ht="18">
      <c r="A58" s="20" t="s">
        <v>15</v>
      </c>
      <c r="B58" s="21" t="s">
        <v>16</v>
      </c>
      <c r="C58" s="22">
        <v>753510</v>
      </c>
      <c r="D58" s="23">
        <v>1</v>
      </c>
      <c r="E58" s="24" t="str">
        <f t="shared" si="0"/>
        <v>CU_ARS_2025_WOF_F2_2_plant_22</v>
      </c>
      <c r="F58" s="21" t="s">
        <v>35</v>
      </c>
      <c r="G58" s="44" t="s">
        <v>36</v>
      </c>
      <c r="H58" s="47"/>
      <c r="I58" s="42" t="s">
        <v>1034</v>
      </c>
      <c r="J58" s="42" t="s">
        <v>1003</v>
      </c>
      <c r="K58" s="42"/>
      <c r="L58" s="42"/>
      <c r="M58" s="42"/>
      <c r="N58" t="str">
        <f>VLOOKUP(C58,CU_ARS_2025_WOF_F2!$A$2:$K$673,2,FALSE)</f>
        <v>CU_ARS_2025_WOF_F2_2_plant_22</v>
      </c>
      <c r="O58" t="str">
        <f>VLOOKUP(C58,CU_ARS_2025_WOF_F2!$A$2:$K$673,2,FALSE)</f>
        <v>CU_ARS_2025_WOF_F2_2_plant_22</v>
      </c>
      <c r="P58" t="str">
        <f>VLOOKUP(C58,CU_ARS_2025_WOF_F2!$A$2:$K$673,3,FALSE)</f>
        <v>CU_ARS_2025_WOF_F2_2</v>
      </c>
      <c r="Q58" t="str">
        <f>VLOOKUP(C58,CU_ARS_2025_WOF_F2!$A$2:$K$673,4,FALSE)</f>
        <v>CU_ARS_2025_WOF_cross_45</v>
      </c>
      <c r="R58">
        <f>VLOOKUP(C58,CU_ARS_2025_WOF_F2!$A$2:$K$673,5,FALSE)</f>
        <v>2</v>
      </c>
      <c r="S58">
        <f>VLOOKUP(C58,CU_ARS_2025_WOF_F2!$A$2:$K$673,6,FALSE)</f>
        <v>1</v>
      </c>
      <c r="T58">
        <f>VLOOKUP(C58,CU_ARS_2025_WOF_F2!$A$2:$K$673,7,FALSE)</f>
        <v>0</v>
      </c>
      <c r="U58">
        <f>VLOOKUP(C58,CU_ARS_2025_WOF_F2!$A$2:$K$673,8,FALSE)</f>
        <v>1</v>
      </c>
      <c r="V58">
        <f>VLOOKUP(C58,CU_ARS_2025_WOF_F2!$A$2:$K$673,9,FALSE)</f>
        <v>0</v>
      </c>
      <c r="W58">
        <f>VLOOKUP(C58,CU_ARS_2025_WOF_F2!$A$2:$K$673,10,FALSE)</f>
        <v>0</v>
      </c>
      <c r="X58">
        <f>VLOOKUP(C58,CU_ARS_2025_WOF_F2!$A$2:$K$673,11,FALSE)</f>
        <v>22</v>
      </c>
      <c r="Y58" t="str">
        <f>VLOOKUP(Q58,cross_pedigree!$A$2:$B$23,2,FALSE)</f>
        <v>NC20-4526/AURORA</v>
      </c>
    </row>
    <row r="59" spans="1:25" ht="18">
      <c r="A59" s="20" t="s">
        <v>15</v>
      </c>
      <c r="B59" s="21" t="s">
        <v>16</v>
      </c>
      <c r="C59" s="22">
        <v>753511</v>
      </c>
      <c r="D59" s="23">
        <v>1</v>
      </c>
      <c r="E59" s="24" t="str">
        <f t="shared" si="0"/>
        <v>CU_ARS_2025_WOF_F2_2_plant_23</v>
      </c>
      <c r="F59" s="21" t="s">
        <v>37</v>
      </c>
      <c r="G59" s="44" t="s">
        <v>38</v>
      </c>
      <c r="H59" s="47"/>
      <c r="I59" s="42" t="s">
        <v>1034</v>
      </c>
      <c r="J59" s="42" t="s">
        <v>1003</v>
      </c>
      <c r="K59" s="42"/>
      <c r="L59" s="42"/>
      <c r="M59" s="42"/>
      <c r="N59" t="str">
        <f>VLOOKUP(C59,CU_ARS_2025_WOF_F2!$A$2:$K$673,2,FALSE)</f>
        <v>CU_ARS_2025_WOF_F2_2_plant_23</v>
      </c>
      <c r="O59" t="str">
        <f>VLOOKUP(C59,CU_ARS_2025_WOF_F2!$A$2:$K$673,2,FALSE)</f>
        <v>CU_ARS_2025_WOF_F2_2_plant_23</v>
      </c>
      <c r="P59" t="str">
        <f>VLOOKUP(C59,CU_ARS_2025_WOF_F2!$A$2:$K$673,3,FALSE)</f>
        <v>CU_ARS_2025_WOF_F2_2</v>
      </c>
      <c r="Q59" t="str">
        <f>VLOOKUP(C59,CU_ARS_2025_WOF_F2!$A$2:$K$673,4,FALSE)</f>
        <v>CU_ARS_2025_WOF_cross_45</v>
      </c>
      <c r="R59">
        <f>VLOOKUP(C59,CU_ARS_2025_WOF_F2!$A$2:$K$673,5,FALSE)</f>
        <v>2</v>
      </c>
      <c r="S59">
        <f>VLOOKUP(C59,CU_ARS_2025_WOF_F2!$A$2:$K$673,6,FALSE)</f>
        <v>1</v>
      </c>
      <c r="T59">
        <f>VLOOKUP(C59,CU_ARS_2025_WOF_F2!$A$2:$K$673,7,FALSE)</f>
        <v>0</v>
      </c>
      <c r="U59">
        <f>VLOOKUP(C59,CU_ARS_2025_WOF_F2!$A$2:$K$673,8,FALSE)</f>
        <v>1</v>
      </c>
      <c r="V59">
        <f>VLOOKUP(C59,CU_ARS_2025_WOF_F2!$A$2:$K$673,9,FALSE)</f>
        <v>0</v>
      </c>
      <c r="W59">
        <f>VLOOKUP(C59,CU_ARS_2025_WOF_F2!$A$2:$K$673,10,FALSE)</f>
        <v>0</v>
      </c>
      <c r="X59">
        <f>VLOOKUP(C59,CU_ARS_2025_WOF_F2!$A$2:$K$673,11,FALSE)</f>
        <v>23</v>
      </c>
      <c r="Y59" t="str">
        <f>VLOOKUP(Q59,cross_pedigree!$A$2:$B$23,2,FALSE)</f>
        <v>NC20-4526/AURORA</v>
      </c>
    </row>
    <row r="60" spans="1:25" ht="18">
      <c r="A60" s="20" t="s">
        <v>15</v>
      </c>
      <c r="B60" s="21" t="s">
        <v>16</v>
      </c>
      <c r="C60" s="22">
        <v>753577</v>
      </c>
      <c r="D60" s="23">
        <v>1</v>
      </c>
      <c r="E60" s="24" t="str">
        <f t="shared" si="0"/>
        <v>CU_ARS_2025_WOF_F2_9_plant_17</v>
      </c>
      <c r="F60" s="21" t="s">
        <v>172</v>
      </c>
      <c r="G60" s="44" t="s">
        <v>173</v>
      </c>
      <c r="H60" s="48"/>
      <c r="I60" s="42" t="s">
        <v>1014</v>
      </c>
      <c r="J60" s="42" t="s">
        <v>1003</v>
      </c>
      <c r="K60" s="42"/>
      <c r="L60" s="42"/>
      <c r="M60" s="42"/>
      <c r="N60" t="str">
        <f>VLOOKUP(C60,CU_ARS_2025_WOF_F2!$A$2:$K$673,2,FALSE)</f>
        <v>CU_ARS_2025_WOF_F2_9_plant_17</v>
      </c>
      <c r="O60" t="str">
        <f>VLOOKUP(C60,CU_ARS_2025_WOF_F2!$A$2:$K$673,2,FALSE)</f>
        <v>CU_ARS_2025_WOF_F2_9_plant_17</v>
      </c>
      <c r="P60" t="str">
        <f>VLOOKUP(C60,CU_ARS_2025_WOF_F2!$A$2:$K$673,3,FALSE)</f>
        <v>CU_ARS_2025_WOF_F2_9</v>
      </c>
      <c r="Q60" t="str">
        <f>VLOOKUP(C60,CU_ARS_2025_WOF_F2!$A$2:$K$673,4,FALSE)</f>
        <v>CU_ARS_2025_WOF_cross_1</v>
      </c>
      <c r="R60">
        <f>VLOOKUP(C60,CU_ARS_2025_WOF_F2!$A$2:$K$673,5,FALSE)</f>
        <v>9</v>
      </c>
      <c r="S60">
        <f>VLOOKUP(C60,CU_ARS_2025_WOF_F2!$A$2:$K$673,6,FALSE)</f>
        <v>1</v>
      </c>
      <c r="T60">
        <f>VLOOKUP(C60,CU_ARS_2025_WOF_F2!$A$2:$K$673,7,FALSE)</f>
        <v>0</v>
      </c>
      <c r="U60">
        <f>VLOOKUP(C60,CU_ARS_2025_WOF_F2!$A$2:$K$673,8,FALSE)</f>
        <v>1</v>
      </c>
      <c r="V60">
        <f>VLOOKUP(C60,CU_ARS_2025_WOF_F2!$A$2:$K$673,9,FALSE)</f>
        <v>0</v>
      </c>
      <c r="W60">
        <f>VLOOKUP(C60,CU_ARS_2025_WOF_F2!$A$2:$K$673,10,FALSE)</f>
        <v>0</v>
      </c>
      <c r="X60">
        <f>VLOOKUP(C60,CU_ARS_2025_WOF_F2!$A$2:$K$673,11,FALSE)</f>
        <v>17</v>
      </c>
      <c r="Y60" t="str">
        <f>VLOOKUP(Q60,cross_pedigree!$A$2:$B$23,2,FALSE)</f>
        <v>AURORA/AWNLESS_CURLED</v>
      </c>
    </row>
    <row r="61" spans="1:25" ht="18">
      <c r="A61" s="20" t="s">
        <v>15</v>
      </c>
      <c r="B61" s="21" t="s">
        <v>16</v>
      </c>
      <c r="C61" s="22">
        <v>753578</v>
      </c>
      <c r="D61" s="23">
        <v>1</v>
      </c>
      <c r="E61" s="24" t="str">
        <f t="shared" si="0"/>
        <v>CU_ARS_2025_WOF_F2_9_plant_18</v>
      </c>
      <c r="F61" s="21" t="s">
        <v>174</v>
      </c>
      <c r="G61" s="44" t="s">
        <v>175</v>
      </c>
      <c r="H61" s="47"/>
      <c r="I61" s="42" t="s">
        <v>1014</v>
      </c>
      <c r="J61" s="42" t="s">
        <v>1003</v>
      </c>
      <c r="K61" s="42"/>
      <c r="L61" s="42"/>
      <c r="M61" s="42"/>
      <c r="N61" t="str">
        <f>VLOOKUP(C61,CU_ARS_2025_WOF_F2!$A$2:$K$673,2,FALSE)</f>
        <v>CU_ARS_2025_WOF_F2_9_plant_18</v>
      </c>
      <c r="O61" t="str">
        <f>VLOOKUP(C61,CU_ARS_2025_WOF_F2!$A$2:$K$673,2,FALSE)</f>
        <v>CU_ARS_2025_WOF_F2_9_plant_18</v>
      </c>
      <c r="P61" t="str">
        <f>VLOOKUP(C61,CU_ARS_2025_WOF_F2!$A$2:$K$673,3,FALSE)</f>
        <v>CU_ARS_2025_WOF_F2_9</v>
      </c>
      <c r="Q61" t="str">
        <f>VLOOKUP(C61,CU_ARS_2025_WOF_F2!$A$2:$K$673,4,FALSE)</f>
        <v>CU_ARS_2025_WOF_cross_1</v>
      </c>
      <c r="R61">
        <f>VLOOKUP(C61,CU_ARS_2025_WOF_F2!$A$2:$K$673,5,FALSE)</f>
        <v>9</v>
      </c>
      <c r="S61">
        <f>VLOOKUP(C61,CU_ARS_2025_WOF_F2!$A$2:$K$673,6,FALSE)</f>
        <v>1</v>
      </c>
      <c r="T61">
        <f>VLOOKUP(C61,CU_ARS_2025_WOF_F2!$A$2:$K$673,7,FALSE)</f>
        <v>0</v>
      </c>
      <c r="U61">
        <f>VLOOKUP(C61,CU_ARS_2025_WOF_F2!$A$2:$K$673,8,FALSE)</f>
        <v>1</v>
      </c>
      <c r="V61">
        <f>VLOOKUP(C61,CU_ARS_2025_WOF_F2!$A$2:$K$673,9,FALSE)</f>
        <v>0</v>
      </c>
      <c r="W61">
        <f>VLOOKUP(C61,CU_ARS_2025_WOF_F2!$A$2:$K$673,10,FALSE)</f>
        <v>0</v>
      </c>
      <c r="X61">
        <f>VLOOKUP(C61,CU_ARS_2025_WOF_F2!$A$2:$K$673,11,FALSE)</f>
        <v>18</v>
      </c>
      <c r="Y61" t="str">
        <f>VLOOKUP(Q61,cross_pedigree!$A$2:$B$23,2,FALSE)</f>
        <v>AURORA/AWNLESS_CURLED</v>
      </c>
    </row>
    <row r="62" spans="1:25" ht="18">
      <c r="A62" s="20" t="s">
        <v>15</v>
      </c>
      <c r="B62" s="21" t="s">
        <v>16</v>
      </c>
      <c r="C62" s="22">
        <v>753579</v>
      </c>
      <c r="D62" s="23">
        <v>1</v>
      </c>
      <c r="E62" s="24" t="str">
        <f t="shared" si="0"/>
        <v>CU_ARS_2025_WOF_F2_9_plant_19</v>
      </c>
      <c r="F62" s="21" t="s">
        <v>176</v>
      </c>
      <c r="G62" s="44" t="s">
        <v>177</v>
      </c>
      <c r="H62" s="47"/>
      <c r="I62" s="42" t="s">
        <v>1014</v>
      </c>
      <c r="J62" s="42" t="s">
        <v>1003</v>
      </c>
      <c r="K62" s="42"/>
      <c r="L62" s="42"/>
      <c r="M62" s="42"/>
      <c r="N62" t="str">
        <f>VLOOKUP(C62,CU_ARS_2025_WOF_F2!$A$2:$K$673,2,FALSE)</f>
        <v>CU_ARS_2025_WOF_F2_9_plant_19</v>
      </c>
      <c r="O62" t="str">
        <f>VLOOKUP(C62,CU_ARS_2025_WOF_F2!$A$2:$K$673,2,FALSE)</f>
        <v>CU_ARS_2025_WOF_F2_9_plant_19</v>
      </c>
      <c r="P62" t="str">
        <f>VLOOKUP(C62,CU_ARS_2025_WOF_F2!$A$2:$K$673,3,FALSE)</f>
        <v>CU_ARS_2025_WOF_F2_9</v>
      </c>
      <c r="Q62" t="str">
        <f>VLOOKUP(C62,CU_ARS_2025_WOF_F2!$A$2:$K$673,4,FALSE)</f>
        <v>CU_ARS_2025_WOF_cross_1</v>
      </c>
      <c r="R62">
        <f>VLOOKUP(C62,CU_ARS_2025_WOF_F2!$A$2:$K$673,5,FALSE)</f>
        <v>9</v>
      </c>
      <c r="S62">
        <f>VLOOKUP(C62,CU_ARS_2025_WOF_F2!$A$2:$K$673,6,FALSE)</f>
        <v>1</v>
      </c>
      <c r="T62">
        <f>VLOOKUP(C62,CU_ARS_2025_WOF_F2!$A$2:$K$673,7,FALSE)</f>
        <v>0</v>
      </c>
      <c r="U62">
        <f>VLOOKUP(C62,CU_ARS_2025_WOF_F2!$A$2:$K$673,8,FALSE)</f>
        <v>1</v>
      </c>
      <c r="V62">
        <f>VLOOKUP(C62,CU_ARS_2025_WOF_F2!$A$2:$K$673,9,FALSE)</f>
        <v>0</v>
      </c>
      <c r="W62">
        <f>VLOOKUP(C62,CU_ARS_2025_WOF_F2!$A$2:$K$673,10,FALSE)</f>
        <v>0</v>
      </c>
      <c r="X62">
        <f>VLOOKUP(C62,CU_ARS_2025_WOF_F2!$A$2:$K$673,11,FALSE)</f>
        <v>19</v>
      </c>
      <c r="Y62" t="str">
        <f>VLOOKUP(Q62,cross_pedigree!$A$2:$B$23,2,FALSE)</f>
        <v>AURORA/AWNLESS_CURLED</v>
      </c>
    </row>
    <row r="63" spans="1:25" ht="18">
      <c r="A63" s="20" t="s">
        <v>15</v>
      </c>
      <c r="B63" s="21" t="s">
        <v>16</v>
      </c>
      <c r="C63" s="22">
        <v>753580</v>
      </c>
      <c r="D63" s="23">
        <v>1</v>
      </c>
      <c r="E63" s="24" t="str">
        <f t="shared" si="0"/>
        <v>CU_ARS_2025_WOF_F2_9_plant_20</v>
      </c>
      <c r="F63" s="21" t="s">
        <v>178</v>
      </c>
      <c r="G63" s="44" t="s">
        <v>179</v>
      </c>
      <c r="H63" s="47"/>
      <c r="I63" s="42" t="s">
        <v>1014</v>
      </c>
      <c r="J63" s="42" t="s">
        <v>1003</v>
      </c>
      <c r="K63" s="42"/>
      <c r="L63" s="42"/>
      <c r="M63" s="42"/>
      <c r="N63" t="str">
        <f>VLOOKUP(C63,CU_ARS_2025_WOF_F2!$A$2:$K$673,2,FALSE)</f>
        <v>CU_ARS_2025_WOF_F2_9_plant_20</v>
      </c>
      <c r="O63" t="str">
        <f>VLOOKUP(C63,CU_ARS_2025_WOF_F2!$A$2:$K$673,2,FALSE)</f>
        <v>CU_ARS_2025_WOF_F2_9_plant_20</v>
      </c>
      <c r="P63" t="str">
        <f>VLOOKUP(C63,CU_ARS_2025_WOF_F2!$A$2:$K$673,3,FALSE)</f>
        <v>CU_ARS_2025_WOF_F2_9</v>
      </c>
      <c r="Q63" t="str">
        <f>VLOOKUP(C63,CU_ARS_2025_WOF_F2!$A$2:$K$673,4,FALSE)</f>
        <v>CU_ARS_2025_WOF_cross_1</v>
      </c>
      <c r="R63">
        <f>VLOOKUP(C63,CU_ARS_2025_WOF_F2!$A$2:$K$673,5,FALSE)</f>
        <v>9</v>
      </c>
      <c r="S63">
        <f>VLOOKUP(C63,CU_ARS_2025_WOF_F2!$A$2:$K$673,6,FALSE)</f>
        <v>1</v>
      </c>
      <c r="T63">
        <f>VLOOKUP(C63,CU_ARS_2025_WOF_F2!$A$2:$K$673,7,FALSE)</f>
        <v>0</v>
      </c>
      <c r="U63">
        <f>VLOOKUP(C63,CU_ARS_2025_WOF_F2!$A$2:$K$673,8,FALSE)</f>
        <v>1</v>
      </c>
      <c r="V63">
        <f>VLOOKUP(C63,CU_ARS_2025_WOF_F2!$A$2:$K$673,9,FALSE)</f>
        <v>0</v>
      </c>
      <c r="W63">
        <f>VLOOKUP(C63,CU_ARS_2025_WOF_F2!$A$2:$K$673,10,FALSE)</f>
        <v>0</v>
      </c>
      <c r="X63">
        <f>VLOOKUP(C63,CU_ARS_2025_WOF_F2!$A$2:$K$673,11,FALSE)</f>
        <v>20</v>
      </c>
      <c r="Y63" t="str">
        <f>VLOOKUP(Q63,cross_pedigree!$A$2:$B$23,2,FALSE)</f>
        <v>AURORA/AWNLESS_CURLED</v>
      </c>
    </row>
    <row r="64" spans="1:25" ht="18">
      <c r="A64" s="20" t="s">
        <v>15</v>
      </c>
      <c r="B64" s="21" t="s">
        <v>16</v>
      </c>
      <c r="C64" s="22">
        <v>753581</v>
      </c>
      <c r="D64" s="23">
        <v>1</v>
      </c>
      <c r="E64" s="24" t="str">
        <f t="shared" si="0"/>
        <v>CU_ARS_2025_WOF_F2_9_plant_21</v>
      </c>
      <c r="F64" s="21" t="s">
        <v>180</v>
      </c>
      <c r="G64" s="44" t="s">
        <v>181</v>
      </c>
      <c r="H64" s="47"/>
      <c r="I64" s="42" t="s">
        <v>1014</v>
      </c>
      <c r="J64" s="42" t="s">
        <v>1003</v>
      </c>
      <c r="K64" s="42"/>
      <c r="L64" s="42"/>
      <c r="M64" s="42"/>
      <c r="N64" t="str">
        <f>VLOOKUP(C64,CU_ARS_2025_WOF_F2!$A$2:$K$673,2,FALSE)</f>
        <v>CU_ARS_2025_WOF_F2_9_plant_21</v>
      </c>
      <c r="O64" t="str">
        <f>VLOOKUP(C64,CU_ARS_2025_WOF_F2!$A$2:$K$673,2,FALSE)</f>
        <v>CU_ARS_2025_WOF_F2_9_plant_21</v>
      </c>
      <c r="P64" t="str">
        <f>VLOOKUP(C64,CU_ARS_2025_WOF_F2!$A$2:$K$673,3,FALSE)</f>
        <v>CU_ARS_2025_WOF_F2_9</v>
      </c>
      <c r="Q64" t="str">
        <f>VLOOKUP(C64,CU_ARS_2025_WOF_F2!$A$2:$K$673,4,FALSE)</f>
        <v>CU_ARS_2025_WOF_cross_1</v>
      </c>
      <c r="R64">
        <f>VLOOKUP(C64,CU_ARS_2025_WOF_F2!$A$2:$K$673,5,FALSE)</f>
        <v>9</v>
      </c>
      <c r="S64">
        <f>VLOOKUP(C64,CU_ARS_2025_WOF_F2!$A$2:$K$673,6,FALSE)</f>
        <v>1</v>
      </c>
      <c r="T64">
        <f>VLOOKUP(C64,CU_ARS_2025_WOF_F2!$A$2:$K$673,7,FALSE)</f>
        <v>0</v>
      </c>
      <c r="U64">
        <f>VLOOKUP(C64,CU_ARS_2025_WOF_F2!$A$2:$K$673,8,FALSE)</f>
        <v>1</v>
      </c>
      <c r="V64">
        <f>VLOOKUP(C64,CU_ARS_2025_WOF_F2!$A$2:$K$673,9,FALSE)</f>
        <v>0</v>
      </c>
      <c r="W64">
        <f>VLOOKUP(C64,CU_ARS_2025_WOF_F2!$A$2:$K$673,10,FALSE)</f>
        <v>0</v>
      </c>
      <c r="X64">
        <f>VLOOKUP(C64,CU_ARS_2025_WOF_F2!$A$2:$K$673,11,FALSE)</f>
        <v>21</v>
      </c>
      <c r="Y64" t="str">
        <f>VLOOKUP(Q64,cross_pedigree!$A$2:$B$23,2,FALSE)</f>
        <v>AURORA/AWNLESS_CURLED</v>
      </c>
    </row>
    <row r="65" spans="1:25" ht="18">
      <c r="A65" s="20" t="s">
        <v>15</v>
      </c>
      <c r="B65" s="21" t="s">
        <v>16</v>
      </c>
      <c r="C65" s="22">
        <v>753589</v>
      </c>
      <c r="D65" s="23">
        <v>1</v>
      </c>
      <c r="E65" s="24" t="str">
        <f t="shared" si="0"/>
        <v>CU_ARS_2025_WOF_F2_9_plant_29</v>
      </c>
      <c r="F65" s="21" t="s">
        <v>182</v>
      </c>
      <c r="G65" s="44" t="s">
        <v>183</v>
      </c>
      <c r="H65" s="47"/>
      <c r="I65" s="42" t="s">
        <v>1014</v>
      </c>
      <c r="J65" s="42" t="s">
        <v>1003</v>
      </c>
      <c r="K65" s="42"/>
      <c r="L65" s="42"/>
      <c r="M65" s="42"/>
      <c r="N65" t="str">
        <f>VLOOKUP(C65,CU_ARS_2025_WOF_F2!$A$2:$K$673,2,FALSE)</f>
        <v>CU_ARS_2025_WOF_F2_9_plant_29</v>
      </c>
      <c r="O65" t="str">
        <f>VLOOKUP(C65,CU_ARS_2025_WOF_F2!$A$2:$K$673,2,FALSE)</f>
        <v>CU_ARS_2025_WOF_F2_9_plant_29</v>
      </c>
      <c r="P65" t="str">
        <f>VLOOKUP(C65,CU_ARS_2025_WOF_F2!$A$2:$K$673,3,FALSE)</f>
        <v>CU_ARS_2025_WOF_F2_9</v>
      </c>
      <c r="Q65" t="str">
        <f>VLOOKUP(C65,CU_ARS_2025_WOF_F2!$A$2:$K$673,4,FALSE)</f>
        <v>CU_ARS_2025_WOF_cross_1</v>
      </c>
      <c r="R65">
        <f>VLOOKUP(C65,CU_ARS_2025_WOF_F2!$A$2:$K$673,5,FALSE)</f>
        <v>9</v>
      </c>
      <c r="S65">
        <f>VLOOKUP(C65,CU_ARS_2025_WOF_F2!$A$2:$K$673,6,FALSE)</f>
        <v>1</v>
      </c>
      <c r="T65">
        <f>VLOOKUP(C65,CU_ARS_2025_WOF_F2!$A$2:$K$673,7,FALSE)</f>
        <v>0</v>
      </c>
      <c r="U65">
        <f>VLOOKUP(C65,CU_ARS_2025_WOF_F2!$A$2:$K$673,8,FALSE)</f>
        <v>1</v>
      </c>
      <c r="V65">
        <f>VLOOKUP(C65,CU_ARS_2025_WOF_F2!$A$2:$K$673,9,FALSE)</f>
        <v>0</v>
      </c>
      <c r="W65">
        <f>VLOOKUP(C65,CU_ARS_2025_WOF_F2!$A$2:$K$673,10,FALSE)</f>
        <v>0</v>
      </c>
      <c r="X65">
        <f>VLOOKUP(C65,CU_ARS_2025_WOF_F2!$A$2:$K$673,11,FALSE)</f>
        <v>29</v>
      </c>
      <c r="Y65" t="str">
        <f>VLOOKUP(Q65,cross_pedigree!$A$2:$B$23,2,FALSE)</f>
        <v>AURORA/AWNLESS_CURLED</v>
      </c>
    </row>
    <row r="66" spans="1:25" ht="18">
      <c r="A66" s="20" t="s">
        <v>15</v>
      </c>
      <c r="B66" s="21" t="s">
        <v>16</v>
      </c>
      <c r="C66" s="22">
        <v>753512</v>
      </c>
      <c r="D66" s="23">
        <v>1</v>
      </c>
      <c r="E66" s="24" t="str">
        <f t="shared" si="0"/>
        <v>CU_ARS_2025_WOF_F2_2_plant_24</v>
      </c>
      <c r="F66" s="21" t="s">
        <v>39</v>
      </c>
      <c r="G66" s="44" t="s">
        <v>40</v>
      </c>
      <c r="H66" s="42"/>
      <c r="I66" s="42" t="s">
        <v>1034</v>
      </c>
      <c r="J66" s="42" t="s">
        <v>1003</v>
      </c>
      <c r="K66" s="42"/>
      <c r="L66" s="42"/>
      <c r="M66" s="42"/>
      <c r="N66" t="str">
        <f>VLOOKUP(C66,CU_ARS_2025_WOF_F2!$A$2:$K$673,2,FALSE)</f>
        <v>CU_ARS_2025_WOF_F2_2_plant_24</v>
      </c>
      <c r="O66" t="str">
        <f>VLOOKUP(C66,CU_ARS_2025_WOF_F2!$A$2:$K$673,2,FALSE)</f>
        <v>CU_ARS_2025_WOF_F2_2_plant_24</v>
      </c>
      <c r="P66" t="str">
        <f>VLOOKUP(C66,CU_ARS_2025_WOF_F2!$A$2:$K$673,3,FALSE)</f>
        <v>CU_ARS_2025_WOF_F2_2</v>
      </c>
      <c r="Q66" t="str">
        <f>VLOOKUP(C66,CU_ARS_2025_WOF_F2!$A$2:$K$673,4,FALSE)</f>
        <v>CU_ARS_2025_WOF_cross_45</v>
      </c>
      <c r="R66">
        <f>VLOOKUP(C66,CU_ARS_2025_WOF_F2!$A$2:$K$673,5,FALSE)</f>
        <v>2</v>
      </c>
      <c r="S66">
        <f>VLOOKUP(C66,CU_ARS_2025_WOF_F2!$A$2:$K$673,6,FALSE)</f>
        <v>1</v>
      </c>
      <c r="T66">
        <f>VLOOKUP(C66,CU_ARS_2025_WOF_F2!$A$2:$K$673,7,FALSE)</f>
        <v>0</v>
      </c>
      <c r="U66">
        <f>VLOOKUP(C66,CU_ARS_2025_WOF_F2!$A$2:$K$673,8,FALSE)</f>
        <v>1</v>
      </c>
      <c r="V66">
        <f>VLOOKUP(C66,CU_ARS_2025_WOF_F2!$A$2:$K$673,9,FALSE)</f>
        <v>0</v>
      </c>
      <c r="W66">
        <f>VLOOKUP(C66,CU_ARS_2025_WOF_F2!$A$2:$K$673,10,FALSE)</f>
        <v>0</v>
      </c>
      <c r="X66">
        <f>VLOOKUP(C66,CU_ARS_2025_WOF_F2!$A$2:$K$673,11,FALSE)</f>
        <v>24</v>
      </c>
      <c r="Y66" t="str">
        <f>VLOOKUP(Q66,cross_pedigree!$A$2:$B$23,2,FALSE)</f>
        <v>NC20-4526/AURORA</v>
      </c>
    </row>
    <row r="67" spans="1:25" ht="18">
      <c r="A67" s="20" t="s">
        <v>15</v>
      </c>
      <c r="B67" s="21" t="s">
        <v>16</v>
      </c>
      <c r="C67" s="22">
        <v>753513</v>
      </c>
      <c r="D67" s="23">
        <v>1</v>
      </c>
      <c r="E67" s="24" t="str">
        <f t="shared" ref="E67:E130" si="1">O67</f>
        <v>CU_ARS_2025_WOF_F2_2_plant_25</v>
      </c>
      <c r="F67" s="21" t="s">
        <v>41</v>
      </c>
      <c r="G67" s="44" t="s">
        <v>42</v>
      </c>
      <c r="H67" s="42"/>
      <c r="I67" s="42" t="s">
        <v>1034</v>
      </c>
      <c r="J67" s="42" t="s">
        <v>1003</v>
      </c>
      <c r="K67" s="42"/>
      <c r="L67" s="42"/>
      <c r="M67" s="42"/>
      <c r="N67" t="str">
        <f>VLOOKUP(C67,CU_ARS_2025_WOF_F2!$A$2:$K$673,2,FALSE)</f>
        <v>CU_ARS_2025_WOF_F2_2_plant_25</v>
      </c>
      <c r="O67" t="str">
        <f>VLOOKUP(C67,CU_ARS_2025_WOF_F2!$A$2:$K$673,2,FALSE)</f>
        <v>CU_ARS_2025_WOF_F2_2_plant_25</v>
      </c>
      <c r="P67" t="str">
        <f>VLOOKUP(C67,CU_ARS_2025_WOF_F2!$A$2:$K$673,3,FALSE)</f>
        <v>CU_ARS_2025_WOF_F2_2</v>
      </c>
      <c r="Q67" t="str">
        <f>VLOOKUP(C67,CU_ARS_2025_WOF_F2!$A$2:$K$673,4,FALSE)</f>
        <v>CU_ARS_2025_WOF_cross_45</v>
      </c>
      <c r="R67">
        <f>VLOOKUP(C67,CU_ARS_2025_WOF_F2!$A$2:$K$673,5,FALSE)</f>
        <v>2</v>
      </c>
      <c r="S67">
        <f>VLOOKUP(C67,CU_ARS_2025_WOF_F2!$A$2:$K$673,6,FALSE)</f>
        <v>1</v>
      </c>
      <c r="T67">
        <f>VLOOKUP(C67,CU_ARS_2025_WOF_F2!$A$2:$K$673,7,FALSE)</f>
        <v>0</v>
      </c>
      <c r="U67">
        <f>VLOOKUP(C67,CU_ARS_2025_WOF_F2!$A$2:$K$673,8,FALSE)</f>
        <v>1</v>
      </c>
      <c r="V67">
        <f>VLOOKUP(C67,CU_ARS_2025_WOF_F2!$A$2:$K$673,9,FALSE)</f>
        <v>0</v>
      </c>
      <c r="W67">
        <f>VLOOKUP(C67,CU_ARS_2025_WOF_F2!$A$2:$K$673,10,FALSE)</f>
        <v>0</v>
      </c>
      <c r="X67">
        <f>VLOOKUP(C67,CU_ARS_2025_WOF_F2!$A$2:$K$673,11,FALSE)</f>
        <v>25</v>
      </c>
      <c r="Y67" t="str">
        <f>VLOOKUP(Q67,cross_pedigree!$A$2:$B$23,2,FALSE)</f>
        <v>NC20-4526/AURORA</v>
      </c>
    </row>
    <row r="68" spans="1:25" ht="18">
      <c r="A68" s="20" t="s">
        <v>15</v>
      </c>
      <c r="B68" s="21" t="s">
        <v>16</v>
      </c>
      <c r="C68" s="22">
        <v>753586</v>
      </c>
      <c r="D68" s="23">
        <v>1</v>
      </c>
      <c r="E68" s="24" t="str">
        <f t="shared" si="1"/>
        <v>CU_ARS_2025_WOF_F2_9_plant_26</v>
      </c>
      <c r="F68" s="21" t="s">
        <v>184</v>
      </c>
      <c r="G68" s="44" t="s">
        <v>185</v>
      </c>
      <c r="H68" s="42"/>
      <c r="I68" s="42" t="s">
        <v>1014</v>
      </c>
      <c r="J68" s="42" t="s">
        <v>1003</v>
      </c>
      <c r="K68" s="42"/>
      <c r="L68" s="42"/>
      <c r="M68" s="42"/>
      <c r="N68" t="str">
        <f>VLOOKUP(C68,CU_ARS_2025_WOF_F2!$A$2:$K$673,2,FALSE)</f>
        <v>CU_ARS_2025_WOF_F2_9_plant_26</v>
      </c>
      <c r="O68" t="str">
        <f>VLOOKUP(C68,CU_ARS_2025_WOF_F2!$A$2:$K$673,2,FALSE)</f>
        <v>CU_ARS_2025_WOF_F2_9_plant_26</v>
      </c>
      <c r="P68" t="str">
        <f>VLOOKUP(C68,CU_ARS_2025_WOF_F2!$A$2:$K$673,3,FALSE)</f>
        <v>CU_ARS_2025_WOF_F2_9</v>
      </c>
      <c r="Q68" t="str">
        <f>VLOOKUP(C68,CU_ARS_2025_WOF_F2!$A$2:$K$673,4,FALSE)</f>
        <v>CU_ARS_2025_WOF_cross_1</v>
      </c>
      <c r="R68">
        <f>VLOOKUP(C68,CU_ARS_2025_WOF_F2!$A$2:$K$673,5,FALSE)</f>
        <v>9</v>
      </c>
      <c r="S68">
        <f>VLOOKUP(C68,CU_ARS_2025_WOF_F2!$A$2:$K$673,6,FALSE)</f>
        <v>1</v>
      </c>
      <c r="T68">
        <f>VLOOKUP(C68,CU_ARS_2025_WOF_F2!$A$2:$K$673,7,FALSE)</f>
        <v>0</v>
      </c>
      <c r="U68">
        <f>VLOOKUP(C68,CU_ARS_2025_WOF_F2!$A$2:$K$673,8,FALSE)</f>
        <v>1</v>
      </c>
      <c r="V68">
        <f>VLOOKUP(C68,CU_ARS_2025_WOF_F2!$A$2:$K$673,9,FALSE)</f>
        <v>0</v>
      </c>
      <c r="W68">
        <f>VLOOKUP(C68,CU_ARS_2025_WOF_F2!$A$2:$K$673,10,FALSE)</f>
        <v>0</v>
      </c>
      <c r="X68">
        <f>VLOOKUP(C68,CU_ARS_2025_WOF_F2!$A$2:$K$673,11,FALSE)</f>
        <v>26</v>
      </c>
      <c r="Y68" t="str">
        <f>VLOOKUP(Q68,cross_pedigree!$A$2:$B$23,2,FALSE)</f>
        <v>AURORA/AWNLESS_CURLED</v>
      </c>
    </row>
    <row r="69" spans="1:25" ht="18">
      <c r="A69" s="20" t="s">
        <v>15</v>
      </c>
      <c r="B69" s="21" t="s">
        <v>16</v>
      </c>
      <c r="C69" s="22">
        <v>753585</v>
      </c>
      <c r="D69" s="23">
        <v>1</v>
      </c>
      <c r="E69" s="24" t="str">
        <f t="shared" si="1"/>
        <v>CU_ARS_2025_WOF_F2_9_plant_25</v>
      </c>
      <c r="F69" s="21" t="s">
        <v>186</v>
      </c>
      <c r="G69" s="44" t="s">
        <v>187</v>
      </c>
      <c r="H69" s="42"/>
      <c r="I69" s="42" t="s">
        <v>1014</v>
      </c>
      <c r="J69" s="42" t="s">
        <v>1003</v>
      </c>
      <c r="K69" s="42"/>
      <c r="L69" s="42"/>
      <c r="M69" s="42"/>
      <c r="N69" t="str">
        <f>VLOOKUP(C69,CU_ARS_2025_WOF_F2!$A$2:$K$673,2,FALSE)</f>
        <v>CU_ARS_2025_WOF_F2_9_plant_25</v>
      </c>
      <c r="O69" t="str">
        <f>VLOOKUP(C69,CU_ARS_2025_WOF_F2!$A$2:$K$673,2,FALSE)</f>
        <v>CU_ARS_2025_WOF_F2_9_plant_25</v>
      </c>
      <c r="P69" t="str">
        <f>VLOOKUP(C69,CU_ARS_2025_WOF_F2!$A$2:$K$673,3,FALSE)</f>
        <v>CU_ARS_2025_WOF_F2_9</v>
      </c>
      <c r="Q69" t="str">
        <f>VLOOKUP(C69,CU_ARS_2025_WOF_F2!$A$2:$K$673,4,FALSE)</f>
        <v>CU_ARS_2025_WOF_cross_1</v>
      </c>
      <c r="R69">
        <f>VLOOKUP(C69,CU_ARS_2025_WOF_F2!$A$2:$K$673,5,FALSE)</f>
        <v>9</v>
      </c>
      <c r="S69">
        <f>VLOOKUP(C69,CU_ARS_2025_WOF_F2!$A$2:$K$673,6,FALSE)</f>
        <v>1</v>
      </c>
      <c r="T69">
        <f>VLOOKUP(C69,CU_ARS_2025_WOF_F2!$A$2:$K$673,7,FALSE)</f>
        <v>0</v>
      </c>
      <c r="U69">
        <f>VLOOKUP(C69,CU_ARS_2025_WOF_F2!$A$2:$K$673,8,FALSE)</f>
        <v>1</v>
      </c>
      <c r="V69">
        <f>VLOOKUP(C69,CU_ARS_2025_WOF_F2!$A$2:$K$673,9,FALSE)</f>
        <v>0</v>
      </c>
      <c r="W69">
        <f>VLOOKUP(C69,CU_ARS_2025_WOF_F2!$A$2:$K$673,10,FALSE)</f>
        <v>0</v>
      </c>
      <c r="X69">
        <f>VLOOKUP(C69,CU_ARS_2025_WOF_F2!$A$2:$K$673,11,FALSE)</f>
        <v>25</v>
      </c>
      <c r="Y69" t="str">
        <f>VLOOKUP(Q69,cross_pedigree!$A$2:$B$23,2,FALSE)</f>
        <v>AURORA/AWNLESS_CURLED</v>
      </c>
    </row>
    <row r="70" spans="1:25" ht="18">
      <c r="A70" s="20" t="s">
        <v>15</v>
      </c>
      <c r="B70" s="21" t="s">
        <v>16</v>
      </c>
      <c r="C70" s="22">
        <v>753593</v>
      </c>
      <c r="D70" s="23">
        <v>1</v>
      </c>
      <c r="E70" s="24" t="str">
        <f t="shared" si="1"/>
        <v>CU_ARS_2025_WOF_F2_9_plant_33</v>
      </c>
      <c r="F70" s="21" t="s">
        <v>188</v>
      </c>
      <c r="G70" s="44" t="s">
        <v>189</v>
      </c>
      <c r="H70" s="42"/>
      <c r="I70" s="42" t="s">
        <v>1014</v>
      </c>
      <c r="J70" s="42" t="s">
        <v>1003</v>
      </c>
      <c r="K70" s="42"/>
      <c r="L70" s="42"/>
      <c r="M70" s="42"/>
      <c r="N70" t="str">
        <f>VLOOKUP(C70,CU_ARS_2025_WOF_F2!$A$2:$K$673,2,FALSE)</f>
        <v>CU_ARS_2025_WOF_F2_9_plant_33</v>
      </c>
      <c r="O70" t="str">
        <f>VLOOKUP(C70,CU_ARS_2025_WOF_F2!$A$2:$K$673,2,FALSE)</f>
        <v>CU_ARS_2025_WOF_F2_9_plant_33</v>
      </c>
      <c r="P70" t="str">
        <f>VLOOKUP(C70,CU_ARS_2025_WOF_F2!$A$2:$K$673,3,FALSE)</f>
        <v>CU_ARS_2025_WOF_F2_9</v>
      </c>
      <c r="Q70" t="str">
        <f>VLOOKUP(C70,CU_ARS_2025_WOF_F2!$A$2:$K$673,4,FALSE)</f>
        <v>CU_ARS_2025_WOF_cross_1</v>
      </c>
      <c r="R70">
        <f>VLOOKUP(C70,CU_ARS_2025_WOF_F2!$A$2:$K$673,5,FALSE)</f>
        <v>9</v>
      </c>
      <c r="S70">
        <f>VLOOKUP(C70,CU_ARS_2025_WOF_F2!$A$2:$K$673,6,FALSE)</f>
        <v>1</v>
      </c>
      <c r="T70">
        <f>VLOOKUP(C70,CU_ARS_2025_WOF_F2!$A$2:$K$673,7,FALSE)</f>
        <v>0</v>
      </c>
      <c r="U70">
        <f>VLOOKUP(C70,CU_ARS_2025_WOF_F2!$A$2:$K$673,8,FALSE)</f>
        <v>1</v>
      </c>
      <c r="V70">
        <f>VLOOKUP(C70,CU_ARS_2025_WOF_F2!$A$2:$K$673,9,FALSE)</f>
        <v>0</v>
      </c>
      <c r="W70">
        <f>VLOOKUP(C70,CU_ARS_2025_WOF_F2!$A$2:$K$673,10,FALSE)</f>
        <v>0</v>
      </c>
      <c r="X70">
        <f>VLOOKUP(C70,CU_ARS_2025_WOF_F2!$A$2:$K$673,11,FALSE)</f>
        <v>33</v>
      </c>
      <c r="Y70" t="str">
        <f>VLOOKUP(Q70,cross_pedigree!$A$2:$B$23,2,FALSE)</f>
        <v>AURORA/AWNLESS_CURLED</v>
      </c>
    </row>
    <row r="71" spans="1:25" ht="18">
      <c r="A71" s="20" t="s">
        <v>15</v>
      </c>
      <c r="B71" s="21" t="s">
        <v>16</v>
      </c>
      <c r="C71" s="22">
        <v>753594</v>
      </c>
      <c r="D71" s="23">
        <v>1</v>
      </c>
      <c r="E71" s="24" t="str">
        <f t="shared" si="1"/>
        <v>CU_ARS_2025_WOF_F2_9_plant_34</v>
      </c>
      <c r="F71" s="21" t="s">
        <v>190</v>
      </c>
      <c r="G71" s="44" t="s">
        <v>191</v>
      </c>
      <c r="H71" s="42"/>
      <c r="I71" s="42" t="s">
        <v>1014</v>
      </c>
      <c r="J71" s="42" t="s">
        <v>1003</v>
      </c>
      <c r="K71" s="42"/>
      <c r="L71" s="42"/>
      <c r="M71" s="42"/>
      <c r="N71" t="str">
        <f>VLOOKUP(C71,CU_ARS_2025_WOF_F2!$A$2:$K$673,2,FALSE)</f>
        <v>CU_ARS_2025_WOF_F2_9_plant_34</v>
      </c>
      <c r="O71" t="str">
        <f>VLOOKUP(C71,CU_ARS_2025_WOF_F2!$A$2:$K$673,2,FALSE)</f>
        <v>CU_ARS_2025_WOF_F2_9_plant_34</v>
      </c>
      <c r="P71" t="str">
        <f>VLOOKUP(C71,CU_ARS_2025_WOF_F2!$A$2:$K$673,3,FALSE)</f>
        <v>CU_ARS_2025_WOF_F2_9</v>
      </c>
      <c r="Q71" t="str">
        <f>VLOOKUP(C71,CU_ARS_2025_WOF_F2!$A$2:$K$673,4,FALSE)</f>
        <v>CU_ARS_2025_WOF_cross_1</v>
      </c>
      <c r="R71">
        <f>VLOOKUP(C71,CU_ARS_2025_WOF_F2!$A$2:$K$673,5,FALSE)</f>
        <v>9</v>
      </c>
      <c r="S71">
        <f>VLOOKUP(C71,CU_ARS_2025_WOF_F2!$A$2:$K$673,6,FALSE)</f>
        <v>1</v>
      </c>
      <c r="T71">
        <f>VLOOKUP(C71,CU_ARS_2025_WOF_F2!$A$2:$K$673,7,FALSE)</f>
        <v>0</v>
      </c>
      <c r="U71">
        <f>VLOOKUP(C71,CU_ARS_2025_WOF_F2!$A$2:$K$673,8,FALSE)</f>
        <v>1</v>
      </c>
      <c r="V71">
        <f>VLOOKUP(C71,CU_ARS_2025_WOF_F2!$A$2:$K$673,9,FALSE)</f>
        <v>0</v>
      </c>
      <c r="W71">
        <f>VLOOKUP(C71,CU_ARS_2025_WOF_F2!$A$2:$K$673,10,FALSE)</f>
        <v>0</v>
      </c>
      <c r="X71">
        <f>VLOOKUP(C71,CU_ARS_2025_WOF_F2!$A$2:$K$673,11,FALSE)</f>
        <v>34</v>
      </c>
      <c r="Y71" t="str">
        <f>VLOOKUP(Q71,cross_pedigree!$A$2:$B$23,2,FALSE)</f>
        <v>AURORA/AWNLESS_CURLED</v>
      </c>
    </row>
    <row r="72" spans="1:25" ht="18">
      <c r="A72" s="20" t="s">
        <v>15</v>
      </c>
      <c r="B72" s="21" t="s">
        <v>16</v>
      </c>
      <c r="C72" s="22">
        <v>753595</v>
      </c>
      <c r="D72" s="23">
        <v>1</v>
      </c>
      <c r="E72" s="24" t="str">
        <f t="shared" si="1"/>
        <v>CU_ARS_2025_WOF_F2_9_plant_35</v>
      </c>
      <c r="F72" s="21" t="s">
        <v>192</v>
      </c>
      <c r="G72" s="44" t="s">
        <v>193</v>
      </c>
      <c r="H72" s="42"/>
      <c r="I72" s="42" t="s">
        <v>1014</v>
      </c>
      <c r="J72" s="42" t="s">
        <v>1003</v>
      </c>
      <c r="K72" s="42"/>
      <c r="L72" s="42"/>
      <c r="M72" s="42"/>
      <c r="N72" t="str">
        <f>VLOOKUP(C72,CU_ARS_2025_WOF_F2!$A$2:$K$673,2,FALSE)</f>
        <v>CU_ARS_2025_WOF_F2_9_plant_35</v>
      </c>
      <c r="O72" t="str">
        <f>VLOOKUP(C72,CU_ARS_2025_WOF_F2!$A$2:$K$673,2,FALSE)</f>
        <v>CU_ARS_2025_WOF_F2_9_plant_35</v>
      </c>
      <c r="P72" t="str">
        <f>VLOOKUP(C72,CU_ARS_2025_WOF_F2!$A$2:$K$673,3,FALSE)</f>
        <v>CU_ARS_2025_WOF_F2_9</v>
      </c>
      <c r="Q72" t="str">
        <f>VLOOKUP(C72,CU_ARS_2025_WOF_F2!$A$2:$K$673,4,FALSE)</f>
        <v>CU_ARS_2025_WOF_cross_1</v>
      </c>
      <c r="R72">
        <f>VLOOKUP(C72,CU_ARS_2025_WOF_F2!$A$2:$K$673,5,FALSE)</f>
        <v>9</v>
      </c>
      <c r="S72">
        <f>VLOOKUP(C72,CU_ARS_2025_WOF_F2!$A$2:$K$673,6,FALSE)</f>
        <v>1</v>
      </c>
      <c r="T72">
        <f>VLOOKUP(C72,CU_ARS_2025_WOF_F2!$A$2:$K$673,7,FALSE)</f>
        <v>0</v>
      </c>
      <c r="U72">
        <f>VLOOKUP(C72,CU_ARS_2025_WOF_F2!$A$2:$K$673,8,FALSE)</f>
        <v>1</v>
      </c>
      <c r="V72">
        <f>VLOOKUP(C72,CU_ARS_2025_WOF_F2!$A$2:$K$673,9,FALSE)</f>
        <v>0</v>
      </c>
      <c r="W72">
        <f>VLOOKUP(C72,CU_ARS_2025_WOF_F2!$A$2:$K$673,10,FALSE)</f>
        <v>0</v>
      </c>
      <c r="X72">
        <f>VLOOKUP(C72,CU_ARS_2025_WOF_F2!$A$2:$K$673,11,FALSE)</f>
        <v>35</v>
      </c>
      <c r="Y72" t="str">
        <f>VLOOKUP(Q72,cross_pedigree!$A$2:$B$23,2,FALSE)</f>
        <v>AURORA/AWNLESS_CURLED</v>
      </c>
    </row>
    <row r="73" spans="1:25" ht="18">
      <c r="A73" s="20" t="s">
        <v>15</v>
      </c>
      <c r="B73" s="21" t="s">
        <v>16</v>
      </c>
      <c r="C73" s="22">
        <v>753596</v>
      </c>
      <c r="D73" s="23">
        <v>1</v>
      </c>
      <c r="E73" s="24" t="str">
        <f t="shared" si="1"/>
        <v>CU_ARS_2025_WOF_F2_9_plant_36</v>
      </c>
      <c r="F73" s="21" t="s">
        <v>194</v>
      </c>
      <c r="G73" s="44" t="s">
        <v>195</v>
      </c>
      <c r="H73" s="42"/>
      <c r="I73" s="42" t="s">
        <v>1014</v>
      </c>
      <c r="J73" s="42" t="s">
        <v>1003</v>
      </c>
      <c r="K73" s="42"/>
      <c r="L73" s="42"/>
      <c r="M73" s="42"/>
      <c r="N73" t="str">
        <f>VLOOKUP(C73,CU_ARS_2025_WOF_F2!$A$2:$K$673,2,FALSE)</f>
        <v>CU_ARS_2025_WOF_F2_9_plant_36</v>
      </c>
      <c r="O73" t="str">
        <f>VLOOKUP(C73,CU_ARS_2025_WOF_F2!$A$2:$K$673,2,FALSE)</f>
        <v>CU_ARS_2025_WOF_F2_9_plant_36</v>
      </c>
      <c r="P73" t="str">
        <f>VLOOKUP(C73,CU_ARS_2025_WOF_F2!$A$2:$K$673,3,FALSE)</f>
        <v>CU_ARS_2025_WOF_F2_9</v>
      </c>
      <c r="Q73" t="str">
        <f>VLOOKUP(C73,CU_ARS_2025_WOF_F2!$A$2:$K$673,4,FALSE)</f>
        <v>CU_ARS_2025_WOF_cross_1</v>
      </c>
      <c r="R73">
        <f>VLOOKUP(C73,CU_ARS_2025_WOF_F2!$A$2:$K$673,5,FALSE)</f>
        <v>9</v>
      </c>
      <c r="S73">
        <f>VLOOKUP(C73,CU_ARS_2025_WOF_F2!$A$2:$K$673,6,FALSE)</f>
        <v>1</v>
      </c>
      <c r="T73">
        <f>VLOOKUP(C73,CU_ARS_2025_WOF_F2!$A$2:$K$673,7,FALSE)</f>
        <v>0</v>
      </c>
      <c r="U73">
        <f>VLOOKUP(C73,CU_ARS_2025_WOF_F2!$A$2:$K$673,8,FALSE)</f>
        <v>1</v>
      </c>
      <c r="V73">
        <f>VLOOKUP(C73,CU_ARS_2025_WOF_F2!$A$2:$K$673,9,FALSE)</f>
        <v>0</v>
      </c>
      <c r="W73">
        <f>VLOOKUP(C73,CU_ARS_2025_WOF_F2!$A$2:$K$673,10,FALSE)</f>
        <v>0</v>
      </c>
      <c r="X73">
        <f>VLOOKUP(C73,CU_ARS_2025_WOF_F2!$A$2:$K$673,11,FALSE)</f>
        <v>36</v>
      </c>
      <c r="Y73" t="str">
        <f>VLOOKUP(Q73,cross_pedigree!$A$2:$B$23,2,FALSE)</f>
        <v>AURORA/AWNLESS_CURLED</v>
      </c>
    </row>
    <row r="74" spans="1:25" ht="18">
      <c r="A74" s="20" t="s">
        <v>15</v>
      </c>
      <c r="B74" s="21" t="s">
        <v>16</v>
      </c>
      <c r="C74" s="22">
        <v>753597</v>
      </c>
      <c r="D74" s="23">
        <v>1</v>
      </c>
      <c r="E74" s="24" t="str">
        <f t="shared" si="1"/>
        <v>CU_ARS_2025_WOF_F2_9_plant_37</v>
      </c>
      <c r="F74" s="21" t="s">
        <v>196</v>
      </c>
      <c r="G74" s="44" t="s">
        <v>197</v>
      </c>
      <c r="H74" s="42"/>
      <c r="I74" s="42" t="s">
        <v>1014</v>
      </c>
      <c r="J74" s="42" t="s">
        <v>1003</v>
      </c>
      <c r="K74" s="42"/>
      <c r="L74" s="42"/>
      <c r="M74" s="42"/>
      <c r="N74" t="str">
        <f>VLOOKUP(C74,CU_ARS_2025_WOF_F2!$A$2:$K$673,2,FALSE)</f>
        <v>CU_ARS_2025_WOF_F2_9_plant_37</v>
      </c>
      <c r="O74" t="str">
        <f>VLOOKUP(C74,CU_ARS_2025_WOF_F2!$A$2:$K$673,2,FALSE)</f>
        <v>CU_ARS_2025_WOF_F2_9_plant_37</v>
      </c>
      <c r="P74" t="str">
        <f>VLOOKUP(C74,CU_ARS_2025_WOF_F2!$A$2:$K$673,3,FALSE)</f>
        <v>CU_ARS_2025_WOF_F2_9</v>
      </c>
      <c r="Q74" t="str">
        <f>VLOOKUP(C74,CU_ARS_2025_WOF_F2!$A$2:$K$673,4,FALSE)</f>
        <v>CU_ARS_2025_WOF_cross_1</v>
      </c>
      <c r="R74">
        <f>VLOOKUP(C74,CU_ARS_2025_WOF_F2!$A$2:$K$673,5,FALSE)</f>
        <v>9</v>
      </c>
      <c r="S74">
        <f>VLOOKUP(C74,CU_ARS_2025_WOF_F2!$A$2:$K$673,6,FALSE)</f>
        <v>1</v>
      </c>
      <c r="T74">
        <f>VLOOKUP(C74,CU_ARS_2025_WOF_F2!$A$2:$K$673,7,FALSE)</f>
        <v>0</v>
      </c>
      <c r="U74">
        <f>VLOOKUP(C74,CU_ARS_2025_WOF_F2!$A$2:$K$673,8,FALSE)</f>
        <v>1</v>
      </c>
      <c r="V74">
        <f>VLOOKUP(C74,CU_ARS_2025_WOF_F2!$A$2:$K$673,9,FALSE)</f>
        <v>0</v>
      </c>
      <c r="W74">
        <f>VLOOKUP(C74,CU_ARS_2025_WOF_F2!$A$2:$K$673,10,FALSE)</f>
        <v>0</v>
      </c>
      <c r="X74">
        <f>VLOOKUP(C74,CU_ARS_2025_WOF_F2!$A$2:$K$673,11,FALSE)</f>
        <v>37</v>
      </c>
      <c r="Y74" t="str">
        <f>VLOOKUP(Q74,cross_pedigree!$A$2:$B$23,2,FALSE)</f>
        <v>AURORA/AWNLESS_CURLED</v>
      </c>
    </row>
    <row r="75" spans="1:25" ht="18">
      <c r="A75" s="20" t="s">
        <v>15</v>
      </c>
      <c r="B75" s="21" t="s">
        <v>16</v>
      </c>
      <c r="C75" s="22">
        <v>753605</v>
      </c>
      <c r="D75" s="23">
        <v>1</v>
      </c>
      <c r="E75" s="24" t="str">
        <f t="shared" si="1"/>
        <v>CU_ARS_2025_WOF_F2_9_plant_45</v>
      </c>
      <c r="F75" s="21" t="s">
        <v>198</v>
      </c>
      <c r="G75" s="44" t="s">
        <v>199</v>
      </c>
      <c r="H75" s="42"/>
      <c r="I75" s="42" t="s">
        <v>1014</v>
      </c>
      <c r="J75" s="42" t="s">
        <v>1003</v>
      </c>
      <c r="K75" s="42"/>
      <c r="L75" s="42"/>
      <c r="M75" s="42"/>
      <c r="N75" t="str">
        <f>VLOOKUP(C75,CU_ARS_2025_WOF_F2!$A$2:$K$673,2,FALSE)</f>
        <v>CU_ARS_2025_WOF_F2_9_plant_45</v>
      </c>
      <c r="O75" t="str">
        <f>VLOOKUP(C75,CU_ARS_2025_WOF_F2!$A$2:$K$673,2,FALSE)</f>
        <v>CU_ARS_2025_WOF_F2_9_plant_45</v>
      </c>
      <c r="P75" t="str">
        <f>VLOOKUP(C75,CU_ARS_2025_WOF_F2!$A$2:$K$673,3,FALSE)</f>
        <v>CU_ARS_2025_WOF_F2_9</v>
      </c>
      <c r="Q75" t="str">
        <f>VLOOKUP(C75,CU_ARS_2025_WOF_F2!$A$2:$K$673,4,FALSE)</f>
        <v>CU_ARS_2025_WOF_cross_1</v>
      </c>
      <c r="R75">
        <f>VLOOKUP(C75,CU_ARS_2025_WOF_F2!$A$2:$K$673,5,FALSE)</f>
        <v>9</v>
      </c>
      <c r="S75">
        <f>VLOOKUP(C75,CU_ARS_2025_WOF_F2!$A$2:$K$673,6,FALSE)</f>
        <v>1</v>
      </c>
      <c r="T75">
        <f>VLOOKUP(C75,CU_ARS_2025_WOF_F2!$A$2:$K$673,7,FALSE)</f>
        <v>0</v>
      </c>
      <c r="U75">
        <f>VLOOKUP(C75,CU_ARS_2025_WOF_F2!$A$2:$K$673,8,FALSE)</f>
        <v>1</v>
      </c>
      <c r="V75">
        <f>VLOOKUP(C75,CU_ARS_2025_WOF_F2!$A$2:$K$673,9,FALSE)</f>
        <v>0</v>
      </c>
      <c r="W75">
        <f>VLOOKUP(C75,CU_ARS_2025_WOF_F2!$A$2:$K$673,10,FALSE)</f>
        <v>0</v>
      </c>
      <c r="X75">
        <f>VLOOKUP(C75,CU_ARS_2025_WOF_F2!$A$2:$K$673,11,FALSE)</f>
        <v>45</v>
      </c>
      <c r="Y75" t="str">
        <f>VLOOKUP(Q75,cross_pedigree!$A$2:$B$23,2,FALSE)</f>
        <v>AURORA/AWNLESS_CURLED</v>
      </c>
    </row>
    <row r="76" spans="1:25" ht="18">
      <c r="A76" s="20" t="s">
        <v>15</v>
      </c>
      <c r="B76" s="21" t="s">
        <v>16</v>
      </c>
      <c r="C76" s="22">
        <v>753604</v>
      </c>
      <c r="D76" s="23">
        <v>1</v>
      </c>
      <c r="E76" s="24" t="str">
        <f t="shared" si="1"/>
        <v>CU_ARS_2025_WOF_F2_9_plant_44</v>
      </c>
      <c r="F76" s="21" t="s">
        <v>200</v>
      </c>
      <c r="G76" s="44" t="s">
        <v>201</v>
      </c>
      <c r="H76" s="42"/>
      <c r="I76" s="42" t="s">
        <v>1014</v>
      </c>
      <c r="J76" s="42" t="s">
        <v>1003</v>
      </c>
      <c r="K76" s="42"/>
      <c r="L76" s="42"/>
      <c r="M76" s="42"/>
      <c r="N76" t="str">
        <f>VLOOKUP(C76,CU_ARS_2025_WOF_F2!$A$2:$K$673,2,FALSE)</f>
        <v>CU_ARS_2025_WOF_F2_9_plant_44</v>
      </c>
      <c r="O76" t="str">
        <f>VLOOKUP(C76,CU_ARS_2025_WOF_F2!$A$2:$K$673,2,FALSE)</f>
        <v>CU_ARS_2025_WOF_F2_9_plant_44</v>
      </c>
      <c r="P76" t="str">
        <f>VLOOKUP(C76,CU_ARS_2025_WOF_F2!$A$2:$K$673,3,FALSE)</f>
        <v>CU_ARS_2025_WOF_F2_9</v>
      </c>
      <c r="Q76" t="str">
        <f>VLOOKUP(C76,CU_ARS_2025_WOF_F2!$A$2:$K$673,4,FALSE)</f>
        <v>CU_ARS_2025_WOF_cross_1</v>
      </c>
      <c r="R76">
        <f>VLOOKUP(C76,CU_ARS_2025_WOF_F2!$A$2:$K$673,5,FALSE)</f>
        <v>9</v>
      </c>
      <c r="S76">
        <f>VLOOKUP(C76,CU_ARS_2025_WOF_F2!$A$2:$K$673,6,FALSE)</f>
        <v>1</v>
      </c>
      <c r="T76">
        <f>VLOOKUP(C76,CU_ARS_2025_WOF_F2!$A$2:$K$673,7,FALSE)</f>
        <v>0</v>
      </c>
      <c r="U76">
        <f>VLOOKUP(C76,CU_ARS_2025_WOF_F2!$A$2:$K$673,8,FALSE)</f>
        <v>1</v>
      </c>
      <c r="V76">
        <f>VLOOKUP(C76,CU_ARS_2025_WOF_F2!$A$2:$K$673,9,FALSE)</f>
        <v>0</v>
      </c>
      <c r="W76">
        <f>VLOOKUP(C76,CU_ARS_2025_WOF_F2!$A$2:$K$673,10,FALSE)</f>
        <v>0</v>
      </c>
      <c r="X76">
        <f>VLOOKUP(C76,CU_ARS_2025_WOF_F2!$A$2:$K$673,11,FALSE)</f>
        <v>44</v>
      </c>
      <c r="Y76" t="str">
        <f>VLOOKUP(Q76,cross_pedigree!$A$2:$B$23,2,FALSE)</f>
        <v>AURORA/AWNLESS_CURLED</v>
      </c>
    </row>
    <row r="77" spans="1:25" ht="18">
      <c r="A77" s="20" t="s">
        <v>15</v>
      </c>
      <c r="B77" s="21" t="s">
        <v>16</v>
      </c>
      <c r="C77" s="22">
        <v>753603</v>
      </c>
      <c r="D77" s="23">
        <v>1</v>
      </c>
      <c r="E77" s="24" t="str">
        <f t="shared" si="1"/>
        <v>CU_ARS_2025_WOF_F2_9_plant_43</v>
      </c>
      <c r="F77" s="21" t="s">
        <v>202</v>
      </c>
      <c r="G77" s="44" t="s">
        <v>203</v>
      </c>
      <c r="H77" s="42"/>
      <c r="I77" s="42" t="s">
        <v>1014</v>
      </c>
      <c r="J77" s="42" t="s">
        <v>1003</v>
      </c>
      <c r="K77" s="42"/>
      <c r="L77" s="42"/>
      <c r="M77" s="42"/>
      <c r="N77" t="str">
        <f>VLOOKUP(C77,CU_ARS_2025_WOF_F2!$A$2:$K$673,2,FALSE)</f>
        <v>CU_ARS_2025_WOF_F2_9_plant_43</v>
      </c>
      <c r="O77" t="str">
        <f>VLOOKUP(C77,CU_ARS_2025_WOF_F2!$A$2:$K$673,2,FALSE)</f>
        <v>CU_ARS_2025_WOF_F2_9_plant_43</v>
      </c>
      <c r="P77" t="str">
        <f>VLOOKUP(C77,CU_ARS_2025_WOF_F2!$A$2:$K$673,3,FALSE)</f>
        <v>CU_ARS_2025_WOF_F2_9</v>
      </c>
      <c r="Q77" t="str">
        <f>VLOOKUP(C77,CU_ARS_2025_WOF_F2!$A$2:$K$673,4,FALSE)</f>
        <v>CU_ARS_2025_WOF_cross_1</v>
      </c>
      <c r="R77">
        <f>VLOOKUP(C77,CU_ARS_2025_WOF_F2!$A$2:$K$673,5,FALSE)</f>
        <v>9</v>
      </c>
      <c r="S77">
        <f>VLOOKUP(C77,CU_ARS_2025_WOF_F2!$A$2:$K$673,6,FALSE)</f>
        <v>1</v>
      </c>
      <c r="T77">
        <f>VLOOKUP(C77,CU_ARS_2025_WOF_F2!$A$2:$K$673,7,FALSE)</f>
        <v>0</v>
      </c>
      <c r="U77">
        <f>VLOOKUP(C77,CU_ARS_2025_WOF_F2!$A$2:$K$673,8,FALSE)</f>
        <v>1</v>
      </c>
      <c r="V77">
        <f>VLOOKUP(C77,CU_ARS_2025_WOF_F2!$A$2:$K$673,9,FALSE)</f>
        <v>0</v>
      </c>
      <c r="W77">
        <f>VLOOKUP(C77,CU_ARS_2025_WOF_F2!$A$2:$K$673,10,FALSE)</f>
        <v>0</v>
      </c>
      <c r="X77">
        <f>VLOOKUP(C77,CU_ARS_2025_WOF_F2!$A$2:$K$673,11,FALSE)</f>
        <v>43</v>
      </c>
      <c r="Y77" t="str">
        <f>VLOOKUP(Q77,cross_pedigree!$A$2:$B$23,2,FALSE)</f>
        <v>AURORA/AWNLESS_CURLED</v>
      </c>
    </row>
    <row r="78" spans="1:25" ht="18">
      <c r="A78" s="20" t="s">
        <v>15</v>
      </c>
      <c r="B78" s="21" t="s">
        <v>16</v>
      </c>
      <c r="C78" s="22">
        <v>753602</v>
      </c>
      <c r="D78" s="23">
        <v>1</v>
      </c>
      <c r="E78" s="24" t="str">
        <f t="shared" si="1"/>
        <v>CU_ARS_2025_WOF_F2_9_plant_42</v>
      </c>
      <c r="F78" s="21" t="s">
        <v>204</v>
      </c>
      <c r="G78" s="44" t="s">
        <v>205</v>
      </c>
      <c r="H78" s="42"/>
      <c r="I78" s="42" t="s">
        <v>1014</v>
      </c>
      <c r="J78" s="42" t="s">
        <v>1003</v>
      </c>
      <c r="K78" s="42"/>
      <c r="L78" s="42"/>
      <c r="M78" s="42"/>
      <c r="N78" t="str">
        <f>VLOOKUP(C78,CU_ARS_2025_WOF_F2!$A$2:$K$673,2,FALSE)</f>
        <v>CU_ARS_2025_WOF_F2_9_plant_42</v>
      </c>
      <c r="O78" t="str">
        <f>VLOOKUP(C78,CU_ARS_2025_WOF_F2!$A$2:$K$673,2,FALSE)</f>
        <v>CU_ARS_2025_WOF_F2_9_plant_42</v>
      </c>
      <c r="P78" t="str">
        <f>VLOOKUP(C78,CU_ARS_2025_WOF_F2!$A$2:$K$673,3,FALSE)</f>
        <v>CU_ARS_2025_WOF_F2_9</v>
      </c>
      <c r="Q78" t="str">
        <f>VLOOKUP(C78,CU_ARS_2025_WOF_F2!$A$2:$K$673,4,FALSE)</f>
        <v>CU_ARS_2025_WOF_cross_1</v>
      </c>
      <c r="R78">
        <f>VLOOKUP(C78,CU_ARS_2025_WOF_F2!$A$2:$K$673,5,FALSE)</f>
        <v>9</v>
      </c>
      <c r="S78">
        <f>VLOOKUP(C78,CU_ARS_2025_WOF_F2!$A$2:$K$673,6,FALSE)</f>
        <v>1</v>
      </c>
      <c r="T78">
        <f>VLOOKUP(C78,CU_ARS_2025_WOF_F2!$A$2:$K$673,7,FALSE)</f>
        <v>0</v>
      </c>
      <c r="U78">
        <f>VLOOKUP(C78,CU_ARS_2025_WOF_F2!$A$2:$K$673,8,FALSE)</f>
        <v>1</v>
      </c>
      <c r="V78">
        <f>VLOOKUP(C78,CU_ARS_2025_WOF_F2!$A$2:$K$673,9,FALSE)</f>
        <v>0</v>
      </c>
      <c r="W78">
        <f>VLOOKUP(C78,CU_ARS_2025_WOF_F2!$A$2:$K$673,10,FALSE)</f>
        <v>0</v>
      </c>
      <c r="X78">
        <f>VLOOKUP(C78,CU_ARS_2025_WOF_F2!$A$2:$K$673,11,FALSE)</f>
        <v>42</v>
      </c>
      <c r="Y78" t="str">
        <f>VLOOKUP(Q78,cross_pedigree!$A$2:$B$23,2,FALSE)</f>
        <v>AURORA/AWNLESS_CURLED</v>
      </c>
    </row>
    <row r="79" spans="1:25" ht="18">
      <c r="A79" s="20" t="s">
        <v>15</v>
      </c>
      <c r="B79" s="21" t="s">
        <v>16</v>
      </c>
      <c r="C79" s="22">
        <v>753601</v>
      </c>
      <c r="D79" s="23">
        <v>1</v>
      </c>
      <c r="E79" s="24" t="str">
        <f t="shared" si="1"/>
        <v>CU_ARS_2025_WOF_F2_9_plant_41</v>
      </c>
      <c r="F79" s="21" t="s">
        <v>206</v>
      </c>
      <c r="G79" s="44" t="s">
        <v>207</v>
      </c>
      <c r="H79" s="42"/>
      <c r="I79" s="42" t="s">
        <v>1014</v>
      </c>
      <c r="J79" s="42" t="s">
        <v>1003</v>
      </c>
      <c r="K79" s="42"/>
      <c r="L79" s="42"/>
      <c r="M79" s="42"/>
      <c r="N79" t="str">
        <f>VLOOKUP(C79,CU_ARS_2025_WOF_F2!$A$2:$K$673,2,FALSE)</f>
        <v>CU_ARS_2025_WOF_F2_9_plant_41</v>
      </c>
      <c r="O79" t="str">
        <f>VLOOKUP(C79,CU_ARS_2025_WOF_F2!$A$2:$K$673,2,FALSE)</f>
        <v>CU_ARS_2025_WOF_F2_9_plant_41</v>
      </c>
      <c r="P79" t="str">
        <f>VLOOKUP(C79,CU_ARS_2025_WOF_F2!$A$2:$K$673,3,FALSE)</f>
        <v>CU_ARS_2025_WOF_F2_9</v>
      </c>
      <c r="Q79" t="str">
        <f>VLOOKUP(C79,CU_ARS_2025_WOF_F2!$A$2:$K$673,4,FALSE)</f>
        <v>CU_ARS_2025_WOF_cross_1</v>
      </c>
      <c r="R79">
        <f>VLOOKUP(C79,CU_ARS_2025_WOF_F2!$A$2:$K$673,5,FALSE)</f>
        <v>9</v>
      </c>
      <c r="S79">
        <f>VLOOKUP(C79,CU_ARS_2025_WOF_F2!$A$2:$K$673,6,FALSE)</f>
        <v>1</v>
      </c>
      <c r="T79">
        <f>VLOOKUP(C79,CU_ARS_2025_WOF_F2!$A$2:$K$673,7,FALSE)</f>
        <v>0</v>
      </c>
      <c r="U79">
        <f>VLOOKUP(C79,CU_ARS_2025_WOF_F2!$A$2:$K$673,8,FALSE)</f>
        <v>1</v>
      </c>
      <c r="V79">
        <f>VLOOKUP(C79,CU_ARS_2025_WOF_F2!$A$2:$K$673,9,FALSE)</f>
        <v>0</v>
      </c>
      <c r="W79">
        <f>VLOOKUP(C79,CU_ARS_2025_WOF_F2!$A$2:$K$673,10,FALSE)</f>
        <v>0</v>
      </c>
      <c r="X79">
        <f>VLOOKUP(C79,CU_ARS_2025_WOF_F2!$A$2:$K$673,11,FALSE)</f>
        <v>41</v>
      </c>
      <c r="Y79" t="str">
        <f>VLOOKUP(Q79,cross_pedigree!$A$2:$B$23,2,FALSE)</f>
        <v>AURORA/AWNLESS_CURLED</v>
      </c>
    </row>
    <row r="80" spans="1:25" ht="18">
      <c r="A80" s="20" t="s">
        <v>15</v>
      </c>
      <c r="B80" s="21" t="s">
        <v>16</v>
      </c>
      <c r="C80" s="22">
        <v>753598</v>
      </c>
      <c r="D80" s="23">
        <v>1</v>
      </c>
      <c r="E80" s="24" t="str">
        <f t="shared" si="1"/>
        <v>CU_ARS_2025_WOF_F2_9_plant_38</v>
      </c>
      <c r="F80" s="21" t="s">
        <v>91</v>
      </c>
      <c r="G80" s="44" t="s">
        <v>208</v>
      </c>
      <c r="H80" s="42"/>
      <c r="I80" s="42" t="s">
        <v>1014</v>
      </c>
      <c r="J80" s="42" t="s">
        <v>1003</v>
      </c>
      <c r="K80" s="42"/>
      <c r="L80" s="42"/>
      <c r="M80" s="42"/>
      <c r="N80" t="str">
        <f>VLOOKUP(C80,CU_ARS_2025_WOF_F2!$A$2:$K$673,2,FALSE)</f>
        <v>CU_ARS_2025_WOF_F2_9_plant_38</v>
      </c>
      <c r="O80" t="str">
        <f>VLOOKUP(C80,CU_ARS_2025_WOF_F2!$A$2:$K$673,2,FALSE)</f>
        <v>CU_ARS_2025_WOF_F2_9_plant_38</v>
      </c>
      <c r="P80" t="str">
        <f>VLOOKUP(C80,CU_ARS_2025_WOF_F2!$A$2:$K$673,3,FALSE)</f>
        <v>CU_ARS_2025_WOF_F2_9</v>
      </c>
      <c r="Q80" t="str">
        <f>VLOOKUP(C80,CU_ARS_2025_WOF_F2!$A$2:$K$673,4,FALSE)</f>
        <v>CU_ARS_2025_WOF_cross_1</v>
      </c>
      <c r="R80">
        <f>VLOOKUP(C80,CU_ARS_2025_WOF_F2!$A$2:$K$673,5,FALSE)</f>
        <v>9</v>
      </c>
      <c r="S80">
        <f>VLOOKUP(C80,CU_ARS_2025_WOF_F2!$A$2:$K$673,6,FALSE)</f>
        <v>1</v>
      </c>
      <c r="T80">
        <f>VLOOKUP(C80,CU_ARS_2025_WOF_F2!$A$2:$K$673,7,FALSE)</f>
        <v>0</v>
      </c>
      <c r="U80">
        <f>VLOOKUP(C80,CU_ARS_2025_WOF_F2!$A$2:$K$673,8,FALSE)</f>
        <v>1</v>
      </c>
      <c r="V80">
        <f>VLOOKUP(C80,CU_ARS_2025_WOF_F2!$A$2:$K$673,9,FALSE)</f>
        <v>0</v>
      </c>
      <c r="W80">
        <f>VLOOKUP(C80,CU_ARS_2025_WOF_F2!$A$2:$K$673,10,FALSE)</f>
        <v>0</v>
      </c>
      <c r="X80">
        <f>VLOOKUP(C80,CU_ARS_2025_WOF_F2!$A$2:$K$673,11,FALSE)</f>
        <v>38</v>
      </c>
      <c r="Y80" t="str">
        <f>VLOOKUP(Q80,cross_pedigree!$A$2:$B$23,2,FALSE)</f>
        <v>AURORA/AWNLESS_CURLED</v>
      </c>
    </row>
    <row r="81" spans="1:25" ht="18">
      <c r="A81" s="20" t="s">
        <v>15</v>
      </c>
      <c r="B81" s="21" t="s">
        <v>16</v>
      </c>
      <c r="C81" s="22">
        <v>753599</v>
      </c>
      <c r="D81" s="23">
        <v>1</v>
      </c>
      <c r="E81" s="24" t="str">
        <f t="shared" si="1"/>
        <v>CU_ARS_2025_WOF_F2_9_plant_39</v>
      </c>
      <c r="F81" s="21" t="s">
        <v>92</v>
      </c>
      <c r="G81" s="44" t="s">
        <v>209</v>
      </c>
      <c r="H81" s="42"/>
      <c r="I81" s="42" t="s">
        <v>1014</v>
      </c>
      <c r="J81" s="42" t="s">
        <v>1003</v>
      </c>
      <c r="K81" s="42"/>
      <c r="L81" s="42"/>
      <c r="M81" s="42"/>
      <c r="N81" t="str">
        <f>VLOOKUP(C81,CU_ARS_2025_WOF_F2!$A$2:$K$673,2,FALSE)</f>
        <v>CU_ARS_2025_WOF_F2_9_plant_39</v>
      </c>
      <c r="O81" t="str">
        <f>VLOOKUP(C81,CU_ARS_2025_WOF_F2!$A$2:$K$673,2,FALSE)</f>
        <v>CU_ARS_2025_WOF_F2_9_plant_39</v>
      </c>
      <c r="P81" t="str">
        <f>VLOOKUP(C81,CU_ARS_2025_WOF_F2!$A$2:$K$673,3,FALSE)</f>
        <v>CU_ARS_2025_WOF_F2_9</v>
      </c>
      <c r="Q81" t="str">
        <f>VLOOKUP(C81,CU_ARS_2025_WOF_F2!$A$2:$K$673,4,FALSE)</f>
        <v>CU_ARS_2025_WOF_cross_1</v>
      </c>
      <c r="R81">
        <f>VLOOKUP(C81,CU_ARS_2025_WOF_F2!$A$2:$K$673,5,FALSE)</f>
        <v>9</v>
      </c>
      <c r="S81">
        <f>VLOOKUP(C81,CU_ARS_2025_WOF_F2!$A$2:$K$673,6,FALSE)</f>
        <v>1</v>
      </c>
      <c r="T81">
        <f>VLOOKUP(C81,CU_ARS_2025_WOF_F2!$A$2:$K$673,7,FALSE)</f>
        <v>0</v>
      </c>
      <c r="U81">
        <f>VLOOKUP(C81,CU_ARS_2025_WOF_F2!$A$2:$K$673,8,FALSE)</f>
        <v>1</v>
      </c>
      <c r="V81">
        <f>VLOOKUP(C81,CU_ARS_2025_WOF_F2!$A$2:$K$673,9,FALSE)</f>
        <v>0</v>
      </c>
      <c r="W81">
        <f>VLOOKUP(C81,CU_ARS_2025_WOF_F2!$A$2:$K$673,10,FALSE)</f>
        <v>0</v>
      </c>
      <c r="X81">
        <f>VLOOKUP(C81,CU_ARS_2025_WOF_F2!$A$2:$K$673,11,FALSE)</f>
        <v>39</v>
      </c>
      <c r="Y81" t="str">
        <f>VLOOKUP(Q81,cross_pedigree!$A$2:$B$23,2,FALSE)</f>
        <v>AURORA/AWNLESS_CURLED</v>
      </c>
    </row>
    <row r="82" spans="1:25" ht="18">
      <c r="A82" s="20" t="s">
        <v>15</v>
      </c>
      <c r="B82" s="21" t="s">
        <v>16</v>
      </c>
      <c r="C82" s="22">
        <v>753600</v>
      </c>
      <c r="D82" s="23">
        <v>1</v>
      </c>
      <c r="E82" s="24" t="str">
        <f t="shared" si="1"/>
        <v>CU_ARS_2025_WOF_F2_9_plant_40</v>
      </c>
      <c r="F82" s="21" t="s">
        <v>93</v>
      </c>
      <c r="G82" s="44" t="s">
        <v>210</v>
      </c>
      <c r="H82" s="42"/>
      <c r="I82" s="42" t="s">
        <v>1014</v>
      </c>
      <c r="J82" s="42" t="s">
        <v>1003</v>
      </c>
      <c r="K82" s="42"/>
      <c r="L82" s="42"/>
      <c r="M82" s="42"/>
      <c r="N82" t="str">
        <f>VLOOKUP(C82,CU_ARS_2025_WOF_F2!$A$2:$K$673,2,FALSE)</f>
        <v>CU_ARS_2025_WOF_F2_9_plant_40</v>
      </c>
      <c r="O82" t="str">
        <f>VLOOKUP(C82,CU_ARS_2025_WOF_F2!$A$2:$K$673,2,FALSE)</f>
        <v>CU_ARS_2025_WOF_F2_9_plant_40</v>
      </c>
      <c r="P82" t="str">
        <f>VLOOKUP(C82,CU_ARS_2025_WOF_F2!$A$2:$K$673,3,FALSE)</f>
        <v>CU_ARS_2025_WOF_F2_9</v>
      </c>
      <c r="Q82" t="str">
        <f>VLOOKUP(C82,CU_ARS_2025_WOF_F2!$A$2:$K$673,4,FALSE)</f>
        <v>CU_ARS_2025_WOF_cross_1</v>
      </c>
      <c r="R82">
        <f>VLOOKUP(C82,CU_ARS_2025_WOF_F2!$A$2:$K$673,5,FALSE)</f>
        <v>9</v>
      </c>
      <c r="S82">
        <f>VLOOKUP(C82,CU_ARS_2025_WOF_F2!$A$2:$K$673,6,FALSE)</f>
        <v>1</v>
      </c>
      <c r="T82">
        <f>VLOOKUP(C82,CU_ARS_2025_WOF_F2!$A$2:$K$673,7,FALSE)</f>
        <v>0</v>
      </c>
      <c r="U82">
        <f>VLOOKUP(C82,CU_ARS_2025_WOF_F2!$A$2:$K$673,8,FALSE)</f>
        <v>1</v>
      </c>
      <c r="V82">
        <f>VLOOKUP(C82,CU_ARS_2025_WOF_F2!$A$2:$K$673,9,FALSE)</f>
        <v>0</v>
      </c>
      <c r="W82">
        <f>VLOOKUP(C82,CU_ARS_2025_WOF_F2!$A$2:$K$673,10,FALSE)</f>
        <v>0</v>
      </c>
      <c r="X82">
        <f>VLOOKUP(C82,CU_ARS_2025_WOF_F2!$A$2:$K$673,11,FALSE)</f>
        <v>40</v>
      </c>
      <c r="Y82" t="str">
        <f>VLOOKUP(Q82,cross_pedigree!$A$2:$B$23,2,FALSE)</f>
        <v>AURORA/AWNLESS_CURLED</v>
      </c>
    </row>
    <row r="83" spans="1:25" ht="18">
      <c r="A83" s="20" t="s">
        <v>15</v>
      </c>
      <c r="B83" s="21" t="s">
        <v>16</v>
      </c>
      <c r="C83" s="22">
        <v>753606</v>
      </c>
      <c r="D83" s="23">
        <v>1</v>
      </c>
      <c r="E83" s="24" t="str">
        <f t="shared" si="1"/>
        <v>CU_ARS_2025_WOF_F2_9_plant_46</v>
      </c>
      <c r="F83" s="21" t="s">
        <v>94</v>
      </c>
      <c r="G83" s="44" t="s">
        <v>211</v>
      </c>
      <c r="H83" s="42"/>
      <c r="I83" s="42" t="s">
        <v>1014</v>
      </c>
      <c r="J83" s="42" t="s">
        <v>1003</v>
      </c>
      <c r="K83" s="42"/>
      <c r="L83" s="42"/>
      <c r="M83" s="42"/>
      <c r="N83" t="str">
        <f>VLOOKUP(C83,CU_ARS_2025_WOF_F2!$A$2:$K$673,2,FALSE)</f>
        <v>CU_ARS_2025_WOF_F2_9_plant_46</v>
      </c>
      <c r="O83" t="str">
        <f>VLOOKUP(C83,CU_ARS_2025_WOF_F2!$A$2:$K$673,2,FALSE)</f>
        <v>CU_ARS_2025_WOF_F2_9_plant_46</v>
      </c>
      <c r="P83" t="str">
        <f>VLOOKUP(C83,CU_ARS_2025_WOF_F2!$A$2:$K$673,3,FALSE)</f>
        <v>CU_ARS_2025_WOF_F2_9</v>
      </c>
      <c r="Q83" t="str">
        <f>VLOOKUP(C83,CU_ARS_2025_WOF_F2!$A$2:$K$673,4,FALSE)</f>
        <v>CU_ARS_2025_WOF_cross_1</v>
      </c>
      <c r="R83">
        <f>VLOOKUP(C83,CU_ARS_2025_WOF_F2!$A$2:$K$673,5,FALSE)</f>
        <v>9</v>
      </c>
      <c r="S83">
        <f>VLOOKUP(C83,CU_ARS_2025_WOF_F2!$A$2:$K$673,6,FALSE)</f>
        <v>1</v>
      </c>
      <c r="T83">
        <f>VLOOKUP(C83,CU_ARS_2025_WOF_F2!$A$2:$K$673,7,FALSE)</f>
        <v>0</v>
      </c>
      <c r="U83">
        <f>VLOOKUP(C83,CU_ARS_2025_WOF_F2!$A$2:$K$673,8,FALSE)</f>
        <v>1</v>
      </c>
      <c r="V83">
        <f>VLOOKUP(C83,CU_ARS_2025_WOF_F2!$A$2:$K$673,9,FALSE)</f>
        <v>0</v>
      </c>
      <c r="W83">
        <f>VLOOKUP(C83,CU_ARS_2025_WOF_F2!$A$2:$K$673,10,FALSE)</f>
        <v>0</v>
      </c>
      <c r="X83">
        <f>VLOOKUP(C83,CU_ARS_2025_WOF_F2!$A$2:$K$673,11,FALSE)</f>
        <v>46</v>
      </c>
      <c r="Y83" t="str">
        <f>VLOOKUP(Q83,cross_pedigree!$A$2:$B$23,2,FALSE)</f>
        <v>AURORA/AWNLESS_CURLED</v>
      </c>
    </row>
    <row r="84" spans="1:25" ht="18">
      <c r="A84" s="20" t="s">
        <v>15</v>
      </c>
      <c r="B84" s="21" t="s">
        <v>16</v>
      </c>
      <c r="C84" s="22">
        <v>753607</v>
      </c>
      <c r="D84" s="23">
        <v>1</v>
      </c>
      <c r="E84" s="24" t="str">
        <f t="shared" si="1"/>
        <v>CU_ARS_2025_WOF_F2_9_plant_47</v>
      </c>
      <c r="F84" s="21" t="s">
        <v>49</v>
      </c>
      <c r="G84" s="44" t="s">
        <v>50</v>
      </c>
      <c r="H84" s="42"/>
      <c r="I84" s="42" t="s">
        <v>1014</v>
      </c>
      <c r="J84" s="42" t="s">
        <v>1003</v>
      </c>
      <c r="K84" s="42"/>
      <c r="L84" s="42"/>
      <c r="M84" s="42"/>
      <c r="N84" t="str">
        <f>VLOOKUP(C84,CU_ARS_2025_WOF_F2!$A$2:$K$673,2,FALSE)</f>
        <v>CU_ARS_2025_WOF_F2_9_plant_47</v>
      </c>
      <c r="O84" t="str">
        <f>VLOOKUP(C84,CU_ARS_2025_WOF_F2!$A$2:$K$673,2,FALSE)</f>
        <v>CU_ARS_2025_WOF_F2_9_plant_47</v>
      </c>
      <c r="P84" t="str">
        <f>VLOOKUP(C84,CU_ARS_2025_WOF_F2!$A$2:$K$673,3,FALSE)</f>
        <v>CU_ARS_2025_WOF_F2_9</v>
      </c>
      <c r="Q84" t="str">
        <f>VLOOKUP(C84,CU_ARS_2025_WOF_F2!$A$2:$K$673,4,FALSE)</f>
        <v>CU_ARS_2025_WOF_cross_1</v>
      </c>
      <c r="R84">
        <f>VLOOKUP(C84,CU_ARS_2025_WOF_F2!$A$2:$K$673,5,FALSE)</f>
        <v>9</v>
      </c>
      <c r="S84">
        <f>VLOOKUP(C84,CU_ARS_2025_WOF_F2!$A$2:$K$673,6,FALSE)</f>
        <v>1</v>
      </c>
      <c r="T84">
        <f>VLOOKUP(C84,CU_ARS_2025_WOF_F2!$A$2:$K$673,7,FALSE)</f>
        <v>0</v>
      </c>
      <c r="U84">
        <f>VLOOKUP(C84,CU_ARS_2025_WOF_F2!$A$2:$K$673,8,FALSE)</f>
        <v>1</v>
      </c>
      <c r="V84">
        <f>VLOOKUP(C84,CU_ARS_2025_WOF_F2!$A$2:$K$673,9,FALSE)</f>
        <v>0</v>
      </c>
      <c r="W84">
        <f>VLOOKUP(C84,CU_ARS_2025_WOF_F2!$A$2:$K$673,10,FALSE)</f>
        <v>0</v>
      </c>
      <c r="X84">
        <f>VLOOKUP(C84,CU_ARS_2025_WOF_F2!$A$2:$K$673,11,FALSE)</f>
        <v>47</v>
      </c>
      <c r="Y84" t="str">
        <f>VLOOKUP(Q84,cross_pedigree!$A$2:$B$23,2,FALSE)</f>
        <v>AURORA/AWNLESS_CURLED</v>
      </c>
    </row>
    <row r="85" spans="1:25" ht="18">
      <c r="A85" s="20" t="s">
        <v>15</v>
      </c>
      <c r="B85" s="21" t="s">
        <v>16</v>
      </c>
      <c r="C85" s="22">
        <v>753608</v>
      </c>
      <c r="D85" s="23">
        <v>1</v>
      </c>
      <c r="E85" s="24" t="str">
        <f t="shared" si="1"/>
        <v>CU_ARS_2025_WOF_F2_9_plant_48</v>
      </c>
      <c r="F85" s="21" t="s">
        <v>51</v>
      </c>
      <c r="G85" s="44" t="s">
        <v>52</v>
      </c>
      <c r="H85" s="42"/>
      <c r="I85" s="42" t="s">
        <v>1014</v>
      </c>
      <c r="J85" s="42" t="s">
        <v>1003</v>
      </c>
      <c r="K85" s="42"/>
      <c r="L85" s="42"/>
      <c r="M85" s="42"/>
      <c r="N85" t="str">
        <f>VLOOKUP(C85,CU_ARS_2025_WOF_F2!$A$2:$K$673,2,FALSE)</f>
        <v>CU_ARS_2025_WOF_F2_9_plant_48</v>
      </c>
      <c r="O85" t="str">
        <f>VLOOKUP(C85,CU_ARS_2025_WOF_F2!$A$2:$K$673,2,FALSE)</f>
        <v>CU_ARS_2025_WOF_F2_9_plant_48</v>
      </c>
      <c r="P85" t="str">
        <f>VLOOKUP(C85,CU_ARS_2025_WOF_F2!$A$2:$K$673,3,FALSE)</f>
        <v>CU_ARS_2025_WOF_F2_9</v>
      </c>
      <c r="Q85" t="str">
        <f>VLOOKUP(C85,CU_ARS_2025_WOF_F2!$A$2:$K$673,4,FALSE)</f>
        <v>CU_ARS_2025_WOF_cross_1</v>
      </c>
      <c r="R85">
        <f>VLOOKUP(C85,CU_ARS_2025_WOF_F2!$A$2:$K$673,5,FALSE)</f>
        <v>9</v>
      </c>
      <c r="S85">
        <f>VLOOKUP(C85,CU_ARS_2025_WOF_F2!$A$2:$K$673,6,FALSE)</f>
        <v>1</v>
      </c>
      <c r="T85">
        <f>VLOOKUP(C85,CU_ARS_2025_WOF_F2!$A$2:$K$673,7,FALSE)</f>
        <v>0</v>
      </c>
      <c r="U85">
        <f>VLOOKUP(C85,CU_ARS_2025_WOF_F2!$A$2:$K$673,8,FALSE)</f>
        <v>1</v>
      </c>
      <c r="V85">
        <f>VLOOKUP(C85,CU_ARS_2025_WOF_F2!$A$2:$K$673,9,FALSE)</f>
        <v>0</v>
      </c>
      <c r="W85">
        <f>VLOOKUP(C85,CU_ARS_2025_WOF_F2!$A$2:$K$673,10,FALSE)</f>
        <v>0</v>
      </c>
      <c r="X85">
        <f>VLOOKUP(C85,CU_ARS_2025_WOF_F2!$A$2:$K$673,11,FALSE)</f>
        <v>48</v>
      </c>
      <c r="Y85" t="str">
        <f>VLOOKUP(Q85,cross_pedigree!$A$2:$B$23,2,FALSE)</f>
        <v>AURORA/AWNLESS_CURLED</v>
      </c>
    </row>
    <row r="86" spans="1:25" ht="18">
      <c r="A86" s="20" t="s">
        <v>15</v>
      </c>
      <c r="B86" s="21" t="s">
        <v>16</v>
      </c>
      <c r="C86" s="22">
        <v>753614</v>
      </c>
      <c r="D86" s="23">
        <v>1</v>
      </c>
      <c r="E86" s="24" t="str">
        <f t="shared" si="1"/>
        <v>CU_ARS_2025_WOF_F2_9_plant_54</v>
      </c>
      <c r="F86" s="21" t="s">
        <v>95</v>
      </c>
      <c r="G86" s="44" t="s">
        <v>212</v>
      </c>
      <c r="H86" s="42"/>
      <c r="I86" s="42" t="s">
        <v>1014</v>
      </c>
      <c r="J86" s="42" t="s">
        <v>1003</v>
      </c>
      <c r="K86" s="42"/>
      <c r="L86" s="42"/>
      <c r="M86" s="42"/>
      <c r="N86" t="str">
        <f>VLOOKUP(C86,CU_ARS_2025_WOF_F2!$A$2:$K$673,2,FALSE)</f>
        <v>CU_ARS_2025_WOF_F2_9_plant_54</v>
      </c>
      <c r="O86" t="str">
        <f>VLOOKUP(C86,CU_ARS_2025_WOF_F2!$A$2:$K$673,2,FALSE)</f>
        <v>CU_ARS_2025_WOF_F2_9_plant_54</v>
      </c>
      <c r="P86" t="str">
        <f>VLOOKUP(C86,CU_ARS_2025_WOF_F2!$A$2:$K$673,3,FALSE)</f>
        <v>CU_ARS_2025_WOF_F2_9</v>
      </c>
      <c r="Q86" t="str">
        <f>VLOOKUP(C86,CU_ARS_2025_WOF_F2!$A$2:$K$673,4,FALSE)</f>
        <v>CU_ARS_2025_WOF_cross_1</v>
      </c>
      <c r="R86">
        <f>VLOOKUP(C86,CU_ARS_2025_WOF_F2!$A$2:$K$673,5,FALSE)</f>
        <v>9</v>
      </c>
      <c r="S86">
        <f>VLOOKUP(C86,CU_ARS_2025_WOF_F2!$A$2:$K$673,6,FALSE)</f>
        <v>1</v>
      </c>
      <c r="T86">
        <f>VLOOKUP(C86,CU_ARS_2025_WOF_F2!$A$2:$K$673,7,FALSE)</f>
        <v>0</v>
      </c>
      <c r="U86">
        <f>VLOOKUP(C86,CU_ARS_2025_WOF_F2!$A$2:$K$673,8,FALSE)</f>
        <v>1</v>
      </c>
      <c r="V86">
        <f>VLOOKUP(C86,CU_ARS_2025_WOF_F2!$A$2:$K$673,9,FALSE)</f>
        <v>0</v>
      </c>
      <c r="W86">
        <f>VLOOKUP(C86,CU_ARS_2025_WOF_F2!$A$2:$K$673,10,FALSE)</f>
        <v>0</v>
      </c>
      <c r="X86">
        <f>VLOOKUP(C86,CU_ARS_2025_WOF_F2!$A$2:$K$673,11,FALSE)</f>
        <v>54</v>
      </c>
      <c r="Y86" t="str">
        <f>VLOOKUP(Q86,cross_pedigree!$A$2:$B$23,2,FALSE)</f>
        <v>AURORA/AWNLESS_CURLED</v>
      </c>
    </row>
    <row r="87" spans="1:25" ht="18">
      <c r="A87" s="20" t="s">
        <v>15</v>
      </c>
      <c r="B87" s="21" t="s">
        <v>16</v>
      </c>
      <c r="C87" s="22">
        <v>753615</v>
      </c>
      <c r="D87" s="23">
        <v>1</v>
      </c>
      <c r="E87" s="24" t="str">
        <f t="shared" si="1"/>
        <v>CU_ARS_2025_WOF_F2_9_plant_55</v>
      </c>
      <c r="F87" s="21" t="s">
        <v>53</v>
      </c>
      <c r="G87" s="44" t="s">
        <v>54</v>
      </c>
      <c r="H87" s="42"/>
      <c r="I87" s="42" t="s">
        <v>1014</v>
      </c>
      <c r="J87" s="42" t="s">
        <v>1003</v>
      </c>
      <c r="K87" s="42"/>
      <c r="L87" s="42"/>
      <c r="M87" s="42"/>
      <c r="N87" t="str">
        <f>VLOOKUP(C87,CU_ARS_2025_WOF_F2!$A$2:$K$673,2,FALSE)</f>
        <v>CU_ARS_2025_WOF_F2_9_plant_55</v>
      </c>
      <c r="O87" t="str">
        <f>VLOOKUP(C87,CU_ARS_2025_WOF_F2!$A$2:$K$673,2,FALSE)</f>
        <v>CU_ARS_2025_WOF_F2_9_plant_55</v>
      </c>
      <c r="P87" t="str">
        <f>VLOOKUP(C87,CU_ARS_2025_WOF_F2!$A$2:$K$673,3,FALSE)</f>
        <v>CU_ARS_2025_WOF_F2_9</v>
      </c>
      <c r="Q87" t="str">
        <f>VLOOKUP(C87,CU_ARS_2025_WOF_F2!$A$2:$K$673,4,FALSE)</f>
        <v>CU_ARS_2025_WOF_cross_1</v>
      </c>
      <c r="R87">
        <f>VLOOKUP(C87,CU_ARS_2025_WOF_F2!$A$2:$K$673,5,FALSE)</f>
        <v>9</v>
      </c>
      <c r="S87">
        <f>VLOOKUP(C87,CU_ARS_2025_WOF_F2!$A$2:$K$673,6,FALSE)</f>
        <v>1</v>
      </c>
      <c r="T87">
        <f>VLOOKUP(C87,CU_ARS_2025_WOF_F2!$A$2:$K$673,7,FALSE)</f>
        <v>0</v>
      </c>
      <c r="U87">
        <f>VLOOKUP(C87,CU_ARS_2025_WOF_F2!$A$2:$K$673,8,FALSE)</f>
        <v>1</v>
      </c>
      <c r="V87">
        <f>VLOOKUP(C87,CU_ARS_2025_WOF_F2!$A$2:$K$673,9,FALSE)</f>
        <v>0</v>
      </c>
      <c r="W87">
        <f>VLOOKUP(C87,CU_ARS_2025_WOF_F2!$A$2:$K$673,10,FALSE)</f>
        <v>0</v>
      </c>
      <c r="X87">
        <f>VLOOKUP(C87,CU_ARS_2025_WOF_F2!$A$2:$K$673,11,FALSE)</f>
        <v>55</v>
      </c>
      <c r="Y87" t="str">
        <f>VLOOKUP(Q87,cross_pedigree!$A$2:$B$23,2,FALSE)</f>
        <v>AURORA/AWNLESS_CURLED</v>
      </c>
    </row>
    <row r="88" spans="1:25" ht="18">
      <c r="A88" s="20" t="s">
        <v>15</v>
      </c>
      <c r="B88" s="21" t="s">
        <v>16</v>
      </c>
      <c r="C88" s="22">
        <v>753616</v>
      </c>
      <c r="D88" s="23">
        <v>1</v>
      </c>
      <c r="E88" s="24" t="str">
        <f t="shared" si="1"/>
        <v>CU_ARS_2025_WOF_F2_9_plant_56</v>
      </c>
      <c r="F88" s="21" t="s">
        <v>55</v>
      </c>
      <c r="G88" s="44" t="s">
        <v>56</v>
      </c>
      <c r="H88" s="42"/>
      <c r="I88" s="42" t="s">
        <v>1014</v>
      </c>
      <c r="J88" s="42" t="s">
        <v>1003</v>
      </c>
      <c r="K88" s="42"/>
      <c r="L88" s="42"/>
      <c r="M88" s="42"/>
      <c r="N88" t="str">
        <f>VLOOKUP(C88,CU_ARS_2025_WOF_F2!$A$2:$K$673,2,FALSE)</f>
        <v>CU_ARS_2025_WOF_F2_9_plant_56</v>
      </c>
      <c r="O88" t="str">
        <f>VLOOKUP(C88,CU_ARS_2025_WOF_F2!$A$2:$K$673,2,FALSE)</f>
        <v>CU_ARS_2025_WOF_F2_9_plant_56</v>
      </c>
      <c r="P88" t="str">
        <f>VLOOKUP(C88,CU_ARS_2025_WOF_F2!$A$2:$K$673,3,FALSE)</f>
        <v>CU_ARS_2025_WOF_F2_9</v>
      </c>
      <c r="Q88" t="str">
        <f>VLOOKUP(C88,CU_ARS_2025_WOF_F2!$A$2:$K$673,4,FALSE)</f>
        <v>CU_ARS_2025_WOF_cross_1</v>
      </c>
      <c r="R88">
        <f>VLOOKUP(C88,CU_ARS_2025_WOF_F2!$A$2:$K$673,5,FALSE)</f>
        <v>9</v>
      </c>
      <c r="S88">
        <f>VLOOKUP(C88,CU_ARS_2025_WOF_F2!$A$2:$K$673,6,FALSE)</f>
        <v>1</v>
      </c>
      <c r="T88">
        <f>VLOOKUP(C88,CU_ARS_2025_WOF_F2!$A$2:$K$673,7,FALSE)</f>
        <v>0</v>
      </c>
      <c r="U88">
        <f>VLOOKUP(C88,CU_ARS_2025_WOF_F2!$A$2:$K$673,8,FALSE)</f>
        <v>1</v>
      </c>
      <c r="V88">
        <f>VLOOKUP(C88,CU_ARS_2025_WOF_F2!$A$2:$K$673,9,FALSE)</f>
        <v>0</v>
      </c>
      <c r="W88">
        <f>VLOOKUP(C88,CU_ARS_2025_WOF_F2!$A$2:$K$673,10,FALSE)</f>
        <v>0</v>
      </c>
      <c r="X88">
        <f>VLOOKUP(C88,CU_ARS_2025_WOF_F2!$A$2:$K$673,11,FALSE)</f>
        <v>56</v>
      </c>
      <c r="Y88" t="str">
        <f>VLOOKUP(Q88,cross_pedigree!$A$2:$B$23,2,FALSE)</f>
        <v>AURORA/AWNLESS_CURLED</v>
      </c>
    </row>
    <row r="89" spans="1:25" ht="18">
      <c r="A89" s="20" t="s">
        <v>15</v>
      </c>
      <c r="B89" s="21" t="s">
        <v>16</v>
      </c>
      <c r="C89" s="22">
        <v>753609</v>
      </c>
      <c r="D89" s="23">
        <v>1</v>
      </c>
      <c r="E89" s="24" t="str">
        <f t="shared" si="1"/>
        <v>CU_ARS_2025_WOF_F2_9_plant_49</v>
      </c>
      <c r="F89" s="21" t="s">
        <v>57</v>
      </c>
      <c r="G89" s="44" t="s">
        <v>58</v>
      </c>
      <c r="H89" s="42"/>
      <c r="I89" s="42" t="s">
        <v>1014</v>
      </c>
      <c r="J89" s="42" t="s">
        <v>1003</v>
      </c>
      <c r="K89" s="42"/>
      <c r="L89" s="42"/>
      <c r="M89" s="42"/>
      <c r="N89" t="str">
        <f>VLOOKUP(C89,CU_ARS_2025_WOF_F2!$A$2:$K$673,2,FALSE)</f>
        <v>CU_ARS_2025_WOF_F2_9_plant_49</v>
      </c>
      <c r="O89" t="str">
        <f>VLOOKUP(C89,CU_ARS_2025_WOF_F2!$A$2:$K$673,2,FALSE)</f>
        <v>CU_ARS_2025_WOF_F2_9_plant_49</v>
      </c>
      <c r="P89" t="str">
        <f>VLOOKUP(C89,CU_ARS_2025_WOF_F2!$A$2:$K$673,3,FALSE)</f>
        <v>CU_ARS_2025_WOF_F2_9</v>
      </c>
      <c r="Q89" t="str">
        <f>VLOOKUP(C89,CU_ARS_2025_WOF_F2!$A$2:$K$673,4,FALSE)</f>
        <v>CU_ARS_2025_WOF_cross_1</v>
      </c>
      <c r="R89">
        <f>VLOOKUP(C89,CU_ARS_2025_WOF_F2!$A$2:$K$673,5,FALSE)</f>
        <v>9</v>
      </c>
      <c r="S89">
        <f>VLOOKUP(C89,CU_ARS_2025_WOF_F2!$A$2:$K$673,6,FALSE)</f>
        <v>1</v>
      </c>
      <c r="T89">
        <f>VLOOKUP(C89,CU_ARS_2025_WOF_F2!$A$2:$K$673,7,FALSE)</f>
        <v>0</v>
      </c>
      <c r="U89">
        <f>VLOOKUP(C89,CU_ARS_2025_WOF_F2!$A$2:$K$673,8,FALSE)</f>
        <v>1</v>
      </c>
      <c r="V89">
        <f>VLOOKUP(C89,CU_ARS_2025_WOF_F2!$A$2:$K$673,9,FALSE)</f>
        <v>0</v>
      </c>
      <c r="W89">
        <f>VLOOKUP(C89,CU_ARS_2025_WOF_F2!$A$2:$K$673,10,FALSE)</f>
        <v>0</v>
      </c>
      <c r="X89">
        <f>VLOOKUP(C89,CU_ARS_2025_WOF_F2!$A$2:$K$673,11,FALSE)</f>
        <v>49</v>
      </c>
      <c r="Y89" t="str">
        <f>VLOOKUP(Q89,cross_pedigree!$A$2:$B$23,2,FALSE)</f>
        <v>AURORA/AWNLESS_CURLED</v>
      </c>
    </row>
    <row r="90" spans="1:25" ht="18">
      <c r="A90" s="20" t="s">
        <v>15</v>
      </c>
      <c r="B90" s="21" t="s">
        <v>16</v>
      </c>
      <c r="C90" s="22">
        <v>753610</v>
      </c>
      <c r="D90" s="23">
        <v>1</v>
      </c>
      <c r="E90" s="24" t="str">
        <f t="shared" si="1"/>
        <v>CU_ARS_2025_WOF_F2_9_plant_50</v>
      </c>
      <c r="F90" s="21" t="s">
        <v>59</v>
      </c>
      <c r="G90" s="44" t="s">
        <v>60</v>
      </c>
      <c r="H90" s="42"/>
      <c r="I90" s="42" t="s">
        <v>1014</v>
      </c>
      <c r="J90" s="42" t="s">
        <v>1003</v>
      </c>
      <c r="K90" s="42"/>
      <c r="L90" s="42"/>
      <c r="M90" s="42"/>
      <c r="N90" t="str">
        <f>VLOOKUP(C90,CU_ARS_2025_WOF_F2!$A$2:$K$673,2,FALSE)</f>
        <v>CU_ARS_2025_WOF_F2_9_plant_50</v>
      </c>
      <c r="O90" t="str">
        <f>VLOOKUP(C90,CU_ARS_2025_WOF_F2!$A$2:$K$673,2,FALSE)</f>
        <v>CU_ARS_2025_WOF_F2_9_plant_50</v>
      </c>
      <c r="P90" t="str">
        <f>VLOOKUP(C90,CU_ARS_2025_WOF_F2!$A$2:$K$673,3,FALSE)</f>
        <v>CU_ARS_2025_WOF_F2_9</v>
      </c>
      <c r="Q90" t="str">
        <f>VLOOKUP(C90,CU_ARS_2025_WOF_F2!$A$2:$K$673,4,FALSE)</f>
        <v>CU_ARS_2025_WOF_cross_1</v>
      </c>
      <c r="R90">
        <f>VLOOKUP(C90,CU_ARS_2025_WOF_F2!$A$2:$K$673,5,FALSE)</f>
        <v>9</v>
      </c>
      <c r="S90">
        <f>VLOOKUP(C90,CU_ARS_2025_WOF_F2!$A$2:$K$673,6,FALSE)</f>
        <v>1</v>
      </c>
      <c r="T90">
        <f>VLOOKUP(C90,CU_ARS_2025_WOF_F2!$A$2:$K$673,7,FALSE)</f>
        <v>0</v>
      </c>
      <c r="U90">
        <f>VLOOKUP(C90,CU_ARS_2025_WOF_F2!$A$2:$K$673,8,FALSE)</f>
        <v>1</v>
      </c>
      <c r="V90">
        <f>VLOOKUP(C90,CU_ARS_2025_WOF_F2!$A$2:$K$673,9,FALSE)</f>
        <v>0</v>
      </c>
      <c r="W90">
        <f>VLOOKUP(C90,CU_ARS_2025_WOF_F2!$A$2:$K$673,10,FALSE)</f>
        <v>0</v>
      </c>
      <c r="X90">
        <f>VLOOKUP(C90,CU_ARS_2025_WOF_F2!$A$2:$K$673,11,FALSE)</f>
        <v>50</v>
      </c>
      <c r="Y90" t="str">
        <f>VLOOKUP(Q90,cross_pedigree!$A$2:$B$23,2,FALSE)</f>
        <v>AURORA/AWNLESS_CURLED</v>
      </c>
    </row>
    <row r="91" spans="1:25" ht="18">
      <c r="A91" s="20" t="s">
        <v>15</v>
      </c>
      <c r="B91" s="21" t="s">
        <v>16</v>
      </c>
      <c r="C91" s="22">
        <v>753611</v>
      </c>
      <c r="D91" s="23">
        <v>1</v>
      </c>
      <c r="E91" s="24" t="str">
        <f t="shared" si="1"/>
        <v>CU_ARS_2025_WOF_F2_9_plant_51</v>
      </c>
      <c r="F91" s="21" t="s">
        <v>61</v>
      </c>
      <c r="G91" s="44" t="s">
        <v>62</v>
      </c>
      <c r="H91" s="42"/>
      <c r="I91" s="42" t="s">
        <v>1014</v>
      </c>
      <c r="J91" s="42" t="s">
        <v>1003</v>
      </c>
      <c r="K91" s="42"/>
      <c r="L91" s="42"/>
      <c r="M91" s="42"/>
      <c r="N91" t="str">
        <f>VLOOKUP(C91,CU_ARS_2025_WOF_F2!$A$2:$K$673,2,FALSE)</f>
        <v>CU_ARS_2025_WOF_F2_9_plant_51</v>
      </c>
      <c r="O91" t="str">
        <f>VLOOKUP(C91,CU_ARS_2025_WOF_F2!$A$2:$K$673,2,FALSE)</f>
        <v>CU_ARS_2025_WOF_F2_9_plant_51</v>
      </c>
      <c r="P91" t="str">
        <f>VLOOKUP(C91,CU_ARS_2025_WOF_F2!$A$2:$K$673,3,FALSE)</f>
        <v>CU_ARS_2025_WOF_F2_9</v>
      </c>
      <c r="Q91" t="str">
        <f>VLOOKUP(C91,CU_ARS_2025_WOF_F2!$A$2:$K$673,4,FALSE)</f>
        <v>CU_ARS_2025_WOF_cross_1</v>
      </c>
      <c r="R91">
        <f>VLOOKUP(C91,CU_ARS_2025_WOF_F2!$A$2:$K$673,5,FALSE)</f>
        <v>9</v>
      </c>
      <c r="S91">
        <f>VLOOKUP(C91,CU_ARS_2025_WOF_F2!$A$2:$K$673,6,FALSE)</f>
        <v>1</v>
      </c>
      <c r="T91">
        <f>VLOOKUP(C91,CU_ARS_2025_WOF_F2!$A$2:$K$673,7,FALSE)</f>
        <v>0</v>
      </c>
      <c r="U91">
        <f>VLOOKUP(C91,CU_ARS_2025_WOF_F2!$A$2:$K$673,8,FALSE)</f>
        <v>1</v>
      </c>
      <c r="V91">
        <f>VLOOKUP(C91,CU_ARS_2025_WOF_F2!$A$2:$K$673,9,FALSE)</f>
        <v>0</v>
      </c>
      <c r="W91">
        <f>VLOOKUP(C91,CU_ARS_2025_WOF_F2!$A$2:$K$673,10,FALSE)</f>
        <v>0</v>
      </c>
      <c r="X91">
        <f>VLOOKUP(C91,CU_ARS_2025_WOF_F2!$A$2:$K$673,11,FALSE)</f>
        <v>51</v>
      </c>
      <c r="Y91" t="str">
        <f>VLOOKUP(Q91,cross_pedigree!$A$2:$B$23,2,FALSE)</f>
        <v>AURORA/AWNLESS_CURLED</v>
      </c>
    </row>
    <row r="92" spans="1:25" ht="18">
      <c r="A92" s="20" t="s">
        <v>15</v>
      </c>
      <c r="B92" s="21" t="s">
        <v>16</v>
      </c>
      <c r="C92" s="22">
        <v>753612</v>
      </c>
      <c r="D92" s="23">
        <v>1</v>
      </c>
      <c r="E92" s="24" t="str">
        <f t="shared" si="1"/>
        <v>CU_ARS_2025_WOF_F2_9_plant_52</v>
      </c>
      <c r="F92" s="21" t="s">
        <v>63</v>
      </c>
      <c r="G92" s="44" t="s">
        <v>64</v>
      </c>
      <c r="H92" s="42"/>
      <c r="I92" s="42" t="s">
        <v>1014</v>
      </c>
      <c r="J92" s="42" t="s">
        <v>1003</v>
      </c>
      <c r="K92" s="42"/>
      <c r="L92" s="42"/>
      <c r="M92" s="42"/>
      <c r="N92" t="str">
        <f>VLOOKUP(C92,CU_ARS_2025_WOF_F2!$A$2:$K$673,2,FALSE)</f>
        <v>CU_ARS_2025_WOF_F2_9_plant_52</v>
      </c>
      <c r="O92" t="str">
        <f>VLOOKUP(C92,CU_ARS_2025_WOF_F2!$A$2:$K$673,2,FALSE)</f>
        <v>CU_ARS_2025_WOF_F2_9_plant_52</v>
      </c>
      <c r="P92" t="str">
        <f>VLOOKUP(C92,CU_ARS_2025_WOF_F2!$A$2:$K$673,3,FALSE)</f>
        <v>CU_ARS_2025_WOF_F2_9</v>
      </c>
      <c r="Q92" t="str">
        <f>VLOOKUP(C92,CU_ARS_2025_WOF_F2!$A$2:$K$673,4,FALSE)</f>
        <v>CU_ARS_2025_WOF_cross_1</v>
      </c>
      <c r="R92">
        <f>VLOOKUP(C92,CU_ARS_2025_WOF_F2!$A$2:$K$673,5,FALSE)</f>
        <v>9</v>
      </c>
      <c r="S92">
        <f>VLOOKUP(C92,CU_ARS_2025_WOF_F2!$A$2:$K$673,6,FALSE)</f>
        <v>1</v>
      </c>
      <c r="T92">
        <f>VLOOKUP(C92,CU_ARS_2025_WOF_F2!$A$2:$K$673,7,FALSE)</f>
        <v>0</v>
      </c>
      <c r="U92">
        <f>VLOOKUP(C92,CU_ARS_2025_WOF_F2!$A$2:$K$673,8,FALSE)</f>
        <v>1</v>
      </c>
      <c r="V92">
        <f>VLOOKUP(C92,CU_ARS_2025_WOF_F2!$A$2:$K$673,9,FALSE)</f>
        <v>0</v>
      </c>
      <c r="W92">
        <f>VLOOKUP(C92,CU_ARS_2025_WOF_F2!$A$2:$K$673,10,FALSE)</f>
        <v>0</v>
      </c>
      <c r="X92">
        <f>VLOOKUP(C92,CU_ARS_2025_WOF_F2!$A$2:$K$673,11,FALSE)</f>
        <v>52</v>
      </c>
      <c r="Y92" t="str">
        <f>VLOOKUP(Q92,cross_pedigree!$A$2:$B$23,2,FALSE)</f>
        <v>AURORA/AWNLESS_CURLED</v>
      </c>
    </row>
    <row r="93" spans="1:25" ht="18">
      <c r="A93" s="20" t="s">
        <v>15</v>
      </c>
      <c r="B93" s="21" t="s">
        <v>16</v>
      </c>
      <c r="C93" s="22">
        <v>753613</v>
      </c>
      <c r="D93" s="23">
        <v>1</v>
      </c>
      <c r="E93" s="24" t="str">
        <f t="shared" si="1"/>
        <v>CU_ARS_2025_WOF_F2_9_plant_53</v>
      </c>
      <c r="F93" s="21" t="s">
        <v>65</v>
      </c>
      <c r="G93" s="44" t="s">
        <v>66</v>
      </c>
      <c r="H93" s="42"/>
      <c r="I93" s="42" t="s">
        <v>1014</v>
      </c>
      <c r="J93" s="42" t="s">
        <v>1003</v>
      </c>
      <c r="K93" s="42"/>
      <c r="L93" s="42"/>
      <c r="M93" s="42"/>
      <c r="N93" t="str">
        <f>VLOOKUP(C93,CU_ARS_2025_WOF_F2!$A$2:$K$673,2,FALSE)</f>
        <v>CU_ARS_2025_WOF_F2_9_plant_53</v>
      </c>
      <c r="O93" t="str">
        <f>VLOOKUP(C93,CU_ARS_2025_WOF_F2!$A$2:$K$673,2,FALSE)</f>
        <v>CU_ARS_2025_WOF_F2_9_plant_53</v>
      </c>
      <c r="P93" t="str">
        <f>VLOOKUP(C93,CU_ARS_2025_WOF_F2!$A$2:$K$673,3,FALSE)</f>
        <v>CU_ARS_2025_WOF_F2_9</v>
      </c>
      <c r="Q93" t="str">
        <f>VLOOKUP(C93,CU_ARS_2025_WOF_F2!$A$2:$K$673,4,FALSE)</f>
        <v>CU_ARS_2025_WOF_cross_1</v>
      </c>
      <c r="R93">
        <f>VLOOKUP(C93,CU_ARS_2025_WOF_F2!$A$2:$K$673,5,FALSE)</f>
        <v>9</v>
      </c>
      <c r="S93">
        <f>VLOOKUP(C93,CU_ARS_2025_WOF_F2!$A$2:$K$673,6,FALSE)</f>
        <v>1</v>
      </c>
      <c r="T93">
        <f>VLOOKUP(C93,CU_ARS_2025_WOF_F2!$A$2:$K$673,7,FALSE)</f>
        <v>0</v>
      </c>
      <c r="U93">
        <f>VLOOKUP(C93,CU_ARS_2025_WOF_F2!$A$2:$K$673,8,FALSE)</f>
        <v>1</v>
      </c>
      <c r="V93">
        <f>VLOOKUP(C93,CU_ARS_2025_WOF_F2!$A$2:$K$673,9,FALSE)</f>
        <v>0</v>
      </c>
      <c r="W93">
        <f>VLOOKUP(C93,CU_ARS_2025_WOF_F2!$A$2:$K$673,10,FALSE)</f>
        <v>0</v>
      </c>
      <c r="X93">
        <f>VLOOKUP(C93,CU_ARS_2025_WOF_F2!$A$2:$K$673,11,FALSE)</f>
        <v>53</v>
      </c>
      <c r="Y93" t="str">
        <f>VLOOKUP(Q93,cross_pedigree!$A$2:$B$23,2,FALSE)</f>
        <v>AURORA/AWNLESS_CURLED</v>
      </c>
    </row>
    <row r="94" spans="1:25" ht="18">
      <c r="A94" s="20" t="s">
        <v>15</v>
      </c>
      <c r="B94" s="21" t="s">
        <v>16</v>
      </c>
      <c r="C94" s="22">
        <v>753622</v>
      </c>
      <c r="D94" s="23">
        <v>1</v>
      </c>
      <c r="E94" s="24" t="str">
        <f t="shared" si="1"/>
        <v>CU_ARS_2025_WOF_F2_9_plant_62</v>
      </c>
      <c r="F94" s="21" t="s">
        <v>67</v>
      </c>
      <c r="G94" s="44" t="s">
        <v>68</v>
      </c>
      <c r="H94" s="42"/>
      <c r="I94" s="42" t="s">
        <v>1014</v>
      </c>
      <c r="J94" s="42" t="s">
        <v>1003</v>
      </c>
      <c r="K94" s="42"/>
      <c r="L94" s="42"/>
      <c r="M94" s="42"/>
      <c r="N94" t="str">
        <f>VLOOKUP(C94,CU_ARS_2025_WOF_F2!$A$2:$K$673,2,FALSE)</f>
        <v>CU_ARS_2025_WOF_F2_9_plant_62</v>
      </c>
      <c r="O94" t="str">
        <f>VLOOKUP(C94,CU_ARS_2025_WOF_F2!$A$2:$K$673,2,FALSE)</f>
        <v>CU_ARS_2025_WOF_F2_9_plant_62</v>
      </c>
      <c r="P94" t="str">
        <f>VLOOKUP(C94,CU_ARS_2025_WOF_F2!$A$2:$K$673,3,FALSE)</f>
        <v>CU_ARS_2025_WOF_F2_9</v>
      </c>
      <c r="Q94" t="str">
        <f>VLOOKUP(C94,CU_ARS_2025_WOF_F2!$A$2:$K$673,4,FALSE)</f>
        <v>CU_ARS_2025_WOF_cross_1</v>
      </c>
      <c r="R94">
        <f>VLOOKUP(C94,CU_ARS_2025_WOF_F2!$A$2:$K$673,5,FALSE)</f>
        <v>9</v>
      </c>
      <c r="S94">
        <f>VLOOKUP(C94,CU_ARS_2025_WOF_F2!$A$2:$K$673,6,FALSE)</f>
        <v>1</v>
      </c>
      <c r="T94">
        <f>VLOOKUP(C94,CU_ARS_2025_WOF_F2!$A$2:$K$673,7,FALSE)</f>
        <v>0</v>
      </c>
      <c r="U94">
        <f>VLOOKUP(C94,CU_ARS_2025_WOF_F2!$A$2:$K$673,8,FALSE)</f>
        <v>1</v>
      </c>
      <c r="V94">
        <f>VLOOKUP(C94,CU_ARS_2025_WOF_F2!$A$2:$K$673,9,FALSE)</f>
        <v>0</v>
      </c>
      <c r="W94">
        <f>VLOOKUP(C94,CU_ARS_2025_WOF_F2!$A$2:$K$673,10,FALSE)</f>
        <v>0</v>
      </c>
      <c r="X94">
        <f>VLOOKUP(C94,CU_ARS_2025_WOF_F2!$A$2:$K$673,11,FALSE)</f>
        <v>62</v>
      </c>
      <c r="Y94" t="str">
        <f>VLOOKUP(Q94,cross_pedigree!$A$2:$B$23,2,FALSE)</f>
        <v>AURORA/AWNLESS_CURLED</v>
      </c>
    </row>
    <row r="95" spans="1:25" ht="18">
      <c r="A95" s="20" t="s">
        <v>15</v>
      </c>
      <c r="B95" s="21" t="s">
        <v>16</v>
      </c>
      <c r="C95" s="22">
        <v>753623</v>
      </c>
      <c r="D95" s="23">
        <v>1</v>
      </c>
      <c r="E95" s="24" t="str">
        <f t="shared" si="1"/>
        <v>CU_ARS_2025_WOF_F2_9_plant_63</v>
      </c>
      <c r="F95" s="21" t="s">
        <v>96</v>
      </c>
      <c r="G95" s="44" t="s">
        <v>213</v>
      </c>
      <c r="H95" s="42"/>
      <c r="I95" s="42" t="s">
        <v>1014</v>
      </c>
      <c r="J95" s="42" t="s">
        <v>1003</v>
      </c>
      <c r="K95" s="42"/>
      <c r="L95" s="42"/>
      <c r="M95" s="42"/>
      <c r="N95" t="str">
        <f>VLOOKUP(C95,CU_ARS_2025_WOF_F2!$A$2:$K$673,2,FALSE)</f>
        <v>CU_ARS_2025_WOF_F2_9_plant_63</v>
      </c>
      <c r="O95" t="str">
        <f>VLOOKUP(C95,CU_ARS_2025_WOF_F2!$A$2:$K$673,2,FALSE)</f>
        <v>CU_ARS_2025_WOF_F2_9_plant_63</v>
      </c>
      <c r="P95" t="str">
        <f>VLOOKUP(C95,CU_ARS_2025_WOF_F2!$A$2:$K$673,3,FALSE)</f>
        <v>CU_ARS_2025_WOF_F2_9</v>
      </c>
      <c r="Q95" t="str">
        <f>VLOOKUP(C95,CU_ARS_2025_WOF_F2!$A$2:$K$673,4,FALSE)</f>
        <v>CU_ARS_2025_WOF_cross_1</v>
      </c>
      <c r="R95">
        <f>VLOOKUP(C95,CU_ARS_2025_WOF_F2!$A$2:$K$673,5,FALSE)</f>
        <v>9</v>
      </c>
      <c r="S95">
        <f>VLOOKUP(C95,CU_ARS_2025_WOF_F2!$A$2:$K$673,6,FALSE)</f>
        <v>1</v>
      </c>
      <c r="T95">
        <f>VLOOKUP(C95,CU_ARS_2025_WOF_F2!$A$2:$K$673,7,FALSE)</f>
        <v>0</v>
      </c>
      <c r="U95">
        <f>VLOOKUP(C95,CU_ARS_2025_WOF_F2!$A$2:$K$673,8,FALSE)</f>
        <v>1</v>
      </c>
      <c r="V95">
        <f>VLOOKUP(C95,CU_ARS_2025_WOF_F2!$A$2:$K$673,9,FALSE)</f>
        <v>0</v>
      </c>
      <c r="W95">
        <f>VLOOKUP(C95,CU_ARS_2025_WOF_F2!$A$2:$K$673,10,FALSE)</f>
        <v>0</v>
      </c>
      <c r="X95">
        <f>VLOOKUP(C95,CU_ARS_2025_WOF_F2!$A$2:$K$673,11,FALSE)</f>
        <v>63</v>
      </c>
      <c r="Y95" t="str">
        <f>VLOOKUP(Q95,cross_pedigree!$A$2:$B$23,2,FALSE)</f>
        <v>AURORA/AWNLESS_CURLED</v>
      </c>
    </row>
    <row r="96" spans="1:25" ht="18">
      <c r="A96" s="20" t="s">
        <v>15</v>
      </c>
      <c r="B96" s="21" t="s">
        <v>16</v>
      </c>
      <c r="C96" s="22">
        <v>753624</v>
      </c>
      <c r="D96" s="23">
        <v>1</v>
      </c>
      <c r="E96" s="24" t="str">
        <f t="shared" si="1"/>
        <v>CU_ARS_2025_WOF_F2_9_plant_64</v>
      </c>
      <c r="F96" s="21" t="s">
        <v>97</v>
      </c>
      <c r="G96" s="44" t="s">
        <v>214</v>
      </c>
      <c r="H96" s="42"/>
      <c r="I96" s="42" t="s">
        <v>1014</v>
      </c>
      <c r="J96" s="42" t="s">
        <v>1003</v>
      </c>
      <c r="K96" s="42"/>
      <c r="L96" s="42"/>
      <c r="M96" s="42"/>
      <c r="N96" t="str">
        <f>VLOOKUP(C96,CU_ARS_2025_WOF_F2!$A$2:$K$673,2,FALSE)</f>
        <v>CU_ARS_2025_WOF_F2_9_plant_64</v>
      </c>
      <c r="O96" t="str">
        <f>VLOOKUP(C96,CU_ARS_2025_WOF_F2!$A$2:$K$673,2,FALSE)</f>
        <v>CU_ARS_2025_WOF_F2_9_plant_64</v>
      </c>
      <c r="P96" t="str">
        <f>VLOOKUP(C96,CU_ARS_2025_WOF_F2!$A$2:$K$673,3,FALSE)</f>
        <v>CU_ARS_2025_WOF_F2_9</v>
      </c>
      <c r="Q96" t="str">
        <f>VLOOKUP(C96,CU_ARS_2025_WOF_F2!$A$2:$K$673,4,FALSE)</f>
        <v>CU_ARS_2025_WOF_cross_1</v>
      </c>
      <c r="R96">
        <f>VLOOKUP(C96,CU_ARS_2025_WOF_F2!$A$2:$K$673,5,FALSE)</f>
        <v>9</v>
      </c>
      <c r="S96">
        <f>VLOOKUP(C96,CU_ARS_2025_WOF_F2!$A$2:$K$673,6,FALSE)</f>
        <v>1</v>
      </c>
      <c r="T96">
        <f>VLOOKUP(C96,CU_ARS_2025_WOF_F2!$A$2:$K$673,7,FALSE)</f>
        <v>0</v>
      </c>
      <c r="U96">
        <f>VLOOKUP(C96,CU_ARS_2025_WOF_F2!$A$2:$K$673,8,FALSE)</f>
        <v>1</v>
      </c>
      <c r="V96">
        <f>VLOOKUP(C96,CU_ARS_2025_WOF_F2!$A$2:$K$673,9,FALSE)</f>
        <v>0</v>
      </c>
      <c r="W96">
        <f>VLOOKUP(C96,CU_ARS_2025_WOF_F2!$A$2:$K$673,10,FALSE)</f>
        <v>0</v>
      </c>
      <c r="X96">
        <f>VLOOKUP(C96,CU_ARS_2025_WOF_F2!$A$2:$K$673,11,FALSE)</f>
        <v>64</v>
      </c>
      <c r="Y96" t="str">
        <f>VLOOKUP(Q96,cross_pedigree!$A$2:$B$23,2,FALSE)</f>
        <v>AURORA/AWNLESS_CURLED</v>
      </c>
    </row>
    <row r="97" spans="1:25" ht="18">
      <c r="A97" s="20" t="s">
        <v>15</v>
      </c>
      <c r="B97" s="21" t="s">
        <v>16</v>
      </c>
      <c r="C97" s="22">
        <v>753630</v>
      </c>
      <c r="D97" s="23">
        <v>1</v>
      </c>
      <c r="E97" s="24" t="str">
        <f t="shared" si="1"/>
        <v>CU_ARS_2025_WOF_F2_9_plant_70</v>
      </c>
      <c r="F97" s="21" t="s">
        <v>47</v>
      </c>
      <c r="G97" s="44" t="s">
        <v>48</v>
      </c>
      <c r="H97" s="42"/>
      <c r="I97" s="42" t="s">
        <v>1014</v>
      </c>
      <c r="J97" s="42" t="s">
        <v>1003</v>
      </c>
      <c r="K97" s="42"/>
      <c r="L97" s="42"/>
      <c r="M97" s="42"/>
      <c r="N97" t="str">
        <f>VLOOKUP(C97,CU_ARS_2025_WOF_F2!$A$2:$K$673,2,FALSE)</f>
        <v>CU_ARS_2025_WOF_F2_9_plant_70</v>
      </c>
      <c r="O97" t="str">
        <f>VLOOKUP(C97,CU_ARS_2025_WOF_F2!$A$2:$K$673,2,FALSE)</f>
        <v>CU_ARS_2025_WOF_F2_9_plant_70</v>
      </c>
      <c r="P97" t="str">
        <f>VLOOKUP(C97,CU_ARS_2025_WOF_F2!$A$2:$K$673,3,FALSE)</f>
        <v>CU_ARS_2025_WOF_F2_9</v>
      </c>
      <c r="Q97" t="str">
        <f>VLOOKUP(C97,CU_ARS_2025_WOF_F2!$A$2:$K$673,4,FALSE)</f>
        <v>CU_ARS_2025_WOF_cross_1</v>
      </c>
      <c r="R97">
        <f>VLOOKUP(C97,CU_ARS_2025_WOF_F2!$A$2:$K$673,5,FALSE)</f>
        <v>9</v>
      </c>
      <c r="S97">
        <f>VLOOKUP(C97,CU_ARS_2025_WOF_F2!$A$2:$K$673,6,FALSE)</f>
        <v>1</v>
      </c>
      <c r="T97">
        <f>VLOOKUP(C97,CU_ARS_2025_WOF_F2!$A$2:$K$673,7,FALSE)</f>
        <v>0</v>
      </c>
      <c r="U97">
        <f>VLOOKUP(C97,CU_ARS_2025_WOF_F2!$A$2:$K$673,8,FALSE)</f>
        <v>1</v>
      </c>
      <c r="V97">
        <f>VLOOKUP(C97,CU_ARS_2025_WOF_F2!$A$2:$K$673,9,FALSE)</f>
        <v>0</v>
      </c>
      <c r="W97">
        <f>VLOOKUP(C97,CU_ARS_2025_WOF_F2!$A$2:$K$673,10,FALSE)</f>
        <v>0</v>
      </c>
      <c r="X97">
        <f>VLOOKUP(C97,CU_ARS_2025_WOF_F2!$A$2:$K$673,11,FALSE)</f>
        <v>70</v>
      </c>
      <c r="Y97" t="str">
        <f>VLOOKUP(Q97,cross_pedigree!$A$2:$B$23,2,FALSE)</f>
        <v>AURORA/AWNLESS_CURLED</v>
      </c>
    </row>
    <row r="98" spans="1:25" ht="18">
      <c r="A98" s="20" t="s">
        <v>15</v>
      </c>
      <c r="B98" s="21" t="s">
        <v>16</v>
      </c>
      <c r="C98" s="22">
        <v>753631</v>
      </c>
      <c r="D98" s="23">
        <v>2</v>
      </c>
      <c r="E98" s="24" t="str">
        <f t="shared" si="1"/>
        <v>CU_ARS_2025_WOF_F2_9_plant_71</v>
      </c>
      <c r="F98" s="21" t="s">
        <v>100</v>
      </c>
      <c r="G98" s="44" t="s">
        <v>101</v>
      </c>
      <c r="H98" s="42"/>
      <c r="I98" s="42" t="s">
        <v>1014</v>
      </c>
      <c r="J98" s="42" t="s">
        <v>1003</v>
      </c>
      <c r="K98" s="42"/>
      <c r="L98" s="42"/>
      <c r="M98" s="42"/>
      <c r="N98" t="str">
        <f>VLOOKUP(C98,CU_ARS_2025_WOF_F2!$A$2:$K$673,2,FALSE)</f>
        <v>CU_ARS_2025_WOF_F2_9_plant_71</v>
      </c>
      <c r="O98" t="str">
        <f>VLOOKUP(C98,CU_ARS_2025_WOF_F2!$A$2:$K$673,2,FALSE)</f>
        <v>CU_ARS_2025_WOF_F2_9_plant_71</v>
      </c>
      <c r="P98" t="str">
        <f>VLOOKUP(C98,CU_ARS_2025_WOF_F2!$A$2:$K$673,3,FALSE)</f>
        <v>CU_ARS_2025_WOF_F2_9</v>
      </c>
      <c r="Q98" t="str">
        <f>VLOOKUP(C98,CU_ARS_2025_WOF_F2!$A$2:$K$673,4,FALSE)</f>
        <v>CU_ARS_2025_WOF_cross_1</v>
      </c>
      <c r="R98">
        <f>VLOOKUP(C98,CU_ARS_2025_WOF_F2!$A$2:$K$673,5,FALSE)</f>
        <v>9</v>
      </c>
      <c r="S98">
        <f>VLOOKUP(C98,CU_ARS_2025_WOF_F2!$A$2:$K$673,6,FALSE)</f>
        <v>1</v>
      </c>
      <c r="T98">
        <f>VLOOKUP(C98,CU_ARS_2025_WOF_F2!$A$2:$K$673,7,FALSE)</f>
        <v>0</v>
      </c>
      <c r="U98">
        <f>VLOOKUP(C98,CU_ARS_2025_WOF_F2!$A$2:$K$673,8,FALSE)</f>
        <v>1</v>
      </c>
      <c r="V98">
        <f>VLOOKUP(C98,CU_ARS_2025_WOF_F2!$A$2:$K$673,9,FALSE)</f>
        <v>0</v>
      </c>
      <c r="W98">
        <f>VLOOKUP(C98,CU_ARS_2025_WOF_F2!$A$2:$K$673,10,FALSE)</f>
        <v>0</v>
      </c>
      <c r="X98">
        <f>VLOOKUP(C98,CU_ARS_2025_WOF_F2!$A$2:$K$673,11,FALSE)</f>
        <v>71</v>
      </c>
      <c r="Y98" t="str">
        <f>VLOOKUP(Q98,cross_pedigree!$A$2:$B$23,2,FALSE)</f>
        <v>AURORA/AWNLESS_CURLED</v>
      </c>
    </row>
    <row r="99" spans="1:25" ht="18">
      <c r="A99" s="20" t="s">
        <v>15</v>
      </c>
      <c r="B99" s="21" t="s">
        <v>16</v>
      </c>
      <c r="C99" s="22">
        <v>753625</v>
      </c>
      <c r="D99" s="23">
        <v>2</v>
      </c>
      <c r="E99" s="24" t="str">
        <f t="shared" si="1"/>
        <v>CU_ARS_2025_WOF_F2_9_plant_65</v>
      </c>
      <c r="F99" s="21" t="s">
        <v>102</v>
      </c>
      <c r="G99" s="44" t="s">
        <v>103</v>
      </c>
      <c r="H99" s="42"/>
      <c r="I99" s="42" t="s">
        <v>1014</v>
      </c>
      <c r="J99" s="42" t="s">
        <v>1003</v>
      </c>
      <c r="K99" s="42"/>
      <c r="L99" s="42"/>
      <c r="M99" s="42"/>
      <c r="N99" t="str">
        <f>VLOOKUP(C99,CU_ARS_2025_WOF_F2!$A$2:$K$673,2,FALSE)</f>
        <v>CU_ARS_2025_WOF_F2_9_plant_65</v>
      </c>
      <c r="O99" t="str">
        <f>VLOOKUP(C99,CU_ARS_2025_WOF_F2!$A$2:$K$673,2,FALSE)</f>
        <v>CU_ARS_2025_WOF_F2_9_plant_65</v>
      </c>
      <c r="P99" t="str">
        <f>VLOOKUP(C99,CU_ARS_2025_WOF_F2!$A$2:$K$673,3,FALSE)</f>
        <v>CU_ARS_2025_WOF_F2_9</v>
      </c>
      <c r="Q99" t="str">
        <f>VLOOKUP(C99,CU_ARS_2025_WOF_F2!$A$2:$K$673,4,FALSE)</f>
        <v>CU_ARS_2025_WOF_cross_1</v>
      </c>
      <c r="R99">
        <f>VLOOKUP(C99,CU_ARS_2025_WOF_F2!$A$2:$K$673,5,FALSE)</f>
        <v>9</v>
      </c>
      <c r="S99">
        <f>VLOOKUP(C99,CU_ARS_2025_WOF_F2!$A$2:$K$673,6,FALSE)</f>
        <v>1</v>
      </c>
      <c r="T99">
        <f>VLOOKUP(C99,CU_ARS_2025_WOF_F2!$A$2:$K$673,7,FALSE)</f>
        <v>0</v>
      </c>
      <c r="U99">
        <f>VLOOKUP(C99,CU_ARS_2025_WOF_F2!$A$2:$K$673,8,FALSE)</f>
        <v>1</v>
      </c>
      <c r="V99">
        <f>VLOOKUP(C99,CU_ARS_2025_WOF_F2!$A$2:$K$673,9,FALSE)</f>
        <v>0</v>
      </c>
      <c r="W99">
        <f>VLOOKUP(C99,CU_ARS_2025_WOF_F2!$A$2:$K$673,10,FALSE)</f>
        <v>0</v>
      </c>
      <c r="X99">
        <f>VLOOKUP(C99,CU_ARS_2025_WOF_F2!$A$2:$K$673,11,FALSE)</f>
        <v>65</v>
      </c>
      <c r="Y99" t="str">
        <f>VLOOKUP(Q99,cross_pedigree!$A$2:$B$23,2,FALSE)</f>
        <v>AURORA/AWNLESS_CURLED</v>
      </c>
    </row>
    <row r="100" spans="1:25" ht="18">
      <c r="A100" s="20" t="s">
        <v>15</v>
      </c>
      <c r="B100" s="21" t="s">
        <v>16</v>
      </c>
      <c r="C100" s="22">
        <v>753626</v>
      </c>
      <c r="D100" s="23">
        <v>2</v>
      </c>
      <c r="E100" s="24" t="str">
        <f t="shared" si="1"/>
        <v>CU_ARS_2025_WOF_F2_9_plant_66</v>
      </c>
      <c r="F100" s="21" t="s">
        <v>104</v>
      </c>
      <c r="G100" s="44" t="s">
        <v>105</v>
      </c>
      <c r="H100" s="42"/>
      <c r="I100" s="42" t="s">
        <v>1014</v>
      </c>
      <c r="J100" s="42" t="s">
        <v>1003</v>
      </c>
      <c r="K100" s="42"/>
      <c r="L100" s="42"/>
      <c r="M100" s="42"/>
      <c r="N100" t="str">
        <f>VLOOKUP(C100,CU_ARS_2025_WOF_F2!$A$2:$K$673,2,FALSE)</f>
        <v>CU_ARS_2025_WOF_F2_9_plant_66</v>
      </c>
      <c r="O100" t="str">
        <f>VLOOKUP(C100,CU_ARS_2025_WOF_F2!$A$2:$K$673,2,FALSE)</f>
        <v>CU_ARS_2025_WOF_F2_9_plant_66</v>
      </c>
      <c r="P100" t="str">
        <f>VLOOKUP(C100,CU_ARS_2025_WOF_F2!$A$2:$K$673,3,FALSE)</f>
        <v>CU_ARS_2025_WOF_F2_9</v>
      </c>
      <c r="Q100" t="str">
        <f>VLOOKUP(C100,CU_ARS_2025_WOF_F2!$A$2:$K$673,4,FALSE)</f>
        <v>CU_ARS_2025_WOF_cross_1</v>
      </c>
      <c r="R100">
        <f>VLOOKUP(C100,CU_ARS_2025_WOF_F2!$A$2:$K$673,5,FALSE)</f>
        <v>9</v>
      </c>
      <c r="S100">
        <f>VLOOKUP(C100,CU_ARS_2025_WOF_F2!$A$2:$K$673,6,FALSE)</f>
        <v>1</v>
      </c>
      <c r="T100">
        <f>VLOOKUP(C100,CU_ARS_2025_WOF_F2!$A$2:$K$673,7,FALSE)</f>
        <v>0</v>
      </c>
      <c r="U100">
        <f>VLOOKUP(C100,CU_ARS_2025_WOF_F2!$A$2:$K$673,8,FALSE)</f>
        <v>1</v>
      </c>
      <c r="V100">
        <f>VLOOKUP(C100,CU_ARS_2025_WOF_F2!$A$2:$K$673,9,FALSE)</f>
        <v>0</v>
      </c>
      <c r="W100">
        <f>VLOOKUP(C100,CU_ARS_2025_WOF_F2!$A$2:$K$673,10,FALSE)</f>
        <v>0</v>
      </c>
      <c r="X100">
        <f>VLOOKUP(C100,CU_ARS_2025_WOF_F2!$A$2:$K$673,11,FALSE)</f>
        <v>66</v>
      </c>
      <c r="Y100" t="str">
        <f>VLOOKUP(Q100,cross_pedigree!$A$2:$B$23,2,FALSE)</f>
        <v>AURORA/AWNLESS_CURLED</v>
      </c>
    </row>
    <row r="101" spans="1:25" ht="18">
      <c r="A101" s="20" t="s">
        <v>15</v>
      </c>
      <c r="B101" s="21" t="s">
        <v>16</v>
      </c>
      <c r="C101" s="22">
        <v>753628</v>
      </c>
      <c r="D101" s="23">
        <v>2</v>
      </c>
      <c r="E101" s="24" t="str">
        <f t="shared" si="1"/>
        <v>CU_ARS_2025_WOF_F2_9_plant_68</v>
      </c>
      <c r="F101" s="21" t="s">
        <v>69</v>
      </c>
      <c r="G101" s="44" t="s">
        <v>106</v>
      </c>
      <c r="H101" s="42"/>
      <c r="I101" s="42" t="s">
        <v>1014</v>
      </c>
      <c r="J101" s="42" t="s">
        <v>1003</v>
      </c>
      <c r="K101" s="42"/>
      <c r="L101" s="42"/>
      <c r="M101" s="42"/>
      <c r="N101" t="str">
        <f>VLOOKUP(C101,CU_ARS_2025_WOF_F2!$A$2:$K$673,2,FALSE)</f>
        <v>CU_ARS_2025_WOF_F2_9_plant_68</v>
      </c>
      <c r="O101" t="str">
        <f>VLOOKUP(C101,CU_ARS_2025_WOF_F2!$A$2:$K$673,2,FALSE)</f>
        <v>CU_ARS_2025_WOF_F2_9_plant_68</v>
      </c>
      <c r="P101" t="str">
        <f>VLOOKUP(C101,CU_ARS_2025_WOF_F2!$A$2:$K$673,3,FALSE)</f>
        <v>CU_ARS_2025_WOF_F2_9</v>
      </c>
      <c r="Q101" t="str">
        <f>VLOOKUP(C101,CU_ARS_2025_WOF_F2!$A$2:$K$673,4,FALSE)</f>
        <v>CU_ARS_2025_WOF_cross_1</v>
      </c>
      <c r="R101">
        <f>VLOOKUP(C101,CU_ARS_2025_WOF_F2!$A$2:$K$673,5,FALSE)</f>
        <v>9</v>
      </c>
      <c r="S101">
        <f>VLOOKUP(C101,CU_ARS_2025_WOF_F2!$A$2:$K$673,6,FALSE)</f>
        <v>1</v>
      </c>
      <c r="T101">
        <f>VLOOKUP(C101,CU_ARS_2025_WOF_F2!$A$2:$K$673,7,FALSE)</f>
        <v>0</v>
      </c>
      <c r="U101">
        <f>VLOOKUP(C101,CU_ARS_2025_WOF_F2!$A$2:$K$673,8,FALSE)</f>
        <v>1</v>
      </c>
      <c r="V101">
        <f>VLOOKUP(C101,CU_ARS_2025_WOF_F2!$A$2:$K$673,9,FALSE)</f>
        <v>0</v>
      </c>
      <c r="W101">
        <f>VLOOKUP(C101,CU_ARS_2025_WOF_F2!$A$2:$K$673,10,FALSE)</f>
        <v>0</v>
      </c>
      <c r="X101">
        <f>VLOOKUP(C101,CU_ARS_2025_WOF_F2!$A$2:$K$673,11,FALSE)</f>
        <v>68</v>
      </c>
      <c r="Y101" t="str">
        <f>VLOOKUP(Q101,cross_pedigree!$A$2:$B$23,2,FALSE)</f>
        <v>AURORA/AWNLESS_CURLED</v>
      </c>
    </row>
    <row r="102" spans="1:25" ht="18">
      <c r="A102" s="20" t="s">
        <v>15</v>
      </c>
      <c r="B102" s="21" t="s">
        <v>16</v>
      </c>
      <c r="C102" s="22">
        <v>753629</v>
      </c>
      <c r="D102" s="23">
        <v>2</v>
      </c>
      <c r="E102" s="24" t="str">
        <f t="shared" si="1"/>
        <v>CU_ARS_2025_WOF_F2_9_plant_69</v>
      </c>
      <c r="F102" s="21" t="s">
        <v>71</v>
      </c>
      <c r="G102" s="44" t="s">
        <v>107</v>
      </c>
      <c r="H102" s="42"/>
      <c r="I102" s="42" t="s">
        <v>1014</v>
      </c>
      <c r="J102" s="42" t="s">
        <v>1003</v>
      </c>
      <c r="K102" s="42"/>
      <c r="L102" s="42"/>
      <c r="M102" s="42"/>
      <c r="N102" t="str">
        <f>VLOOKUP(C102,CU_ARS_2025_WOF_F2!$A$2:$K$673,2,FALSE)</f>
        <v>CU_ARS_2025_WOF_F2_9_plant_69</v>
      </c>
      <c r="O102" t="str">
        <f>VLOOKUP(C102,CU_ARS_2025_WOF_F2!$A$2:$K$673,2,FALSE)</f>
        <v>CU_ARS_2025_WOF_F2_9_plant_69</v>
      </c>
      <c r="P102" t="str">
        <f>VLOOKUP(C102,CU_ARS_2025_WOF_F2!$A$2:$K$673,3,FALSE)</f>
        <v>CU_ARS_2025_WOF_F2_9</v>
      </c>
      <c r="Q102" t="str">
        <f>VLOOKUP(C102,CU_ARS_2025_WOF_F2!$A$2:$K$673,4,FALSE)</f>
        <v>CU_ARS_2025_WOF_cross_1</v>
      </c>
      <c r="R102">
        <f>VLOOKUP(C102,CU_ARS_2025_WOF_F2!$A$2:$K$673,5,FALSE)</f>
        <v>9</v>
      </c>
      <c r="S102">
        <f>VLOOKUP(C102,CU_ARS_2025_WOF_F2!$A$2:$K$673,6,FALSE)</f>
        <v>1</v>
      </c>
      <c r="T102">
        <f>VLOOKUP(C102,CU_ARS_2025_WOF_F2!$A$2:$K$673,7,FALSE)</f>
        <v>0</v>
      </c>
      <c r="U102">
        <f>VLOOKUP(C102,CU_ARS_2025_WOF_F2!$A$2:$K$673,8,FALSE)</f>
        <v>1</v>
      </c>
      <c r="V102">
        <f>VLOOKUP(C102,CU_ARS_2025_WOF_F2!$A$2:$K$673,9,FALSE)</f>
        <v>0</v>
      </c>
      <c r="W102">
        <f>VLOOKUP(C102,CU_ARS_2025_WOF_F2!$A$2:$K$673,10,FALSE)</f>
        <v>0</v>
      </c>
      <c r="X102">
        <f>VLOOKUP(C102,CU_ARS_2025_WOF_F2!$A$2:$K$673,11,FALSE)</f>
        <v>69</v>
      </c>
      <c r="Y102" t="str">
        <f>VLOOKUP(Q102,cross_pedigree!$A$2:$B$23,2,FALSE)</f>
        <v>AURORA/AWNLESS_CURLED</v>
      </c>
    </row>
    <row r="103" spans="1:25" ht="18">
      <c r="A103" s="20" t="s">
        <v>15</v>
      </c>
      <c r="B103" s="21" t="s">
        <v>16</v>
      </c>
      <c r="C103" s="22">
        <v>753638</v>
      </c>
      <c r="D103" s="23">
        <v>2</v>
      </c>
      <c r="E103" s="24" t="str">
        <f t="shared" si="1"/>
        <v>CU_ARS_2025_WOF_F2_8_plant_1</v>
      </c>
      <c r="F103" s="21" t="s">
        <v>73</v>
      </c>
      <c r="G103" s="44" t="s">
        <v>108</v>
      </c>
      <c r="H103" s="42"/>
      <c r="I103" s="42" t="s">
        <v>1023</v>
      </c>
      <c r="J103" s="42" t="s">
        <v>1003</v>
      </c>
      <c r="K103" s="42"/>
      <c r="L103" s="42"/>
      <c r="M103" s="42"/>
      <c r="N103" t="str">
        <f>VLOOKUP(C103,CU_ARS_2025_WOF_F2!$A$2:$K$673,2,FALSE)</f>
        <v>CU_ARS_2025_WOF_F2_8_plant_1</v>
      </c>
      <c r="O103" t="str">
        <f>VLOOKUP(C103,CU_ARS_2025_WOF_F2!$A$2:$K$673,2,FALSE)</f>
        <v>CU_ARS_2025_WOF_F2_8_plant_1</v>
      </c>
      <c r="P103" t="str">
        <f>VLOOKUP(C103,CU_ARS_2025_WOF_F2!$A$2:$K$673,3,FALSE)</f>
        <v>CU_ARS_2025_WOF_F2_8</v>
      </c>
      <c r="Q103" t="str">
        <f>VLOOKUP(C103,CU_ARS_2025_WOF_F2!$A$2:$K$673,4,FALSE)</f>
        <v>CU_ARS_2025_WOF_cross_29</v>
      </c>
      <c r="R103">
        <f>VLOOKUP(C103,CU_ARS_2025_WOF_F2!$A$2:$K$673,5,FALSE)</f>
        <v>8</v>
      </c>
      <c r="S103">
        <f>VLOOKUP(C103,CU_ARS_2025_WOF_F2!$A$2:$K$673,6,FALSE)</f>
        <v>1</v>
      </c>
      <c r="T103">
        <f>VLOOKUP(C103,CU_ARS_2025_WOF_F2!$A$2:$K$673,7,FALSE)</f>
        <v>0</v>
      </c>
      <c r="U103">
        <f>VLOOKUP(C103,CU_ARS_2025_WOF_F2!$A$2:$K$673,8,FALSE)</f>
        <v>1</v>
      </c>
      <c r="V103">
        <f>VLOOKUP(C103,CU_ARS_2025_WOF_F2!$A$2:$K$673,9,FALSE)</f>
        <v>0</v>
      </c>
      <c r="W103">
        <f>VLOOKUP(C103,CU_ARS_2025_WOF_F2!$A$2:$K$673,10,FALSE)</f>
        <v>0</v>
      </c>
      <c r="X103">
        <f>VLOOKUP(C103,CU_ARS_2025_WOF_F2!$A$2:$K$673,11,FALSE)</f>
        <v>1</v>
      </c>
      <c r="Y103" t="str">
        <f>VLOOKUP(Q103,cross_pedigree!$A$2:$B$23,2,FALSE)</f>
        <v>NC21-6429/AURORA</v>
      </c>
    </row>
    <row r="104" spans="1:25" ht="18">
      <c r="A104" s="20" t="s">
        <v>15</v>
      </c>
      <c r="B104" s="21" t="s">
        <v>16</v>
      </c>
      <c r="C104" s="22">
        <v>753639</v>
      </c>
      <c r="D104" s="23">
        <v>2</v>
      </c>
      <c r="E104" s="24" t="str">
        <f t="shared" si="1"/>
        <v>CU_ARS_2025_WOF_F2_8_plant_2</v>
      </c>
      <c r="F104" s="21" t="s">
        <v>75</v>
      </c>
      <c r="G104" s="44" t="s">
        <v>109</v>
      </c>
      <c r="H104" s="42"/>
      <c r="I104" s="42" t="s">
        <v>1023</v>
      </c>
      <c r="J104" s="42" t="s">
        <v>1003</v>
      </c>
      <c r="K104" s="42"/>
      <c r="L104" s="42"/>
      <c r="M104" s="42"/>
      <c r="N104" t="str">
        <f>VLOOKUP(C104,CU_ARS_2025_WOF_F2!$A$2:$K$673,2,FALSE)</f>
        <v>CU_ARS_2025_WOF_F2_8_plant_2</v>
      </c>
      <c r="O104" t="str">
        <f>VLOOKUP(C104,CU_ARS_2025_WOF_F2!$A$2:$K$673,2,FALSE)</f>
        <v>CU_ARS_2025_WOF_F2_8_plant_2</v>
      </c>
      <c r="P104" t="str">
        <f>VLOOKUP(C104,CU_ARS_2025_WOF_F2!$A$2:$K$673,3,FALSE)</f>
        <v>CU_ARS_2025_WOF_F2_8</v>
      </c>
      <c r="Q104" t="str">
        <f>VLOOKUP(C104,CU_ARS_2025_WOF_F2!$A$2:$K$673,4,FALSE)</f>
        <v>CU_ARS_2025_WOF_cross_29</v>
      </c>
      <c r="R104">
        <f>VLOOKUP(C104,CU_ARS_2025_WOF_F2!$A$2:$K$673,5,FALSE)</f>
        <v>8</v>
      </c>
      <c r="S104">
        <f>VLOOKUP(C104,CU_ARS_2025_WOF_F2!$A$2:$K$673,6,FALSE)</f>
        <v>1</v>
      </c>
      <c r="T104">
        <f>VLOOKUP(C104,CU_ARS_2025_WOF_F2!$A$2:$K$673,7,FALSE)</f>
        <v>0</v>
      </c>
      <c r="U104">
        <f>VLOOKUP(C104,CU_ARS_2025_WOF_F2!$A$2:$K$673,8,FALSE)</f>
        <v>1</v>
      </c>
      <c r="V104">
        <f>VLOOKUP(C104,CU_ARS_2025_WOF_F2!$A$2:$K$673,9,FALSE)</f>
        <v>0</v>
      </c>
      <c r="W104">
        <f>VLOOKUP(C104,CU_ARS_2025_WOF_F2!$A$2:$K$673,10,FALSE)</f>
        <v>0</v>
      </c>
      <c r="X104">
        <f>VLOOKUP(C104,CU_ARS_2025_WOF_F2!$A$2:$K$673,11,FALSE)</f>
        <v>2</v>
      </c>
      <c r="Y104" t="str">
        <f>VLOOKUP(Q104,cross_pedigree!$A$2:$B$23,2,FALSE)</f>
        <v>NC21-6429/AURORA</v>
      </c>
    </row>
    <row r="105" spans="1:25" ht="18">
      <c r="A105" s="20" t="s">
        <v>15</v>
      </c>
      <c r="B105" s="21" t="s">
        <v>16</v>
      </c>
      <c r="C105" s="22">
        <v>753640</v>
      </c>
      <c r="D105" s="23">
        <v>2</v>
      </c>
      <c r="E105" s="24" t="str">
        <f t="shared" si="1"/>
        <v>CU_ARS_2025_WOF_F2_8_plant_3</v>
      </c>
      <c r="F105" s="21" t="s">
        <v>77</v>
      </c>
      <c r="G105" s="44" t="s">
        <v>110</v>
      </c>
      <c r="H105" s="42"/>
      <c r="I105" s="42" t="s">
        <v>1023</v>
      </c>
      <c r="J105" s="42" t="s">
        <v>1003</v>
      </c>
      <c r="K105" s="42"/>
      <c r="L105" s="42"/>
      <c r="M105" s="42"/>
      <c r="N105" t="str">
        <f>VLOOKUP(C105,CU_ARS_2025_WOF_F2!$A$2:$K$673,2,FALSE)</f>
        <v>CU_ARS_2025_WOF_F2_8_plant_3</v>
      </c>
      <c r="O105" t="str">
        <f>VLOOKUP(C105,CU_ARS_2025_WOF_F2!$A$2:$K$673,2,FALSE)</f>
        <v>CU_ARS_2025_WOF_F2_8_plant_3</v>
      </c>
      <c r="P105" t="str">
        <f>VLOOKUP(C105,CU_ARS_2025_WOF_F2!$A$2:$K$673,3,FALSE)</f>
        <v>CU_ARS_2025_WOF_F2_8</v>
      </c>
      <c r="Q105" t="str">
        <f>VLOOKUP(C105,CU_ARS_2025_WOF_F2!$A$2:$K$673,4,FALSE)</f>
        <v>CU_ARS_2025_WOF_cross_29</v>
      </c>
      <c r="R105">
        <f>VLOOKUP(C105,CU_ARS_2025_WOF_F2!$A$2:$K$673,5,FALSE)</f>
        <v>8</v>
      </c>
      <c r="S105">
        <f>VLOOKUP(C105,CU_ARS_2025_WOF_F2!$A$2:$K$673,6,FALSE)</f>
        <v>1</v>
      </c>
      <c r="T105">
        <f>VLOOKUP(C105,CU_ARS_2025_WOF_F2!$A$2:$K$673,7,FALSE)</f>
        <v>0</v>
      </c>
      <c r="U105">
        <f>VLOOKUP(C105,CU_ARS_2025_WOF_F2!$A$2:$K$673,8,FALSE)</f>
        <v>1</v>
      </c>
      <c r="V105">
        <f>VLOOKUP(C105,CU_ARS_2025_WOF_F2!$A$2:$K$673,9,FALSE)</f>
        <v>0</v>
      </c>
      <c r="W105">
        <f>VLOOKUP(C105,CU_ARS_2025_WOF_F2!$A$2:$K$673,10,FALSE)</f>
        <v>0</v>
      </c>
      <c r="X105">
        <f>VLOOKUP(C105,CU_ARS_2025_WOF_F2!$A$2:$K$673,11,FALSE)</f>
        <v>3</v>
      </c>
      <c r="Y105" t="str">
        <f>VLOOKUP(Q105,cross_pedigree!$A$2:$B$23,2,FALSE)</f>
        <v>NC21-6429/AURORA</v>
      </c>
    </row>
    <row r="106" spans="1:25" ht="18">
      <c r="A106" s="20" t="s">
        <v>15</v>
      </c>
      <c r="B106" s="21" t="s">
        <v>16</v>
      </c>
      <c r="C106" s="22">
        <v>753641</v>
      </c>
      <c r="D106" s="23">
        <v>2</v>
      </c>
      <c r="E106" s="24" t="str">
        <f t="shared" si="1"/>
        <v>CU_ARS_2025_WOF_F2_8_plant_4</v>
      </c>
      <c r="F106" s="21" t="s">
        <v>79</v>
      </c>
      <c r="G106" s="44" t="s">
        <v>111</v>
      </c>
      <c r="H106" s="42"/>
      <c r="I106" s="42" t="s">
        <v>1023</v>
      </c>
      <c r="J106" s="42" t="s">
        <v>1003</v>
      </c>
      <c r="K106" s="42"/>
      <c r="L106" s="42"/>
      <c r="M106" s="42"/>
      <c r="N106" t="str">
        <f>VLOOKUP(C106,CU_ARS_2025_WOF_F2!$A$2:$K$673,2,FALSE)</f>
        <v>CU_ARS_2025_WOF_F2_8_plant_4</v>
      </c>
      <c r="O106" t="str">
        <f>VLOOKUP(C106,CU_ARS_2025_WOF_F2!$A$2:$K$673,2,FALSE)</f>
        <v>CU_ARS_2025_WOF_F2_8_plant_4</v>
      </c>
      <c r="P106" t="str">
        <f>VLOOKUP(C106,CU_ARS_2025_WOF_F2!$A$2:$K$673,3,FALSE)</f>
        <v>CU_ARS_2025_WOF_F2_8</v>
      </c>
      <c r="Q106" t="str">
        <f>VLOOKUP(C106,CU_ARS_2025_WOF_F2!$A$2:$K$673,4,FALSE)</f>
        <v>CU_ARS_2025_WOF_cross_29</v>
      </c>
      <c r="R106">
        <f>VLOOKUP(C106,CU_ARS_2025_WOF_F2!$A$2:$K$673,5,FALSE)</f>
        <v>8</v>
      </c>
      <c r="S106">
        <f>VLOOKUP(C106,CU_ARS_2025_WOF_F2!$A$2:$K$673,6,FALSE)</f>
        <v>1</v>
      </c>
      <c r="T106">
        <f>VLOOKUP(C106,CU_ARS_2025_WOF_F2!$A$2:$K$673,7,FALSE)</f>
        <v>0</v>
      </c>
      <c r="U106">
        <f>VLOOKUP(C106,CU_ARS_2025_WOF_F2!$A$2:$K$673,8,FALSE)</f>
        <v>1</v>
      </c>
      <c r="V106">
        <f>VLOOKUP(C106,CU_ARS_2025_WOF_F2!$A$2:$K$673,9,FALSE)</f>
        <v>0</v>
      </c>
      <c r="W106">
        <f>VLOOKUP(C106,CU_ARS_2025_WOF_F2!$A$2:$K$673,10,FALSE)</f>
        <v>0</v>
      </c>
      <c r="X106">
        <f>VLOOKUP(C106,CU_ARS_2025_WOF_F2!$A$2:$K$673,11,FALSE)</f>
        <v>4</v>
      </c>
      <c r="Y106" t="str">
        <f>VLOOKUP(Q106,cross_pedigree!$A$2:$B$23,2,FALSE)</f>
        <v>NC21-6429/AURORA</v>
      </c>
    </row>
    <row r="107" spans="1:25" ht="18">
      <c r="A107" s="20" t="s">
        <v>15</v>
      </c>
      <c r="B107" s="21" t="s">
        <v>16</v>
      </c>
      <c r="C107" s="22">
        <v>753642</v>
      </c>
      <c r="D107" s="23">
        <v>2</v>
      </c>
      <c r="E107" s="24" t="str">
        <f t="shared" si="1"/>
        <v>CU_ARS_2025_WOF_F2_8_plant_5</v>
      </c>
      <c r="F107" s="21" t="s">
        <v>81</v>
      </c>
      <c r="G107" s="44" t="s">
        <v>112</v>
      </c>
      <c r="H107" s="42"/>
      <c r="I107" s="42" t="s">
        <v>1023</v>
      </c>
      <c r="J107" s="42" t="s">
        <v>1003</v>
      </c>
      <c r="K107" s="42"/>
      <c r="L107" s="42"/>
      <c r="M107" s="42"/>
      <c r="N107" t="str">
        <f>VLOOKUP(C107,CU_ARS_2025_WOF_F2!$A$2:$K$673,2,FALSE)</f>
        <v>CU_ARS_2025_WOF_F2_8_plant_5</v>
      </c>
      <c r="O107" t="str">
        <f>VLOOKUP(C107,CU_ARS_2025_WOF_F2!$A$2:$K$673,2,FALSE)</f>
        <v>CU_ARS_2025_WOF_F2_8_plant_5</v>
      </c>
      <c r="P107" t="str">
        <f>VLOOKUP(C107,CU_ARS_2025_WOF_F2!$A$2:$K$673,3,FALSE)</f>
        <v>CU_ARS_2025_WOF_F2_8</v>
      </c>
      <c r="Q107" t="str">
        <f>VLOOKUP(C107,CU_ARS_2025_WOF_F2!$A$2:$K$673,4,FALSE)</f>
        <v>CU_ARS_2025_WOF_cross_29</v>
      </c>
      <c r="R107">
        <f>VLOOKUP(C107,CU_ARS_2025_WOF_F2!$A$2:$K$673,5,FALSE)</f>
        <v>8</v>
      </c>
      <c r="S107">
        <f>VLOOKUP(C107,CU_ARS_2025_WOF_F2!$A$2:$K$673,6,FALSE)</f>
        <v>1</v>
      </c>
      <c r="T107">
        <f>VLOOKUP(C107,CU_ARS_2025_WOF_F2!$A$2:$K$673,7,FALSE)</f>
        <v>0</v>
      </c>
      <c r="U107">
        <f>VLOOKUP(C107,CU_ARS_2025_WOF_F2!$A$2:$K$673,8,FALSE)</f>
        <v>1</v>
      </c>
      <c r="V107">
        <f>VLOOKUP(C107,CU_ARS_2025_WOF_F2!$A$2:$K$673,9,FALSE)</f>
        <v>0</v>
      </c>
      <c r="W107">
        <f>VLOOKUP(C107,CU_ARS_2025_WOF_F2!$A$2:$K$673,10,FALSE)</f>
        <v>0</v>
      </c>
      <c r="X107">
        <f>VLOOKUP(C107,CU_ARS_2025_WOF_F2!$A$2:$K$673,11,FALSE)</f>
        <v>5</v>
      </c>
      <c r="Y107" t="str">
        <f>VLOOKUP(Q107,cross_pedigree!$A$2:$B$23,2,FALSE)</f>
        <v>NC21-6429/AURORA</v>
      </c>
    </row>
    <row r="108" spans="1:25" ht="18">
      <c r="A108" s="20" t="s">
        <v>15</v>
      </c>
      <c r="B108" s="21" t="s">
        <v>16</v>
      </c>
      <c r="C108" s="22">
        <v>753646</v>
      </c>
      <c r="D108" s="23">
        <v>2</v>
      </c>
      <c r="E108" s="24" t="str">
        <f t="shared" si="1"/>
        <v>CU_ARS_2025_WOF_F2_8_plant_9</v>
      </c>
      <c r="F108" s="21" t="s">
        <v>82</v>
      </c>
      <c r="G108" s="44" t="s">
        <v>113</v>
      </c>
      <c r="H108" s="42"/>
      <c r="I108" s="42" t="s">
        <v>1023</v>
      </c>
      <c r="J108" s="42" t="s">
        <v>1003</v>
      </c>
      <c r="K108" s="42"/>
      <c r="L108" s="42"/>
      <c r="M108" s="42"/>
      <c r="N108" t="str">
        <f>VLOOKUP(C108,CU_ARS_2025_WOF_F2!$A$2:$K$673,2,FALSE)</f>
        <v>CU_ARS_2025_WOF_F2_8_plant_9</v>
      </c>
      <c r="O108" t="str">
        <f>VLOOKUP(C108,CU_ARS_2025_WOF_F2!$A$2:$K$673,2,FALSE)</f>
        <v>CU_ARS_2025_WOF_F2_8_plant_9</v>
      </c>
      <c r="P108" t="str">
        <f>VLOOKUP(C108,CU_ARS_2025_WOF_F2!$A$2:$K$673,3,FALSE)</f>
        <v>CU_ARS_2025_WOF_F2_8</v>
      </c>
      <c r="Q108" t="str">
        <f>VLOOKUP(C108,CU_ARS_2025_WOF_F2!$A$2:$K$673,4,FALSE)</f>
        <v>CU_ARS_2025_WOF_cross_29</v>
      </c>
      <c r="R108">
        <f>VLOOKUP(C108,CU_ARS_2025_WOF_F2!$A$2:$K$673,5,FALSE)</f>
        <v>8</v>
      </c>
      <c r="S108">
        <f>VLOOKUP(C108,CU_ARS_2025_WOF_F2!$A$2:$K$673,6,FALSE)</f>
        <v>1</v>
      </c>
      <c r="T108">
        <f>VLOOKUP(C108,CU_ARS_2025_WOF_F2!$A$2:$K$673,7,FALSE)</f>
        <v>0</v>
      </c>
      <c r="U108">
        <f>VLOOKUP(C108,CU_ARS_2025_WOF_F2!$A$2:$K$673,8,FALSE)</f>
        <v>1</v>
      </c>
      <c r="V108">
        <f>VLOOKUP(C108,CU_ARS_2025_WOF_F2!$A$2:$K$673,9,FALSE)</f>
        <v>0</v>
      </c>
      <c r="W108">
        <f>VLOOKUP(C108,CU_ARS_2025_WOF_F2!$A$2:$K$673,10,FALSE)</f>
        <v>0</v>
      </c>
      <c r="X108">
        <f>VLOOKUP(C108,CU_ARS_2025_WOF_F2!$A$2:$K$673,11,FALSE)</f>
        <v>9</v>
      </c>
      <c r="Y108" t="str">
        <f>VLOOKUP(Q108,cross_pedigree!$A$2:$B$23,2,FALSE)</f>
        <v>NC21-6429/AURORA</v>
      </c>
    </row>
    <row r="109" spans="1:25" ht="18">
      <c r="A109" s="20" t="s">
        <v>15</v>
      </c>
      <c r="B109" s="21" t="s">
        <v>16</v>
      </c>
      <c r="C109" s="22">
        <v>753647</v>
      </c>
      <c r="D109" s="23">
        <v>2</v>
      </c>
      <c r="E109" s="24" t="str">
        <f t="shared" si="1"/>
        <v>CU_ARS_2025_WOF_F2_8_plant_10</v>
      </c>
      <c r="F109" s="21" t="s">
        <v>83</v>
      </c>
      <c r="G109" s="44" t="s">
        <v>114</v>
      </c>
      <c r="H109" s="42"/>
      <c r="I109" s="42" t="s">
        <v>1023</v>
      </c>
      <c r="J109" s="42" t="s">
        <v>1003</v>
      </c>
      <c r="K109" s="42"/>
      <c r="L109" s="42"/>
      <c r="M109" s="42"/>
      <c r="N109" t="str">
        <f>VLOOKUP(C109,CU_ARS_2025_WOF_F2!$A$2:$K$673,2,FALSE)</f>
        <v>CU_ARS_2025_WOF_F2_8_plant_10</v>
      </c>
      <c r="O109" t="str">
        <f>VLOOKUP(C109,CU_ARS_2025_WOF_F2!$A$2:$K$673,2,FALSE)</f>
        <v>CU_ARS_2025_WOF_F2_8_plant_10</v>
      </c>
      <c r="P109" t="str">
        <f>VLOOKUP(C109,CU_ARS_2025_WOF_F2!$A$2:$K$673,3,FALSE)</f>
        <v>CU_ARS_2025_WOF_F2_8</v>
      </c>
      <c r="Q109" t="str">
        <f>VLOOKUP(C109,CU_ARS_2025_WOF_F2!$A$2:$K$673,4,FALSE)</f>
        <v>CU_ARS_2025_WOF_cross_29</v>
      </c>
      <c r="R109">
        <f>VLOOKUP(C109,CU_ARS_2025_WOF_F2!$A$2:$K$673,5,FALSE)</f>
        <v>8</v>
      </c>
      <c r="S109">
        <f>VLOOKUP(C109,CU_ARS_2025_WOF_F2!$A$2:$K$673,6,FALSE)</f>
        <v>1</v>
      </c>
      <c r="T109">
        <f>VLOOKUP(C109,CU_ARS_2025_WOF_F2!$A$2:$K$673,7,FALSE)</f>
        <v>0</v>
      </c>
      <c r="U109">
        <f>VLOOKUP(C109,CU_ARS_2025_WOF_F2!$A$2:$K$673,8,FALSE)</f>
        <v>1</v>
      </c>
      <c r="V109">
        <f>VLOOKUP(C109,CU_ARS_2025_WOF_F2!$A$2:$K$673,9,FALSE)</f>
        <v>0</v>
      </c>
      <c r="W109">
        <f>VLOOKUP(C109,CU_ARS_2025_WOF_F2!$A$2:$K$673,10,FALSE)</f>
        <v>0</v>
      </c>
      <c r="X109">
        <f>VLOOKUP(C109,CU_ARS_2025_WOF_F2!$A$2:$K$673,11,FALSE)</f>
        <v>10</v>
      </c>
      <c r="Y109" t="str">
        <f>VLOOKUP(Q109,cross_pedigree!$A$2:$B$23,2,FALSE)</f>
        <v>NC21-6429/AURORA</v>
      </c>
    </row>
    <row r="110" spans="1:25" ht="18">
      <c r="A110" s="20" t="s">
        <v>15</v>
      </c>
      <c r="B110" s="21" t="s">
        <v>16</v>
      </c>
      <c r="C110" s="22">
        <v>753648</v>
      </c>
      <c r="D110" s="23">
        <v>2</v>
      </c>
      <c r="E110" s="24" t="str">
        <f t="shared" si="1"/>
        <v>CU_ARS_2025_WOF_F2_8_plant_11</v>
      </c>
      <c r="F110" s="21" t="s">
        <v>84</v>
      </c>
      <c r="G110" s="44" t="s">
        <v>115</v>
      </c>
      <c r="H110" s="42"/>
      <c r="I110" s="42" t="s">
        <v>1023</v>
      </c>
      <c r="J110" s="42" t="s">
        <v>1003</v>
      </c>
      <c r="K110" s="42"/>
      <c r="L110" s="42"/>
      <c r="M110" s="42"/>
      <c r="N110" t="str">
        <f>VLOOKUP(C110,CU_ARS_2025_WOF_F2!$A$2:$K$673,2,FALSE)</f>
        <v>CU_ARS_2025_WOF_F2_8_plant_11</v>
      </c>
      <c r="O110" t="str">
        <f>VLOOKUP(C110,CU_ARS_2025_WOF_F2!$A$2:$K$673,2,FALSE)</f>
        <v>CU_ARS_2025_WOF_F2_8_plant_11</v>
      </c>
      <c r="P110" t="str">
        <f>VLOOKUP(C110,CU_ARS_2025_WOF_F2!$A$2:$K$673,3,FALSE)</f>
        <v>CU_ARS_2025_WOF_F2_8</v>
      </c>
      <c r="Q110" t="str">
        <f>VLOOKUP(C110,CU_ARS_2025_WOF_F2!$A$2:$K$673,4,FALSE)</f>
        <v>CU_ARS_2025_WOF_cross_29</v>
      </c>
      <c r="R110">
        <f>VLOOKUP(C110,CU_ARS_2025_WOF_F2!$A$2:$K$673,5,FALSE)</f>
        <v>8</v>
      </c>
      <c r="S110">
        <f>VLOOKUP(C110,CU_ARS_2025_WOF_F2!$A$2:$K$673,6,FALSE)</f>
        <v>1</v>
      </c>
      <c r="T110">
        <f>VLOOKUP(C110,CU_ARS_2025_WOF_F2!$A$2:$K$673,7,FALSE)</f>
        <v>0</v>
      </c>
      <c r="U110">
        <f>VLOOKUP(C110,CU_ARS_2025_WOF_F2!$A$2:$K$673,8,FALSE)</f>
        <v>1</v>
      </c>
      <c r="V110">
        <f>VLOOKUP(C110,CU_ARS_2025_WOF_F2!$A$2:$K$673,9,FALSE)</f>
        <v>0</v>
      </c>
      <c r="W110">
        <f>VLOOKUP(C110,CU_ARS_2025_WOF_F2!$A$2:$K$673,10,FALSE)</f>
        <v>0</v>
      </c>
      <c r="X110">
        <f>VLOOKUP(C110,CU_ARS_2025_WOF_F2!$A$2:$K$673,11,FALSE)</f>
        <v>11</v>
      </c>
      <c r="Y110" t="str">
        <f>VLOOKUP(Q110,cross_pedigree!$A$2:$B$23,2,FALSE)</f>
        <v>NC21-6429/AURORA</v>
      </c>
    </row>
    <row r="111" spans="1:25" ht="18">
      <c r="A111" s="20" t="s">
        <v>15</v>
      </c>
      <c r="B111" s="21" t="s">
        <v>16</v>
      </c>
      <c r="C111" s="22">
        <v>753649</v>
      </c>
      <c r="D111" s="23">
        <v>2</v>
      </c>
      <c r="E111" s="24" t="str">
        <f t="shared" si="1"/>
        <v>CU_ARS_2025_WOF_F2_8_plant_12</v>
      </c>
      <c r="F111" s="21" t="s">
        <v>85</v>
      </c>
      <c r="G111" s="44" t="s">
        <v>116</v>
      </c>
      <c r="H111" s="42"/>
      <c r="I111" s="42" t="s">
        <v>1023</v>
      </c>
      <c r="J111" s="42" t="s">
        <v>1003</v>
      </c>
      <c r="K111" s="42"/>
      <c r="L111" s="42"/>
      <c r="M111" s="42"/>
      <c r="N111" t="str">
        <f>VLOOKUP(C111,CU_ARS_2025_WOF_F2!$A$2:$K$673,2,FALSE)</f>
        <v>CU_ARS_2025_WOF_F2_8_plant_12</v>
      </c>
      <c r="O111" t="str">
        <f>VLOOKUP(C111,CU_ARS_2025_WOF_F2!$A$2:$K$673,2,FALSE)</f>
        <v>CU_ARS_2025_WOF_F2_8_plant_12</v>
      </c>
      <c r="P111" t="str">
        <f>VLOOKUP(C111,CU_ARS_2025_WOF_F2!$A$2:$K$673,3,FALSE)</f>
        <v>CU_ARS_2025_WOF_F2_8</v>
      </c>
      <c r="Q111" t="str">
        <f>VLOOKUP(C111,CU_ARS_2025_WOF_F2!$A$2:$K$673,4,FALSE)</f>
        <v>CU_ARS_2025_WOF_cross_29</v>
      </c>
      <c r="R111">
        <f>VLOOKUP(C111,CU_ARS_2025_WOF_F2!$A$2:$K$673,5,FALSE)</f>
        <v>8</v>
      </c>
      <c r="S111">
        <f>VLOOKUP(C111,CU_ARS_2025_WOF_F2!$A$2:$K$673,6,FALSE)</f>
        <v>1</v>
      </c>
      <c r="T111">
        <f>VLOOKUP(C111,CU_ARS_2025_WOF_F2!$A$2:$K$673,7,FALSE)</f>
        <v>0</v>
      </c>
      <c r="U111">
        <f>VLOOKUP(C111,CU_ARS_2025_WOF_F2!$A$2:$K$673,8,FALSE)</f>
        <v>1</v>
      </c>
      <c r="V111">
        <f>VLOOKUP(C111,CU_ARS_2025_WOF_F2!$A$2:$K$673,9,FALSE)</f>
        <v>0</v>
      </c>
      <c r="W111">
        <f>VLOOKUP(C111,CU_ARS_2025_WOF_F2!$A$2:$K$673,10,FALSE)</f>
        <v>0</v>
      </c>
      <c r="X111">
        <f>VLOOKUP(C111,CU_ARS_2025_WOF_F2!$A$2:$K$673,11,FALSE)</f>
        <v>12</v>
      </c>
      <c r="Y111" t="str">
        <f>VLOOKUP(Q111,cross_pedigree!$A$2:$B$23,2,FALSE)</f>
        <v>NC21-6429/AURORA</v>
      </c>
    </row>
    <row r="112" spans="1:25" ht="18">
      <c r="A112" s="20" t="s">
        <v>15</v>
      </c>
      <c r="B112" s="21" t="s">
        <v>16</v>
      </c>
      <c r="C112" s="22">
        <v>753650</v>
      </c>
      <c r="D112" s="23">
        <v>2</v>
      </c>
      <c r="E112" s="24" t="str">
        <f t="shared" si="1"/>
        <v>CU_ARS_2025_WOF_F2_8_plant_13</v>
      </c>
      <c r="F112" s="21" t="s">
        <v>117</v>
      </c>
      <c r="G112" s="44" t="s">
        <v>118</v>
      </c>
      <c r="H112" s="42"/>
      <c r="I112" s="42" t="s">
        <v>1023</v>
      </c>
      <c r="J112" s="42" t="s">
        <v>1003</v>
      </c>
      <c r="K112" s="42"/>
      <c r="L112" s="42"/>
      <c r="M112" s="42"/>
      <c r="N112" t="str">
        <f>VLOOKUP(C112,CU_ARS_2025_WOF_F2!$A$2:$K$673,2,FALSE)</f>
        <v>CU_ARS_2025_WOF_F2_8_plant_13</v>
      </c>
      <c r="O112" t="str">
        <f>VLOOKUP(C112,CU_ARS_2025_WOF_F2!$A$2:$K$673,2,FALSE)</f>
        <v>CU_ARS_2025_WOF_F2_8_plant_13</v>
      </c>
      <c r="P112" t="str">
        <f>VLOOKUP(C112,CU_ARS_2025_WOF_F2!$A$2:$K$673,3,FALSE)</f>
        <v>CU_ARS_2025_WOF_F2_8</v>
      </c>
      <c r="Q112" t="str">
        <f>VLOOKUP(C112,CU_ARS_2025_WOF_F2!$A$2:$K$673,4,FALSE)</f>
        <v>CU_ARS_2025_WOF_cross_29</v>
      </c>
      <c r="R112">
        <f>VLOOKUP(C112,CU_ARS_2025_WOF_F2!$A$2:$K$673,5,FALSE)</f>
        <v>8</v>
      </c>
      <c r="S112">
        <f>VLOOKUP(C112,CU_ARS_2025_WOF_F2!$A$2:$K$673,6,FALSE)</f>
        <v>1</v>
      </c>
      <c r="T112">
        <f>VLOOKUP(C112,CU_ARS_2025_WOF_F2!$A$2:$K$673,7,FALSE)</f>
        <v>0</v>
      </c>
      <c r="U112">
        <f>VLOOKUP(C112,CU_ARS_2025_WOF_F2!$A$2:$K$673,8,FALSE)</f>
        <v>1</v>
      </c>
      <c r="V112">
        <f>VLOOKUP(C112,CU_ARS_2025_WOF_F2!$A$2:$K$673,9,FALSE)</f>
        <v>0</v>
      </c>
      <c r="W112">
        <f>VLOOKUP(C112,CU_ARS_2025_WOF_F2!$A$2:$K$673,10,FALSE)</f>
        <v>0</v>
      </c>
      <c r="X112">
        <f>VLOOKUP(C112,CU_ARS_2025_WOF_F2!$A$2:$K$673,11,FALSE)</f>
        <v>13</v>
      </c>
      <c r="Y112" t="str">
        <f>VLOOKUP(Q112,cross_pedigree!$A$2:$B$23,2,FALSE)</f>
        <v>NC21-6429/AURORA</v>
      </c>
    </row>
    <row r="113" spans="1:25" ht="18">
      <c r="A113" s="20" t="s">
        <v>15</v>
      </c>
      <c r="B113" s="21" t="s">
        <v>16</v>
      </c>
      <c r="C113" s="22">
        <v>753643</v>
      </c>
      <c r="D113" s="23">
        <v>2</v>
      </c>
      <c r="E113" s="24" t="str">
        <f t="shared" si="1"/>
        <v>CU_ARS_2025_WOF_F2_8_plant_6</v>
      </c>
      <c r="F113" s="21" t="s">
        <v>119</v>
      </c>
      <c r="G113" s="44" t="s">
        <v>120</v>
      </c>
      <c r="H113" s="42"/>
      <c r="I113" s="42" t="s">
        <v>1023</v>
      </c>
      <c r="J113" s="42" t="s">
        <v>1003</v>
      </c>
      <c r="K113" s="42"/>
      <c r="L113" s="42"/>
      <c r="M113" s="42"/>
      <c r="N113" t="str">
        <f>VLOOKUP(C113,CU_ARS_2025_WOF_F2!$A$2:$K$673,2,FALSE)</f>
        <v>CU_ARS_2025_WOF_F2_8_plant_6</v>
      </c>
      <c r="O113" t="str">
        <f>VLOOKUP(C113,CU_ARS_2025_WOF_F2!$A$2:$K$673,2,FALSE)</f>
        <v>CU_ARS_2025_WOF_F2_8_plant_6</v>
      </c>
      <c r="P113" t="str">
        <f>VLOOKUP(C113,CU_ARS_2025_WOF_F2!$A$2:$K$673,3,FALSE)</f>
        <v>CU_ARS_2025_WOF_F2_8</v>
      </c>
      <c r="Q113" t="str">
        <f>VLOOKUP(C113,CU_ARS_2025_WOF_F2!$A$2:$K$673,4,FALSE)</f>
        <v>CU_ARS_2025_WOF_cross_29</v>
      </c>
      <c r="R113">
        <f>VLOOKUP(C113,CU_ARS_2025_WOF_F2!$A$2:$K$673,5,FALSE)</f>
        <v>8</v>
      </c>
      <c r="S113">
        <f>VLOOKUP(C113,CU_ARS_2025_WOF_F2!$A$2:$K$673,6,FALSE)</f>
        <v>1</v>
      </c>
      <c r="T113">
        <f>VLOOKUP(C113,CU_ARS_2025_WOF_F2!$A$2:$K$673,7,FALSE)</f>
        <v>0</v>
      </c>
      <c r="U113">
        <f>VLOOKUP(C113,CU_ARS_2025_WOF_F2!$A$2:$K$673,8,FALSE)</f>
        <v>1</v>
      </c>
      <c r="V113">
        <f>VLOOKUP(C113,CU_ARS_2025_WOF_F2!$A$2:$K$673,9,FALSE)</f>
        <v>0</v>
      </c>
      <c r="W113">
        <f>VLOOKUP(C113,CU_ARS_2025_WOF_F2!$A$2:$K$673,10,FALSE)</f>
        <v>0</v>
      </c>
      <c r="X113">
        <f>VLOOKUP(C113,CU_ARS_2025_WOF_F2!$A$2:$K$673,11,FALSE)</f>
        <v>6</v>
      </c>
      <c r="Y113" t="str">
        <f>VLOOKUP(Q113,cross_pedigree!$A$2:$B$23,2,FALSE)</f>
        <v>NC21-6429/AURORA</v>
      </c>
    </row>
    <row r="114" spans="1:25" ht="18">
      <c r="A114" s="20" t="s">
        <v>15</v>
      </c>
      <c r="B114" s="21" t="s">
        <v>16</v>
      </c>
      <c r="C114" s="22">
        <v>753644</v>
      </c>
      <c r="D114" s="23">
        <v>2</v>
      </c>
      <c r="E114" s="24" t="str">
        <f t="shared" si="1"/>
        <v>CU_ARS_2025_WOF_F2_8_plant_7</v>
      </c>
      <c r="F114" s="21" t="s">
        <v>121</v>
      </c>
      <c r="G114" s="44" t="s">
        <v>122</v>
      </c>
      <c r="H114" s="42"/>
      <c r="I114" s="42" t="s">
        <v>1023</v>
      </c>
      <c r="J114" s="42" t="s">
        <v>1003</v>
      </c>
      <c r="K114" s="42"/>
      <c r="L114" s="42"/>
      <c r="M114" s="42"/>
      <c r="N114" t="str">
        <f>VLOOKUP(C114,CU_ARS_2025_WOF_F2!$A$2:$K$673,2,FALSE)</f>
        <v>CU_ARS_2025_WOF_F2_8_plant_7</v>
      </c>
      <c r="O114" t="str">
        <f>VLOOKUP(C114,CU_ARS_2025_WOF_F2!$A$2:$K$673,2,FALSE)</f>
        <v>CU_ARS_2025_WOF_F2_8_plant_7</v>
      </c>
      <c r="P114" t="str">
        <f>VLOOKUP(C114,CU_ARS_2025_WOF_F2!$A$2:$K$673,3,FALSE)</f>
        <v>CU_ARS_2025_WOF_F2_8</v>
      </c>
      <c r="Q114" t="str">
        <f>VLOOKUP(C114,CU_ARS_2025_WOF_F2!$A$2:$K$673,4,FALSE)</f>
        <v>CU_ARS_2025_WOF_cross_29</v>
      </c>
      <c r="R114">
        <f>VLOOKUP(C114,CU_ARS_2025_WOF_F2!$A$2:$K$673,5,FALSE)</f>
        <v>8</v>
      </c>
      <c r="S114">
        <f>VLOOKUP(C114,CU_ARS_2025_WOF_F2!$A$2:$K$673,6,FALSE)</f>
        <v>1</v>
      </c>
      <c r="T114">
        <f>VLOOKUP(C114,CU_ARS_2025_WOF_F2!$A$2:$K$673,7,FALSE)</f>
        <v>0</v>
      </c>
      <c r="U114">
        <f>VLOOKUP(C114,CU_ARS_2025_WOF_F2!$A$2:$K$673,8,FALSE)</f>
        <v>1</v>
      </c>
      <c r="V114">
        <f>VLOOKUP(C114,CU_ARS_2025_WOF_F2!$A$2:$K$673,9,FALSE)</f>
        <v>0</v>
      </c>
      <c r="W114">
        <f>VLOOKUP(C114,CU_ARS_2025_WOF_F2!$A$2:$K$673,10,FALSE)</f>
        <v>0</v>
      </c>
      <c r="X114">
        <f>VLOOKUP(C114,CU_ARS_2025_WOF_F2!$A$2:$K$673,11,FALSE)</f>
        <v>7</v>
      </c>
      <c r="Y114" t="str">
        <f>VLOOKUP(Q114,cross_pedigree!$A$2:$B$23,2,FALSE)</f>
        <v>NC21-6429/AURORA</v>
      </c>
    </row>
    <row r="115" spans="1:25" ht="18">
      <c r="A115" s="20" t="s">
        <v>15</v>
      </c>
      <c r="B115" s="21" t="s">
        <v>16</v>
      </c>
      <c r="C115" s="22">
        <v>753645</v>
      </c>
      <c r="D115" s="23">
        <v>2</v>
      </c>
      <c r="E115" s="24" t="str">
        <f t="shared" si="1"/>
        <v>CU_ARS_2025_WOF_F2_8_plant_8</v>
      </c>
      <c r="F115" s="21" t="s">
        <v>123</v>
      </c>
      <c r="G115" s="44" t="s">
        <v>124</v>
      </c>
      <c r="H115" s="42"/>
      <c r="I115" s="42" t="s">
        <v>1023</v>
      </c>
      <c r="J115" s="42" t="s">
        <v>1003</v>
      </c>
      <c r="K115" s="42"/>
      <c r="L115" s="42"/>
      <c r="M115" s="42"/>
      <c r="N115" t="str">
        <f>VLOOKUP(C115,CU_ARS_2025_WOF_F2!$A$2:$K$673,2,FALSE)</f>
        <v>CU_ARS_2025_WOF_F2_8_plant_8</v>
      </c>
      <c r="O115" t="str">
        <f>VLOOKUP(C115,CU_ARS_2025_WOF_F2!$A$2:$K$673,2,FALSE)</f>
        <v>CU_ARS_2025_WOF_F2_8_plant_8</v>
      </c>
      <c r="P115" t="str">
        <f>VLOOKUP(C115,CU_ARS_2025_WOF_F2!$A$2:$K$673,3,FALSE)</f>
        <v>CU_ARS_2025_WOF_F2_8</v>
      </c>
      <c r="Q115" t="str">
        <f>VLOOKUP(C115,CU_ARS_2025_WOF_F2!$A$2:$K$673,4,FALSE)</f>
        <v>CU_ARS_2025_WOF_cross_29</v>
      </c>
      <c r="R115">
        <f>VLOOKUP(C115,CU_ARS_2025_WOF_F2!$A$2:$K$673,5,FALSE)</f>
        <v>8</v>
      </c>
      <c r="S115">
        <f>VLOOKUP(C115,CU_ARS_2025_WOF_F2!$A$2:$K$673,6,FALSE)</f>
        <v>1</v>
      </c>
      <c r="T115">
        <f>VLOOKUP(C115,CU_ARS_2025_WOF_F2!$A$2:$K$673,7,FALSE)</f>
        <v>0</v>
      </c>
      <c r="U115">
        <f>VLOOKUP(C115,CU_ARS_2025_WOF_F2!$A$2:$K$673,8,FALSE)</f>
        <v>1</v>
      </c>
      <c r="V115">
        <f>VLOOKUP(C115,CU_ARS_2025_WOF_F2!$A$2:$K$673,9,FALSE)</f>
        <v>0</v>
      </c>
      <c r="W115">
        <f>VLOOKUP(C115,CU_ARS_2025_WOF_F2!$A$2:$K$673,10,FALSE)</f>
        <v>0</v>
      </c>
      <c r="X115">
        <f>VLOOKUP(C115,CU_ARS_2025_WOF_F2!$A$2:$K$673,11,FALSE)</f>
        <v>8</v>
      </c>
      <c r="Y115" t="str">
        <f>VLOOKUP(Q115,cross_pedigree!$A$2:$B$23,2,FALSE)</f>
        <v>NC21-6429/AURORA</v>
      </c>
    </row>
    <row r="116" spans="1:25" ht="18">
      <c r="A116" s="20" t="s">
        <v>15</v>
      </c>
      <c r="B116" s="21" t="s">
        <v>16</v>
      </c>
      <c r="C116" s="22">
        <v>753651</v>
      </c>
      <c r="D116" s="23">
        <v>2</v>
      </c>
      <c r="E116" s="24" t="str">
        <f t="shared" si="1"/>
        <v>CU_ARS_2025_WOF_F2_8_plant_14</v>
      </c>
      <c r="F116" s="21" t="s">
        <v>125</v>
      </c>
      <c r="G116" s="44" t="s">
        <v>126</v>
      </c>
      <c r="H116" s="42"/>
      <c r="I116" s="42" t="s">
        <v>1023</v>
      </c>
      <c r="J116" s="42" t="s">
        <v>1003</v>
      </c>
      <c r="K116" s="42"/>
      <c r="L116" s="42"/>
      <c r="M116" s="42"/>
      <c r="N116" t="str">
        <f>VLOOKUP(C116,CU_ARS_2025_WOF_F2!$A$2:$K$673,2,FALSE)</f>
        <v>CU_ARS_2025_WOF_F2_8_plant_14</v>
      </c>
      <c r="O116" t="str">
        <f>VLOOKUP(C116,CU_ARS_2025_WOF_F2!$A$2:$K$673,2,FALSE)</f>
        <v>CU_ARS_2025_WOF_F2_8_plant_14</v>
      </c>
      <c r="P116" t="str">
        <f>VLOOKUP(C116,CU_ARS_2025_WOF_F2!$A$2:$K$673,3,FALSE)</f>
        <v>CU_ARS_2025_WOF_F2_8</v>
      </c>
      <c r="Q116" t="str">
        <f>VLOOKUP(C116,CU_ARS_2025_WOF_F2!$A$2:$K$673,4,FALSE)</f>
        <v>CU_ARS_2025_WOF_cross_29</v>
      </c>
      <c r="R116">
        <f>VLOOKUP(C116,CU_ARS_2025_WOF_F2!$A$2:$K$673,5,FALSE)</f>
        <v>8</v>
      </c>
      <c r="S116">
        <f>VLOOKUP(C116,CU_ARS_2025_WOF_F2!$A$2:$K$673,6,FALSE)</f>
        <v>1</v>
      </c>
      <c r="T116">
        <f>VLOOKUP(C116,CU_ARS_2025_WOF_F2!$A$2:$K$673,7,FALSE)</f>
        <v>0</v>
      </c>
      <c r="U116">
        <f>VLOOKUP(C116,CU_ARS_2025_WOF_F2!$A$2:$K$673,8,FALSE)</f>
        <v>1</v>
      </c>
      <c r="V116">
        <f>VLOOKUP(C116,CU_ARS_2025_WOF_F2!$A$2:$K$673,9,FALSE)</f>
        <v>0</v>
      </c>
      <c r="W116">
        <f>VLOOKUP(C116,CU_ARS_2025_WOF_F2!$A$2:$K$673,10,FALSE)</f>
        <v>0</v>
      </c>
      <c r="X116">
        <f>VLOOKUP(C116,CU_ARS_2025_WOF_F2!$A$2:$K$673,11,FALSE)</f>
        <v>14</v>
      </c>
      <c r="Y116" t="str">
        <f>VLOOKUP(Q116,cross_pedigree!$A$2:$B$23,2,FALSE)</f>
        <v>NC21-6429/AURORA</v>
      </c>
    </row>
    <row r="117" spans="1:25" ht="18">
      <c r="A117" s="20" t="s">
        <v>15</v>
      </c>
      <c r="B117" s="21" t="s">
        <v>16</v>
      </c>
      <c r="C117" s="22">
        <v>753652</v>
      </c>
      <c r="D117" s="23">
        <v>2</v>
      </c>
      <c r="E117" s="24" t="str">
        <f t="shared" si="1"/>
        <v>CU_ARS_2025_WOF_F2_8_plant_15</v>
      </c>
      <c r="F117" s="21" t="s">
        <v>86</v>
      </c>
      <c r="G117" s="44" t="s">
        <v>127</v>
      </c>
      <c r="H117" s="42"/>
      <c r="I117" s="42" t="s">
        <v>1023</v>
      </c>
      <c r="J117" s="42" t="s">
        <v>1003</v>
      </c>
      <c r="K117" s="42"/>
      <c r="L117" s="42"/>
      <c r="M117" s="42"/>
      <c r="N117" t="str">
        <f>VLOOKUP(C117,CU_ARS_2025_WOF_F2!$A$2:$K$673,2,FALSE)</f>
        <v>CU_ARS_2025_WOF_F2_8_plant_15</v>
      </c>
      <c r="O117" t="str">
        <f>VLOOKUP(C117,CU_ARS_2025_WOF_F2!$A$2:$K$673,2,FALSE)</f>
        <v>CU_ARS_2025_WOF_F2_8_plant_15</v>
      </c>
      <c r="P117" t="str">
        <f>VLOOKUP(C117,CU_ARS_2025_WOF_F2!$A$2:$K$673,3,FALSE)</f>
        <v>CU_ARS_2025_WOF_F2_8</v>
      </c>
      <c r="Q117" t="str">
        <f>VLOOKUP(C117,CU_ARS_2025_WOF_F2!$A$2:$K$673,4,FALSE)</f>
        <v>CU_ARS_2025_WOF_cross_29</v>
      </c>
      <c r="R117">
        <f>VLOOKUP(C117,CU_ARS_2025_WOF_F2!$A$2:$K$673,5,FALSE)</f>
        <v>8</v>
      </c>
      <c r="S117">
        <f>VLOOKUP(C117,CU_ARS_2025_WOF_F2!$A$2:$K$673,6,FALSE)</f>
        <v>1</v>
      </c>
      <c r="T117">
        <f>VLOOKUP(C117,CU_ARS_2025_WOF_F2!$A$2:$K$673,7,FALSE)</f>
        <v>0</v>
      </c>
      <c r="U117">
        <f>VLOOKUP(C117,CU_ARS_2025_WOF_F2!$A$2:$K$673,8,FALSE)</f>
        <v>1</v>
      </c>
      <c r="V117">
        <f>VLOOKUP(C117,CU_ARS_2025_WOF_F2!$A$2:$K$673,9,FALSE)</f>
        <v>0</v>
      </c>
      <c r="W117">
        <f>VLOOKUP(C117,CU_ARS_2025_WOF_F2!$A$2:$K$673,10,FALSE)</f>
        <v>0</v>
      </c>
      <c r="X117">
        <f>VLOOKUP(C117,CU_ARS_2025_WOF_F2!$A$2:$K$673,11,FALSE)</f>
        <v>15</v>
      </c>
      <c r="Y117" t="str">
        <f>VLOOKUP(Q117,cross_pedigree!$A$2:$B$23,2,FALSE)</f>
        <v>NC21-6429/AURORA</v>
      </c>
    </row>
    <row r="118" spans="1:25" ht="18">
      <c r="A118" s="20" t="s">
        <v>15</v>
      </c>
      <c r="B118" s="21" t="s">
        <v>16</v>
      </c>
      <c r="C118" s="22">
        <v>753653</v>
      </c>
      <c r="D118" s="23">
        <v>2</v>
      </c>
      <c r="E118" s="24" t="str">
        <f t="shared" si="1"/>
        <v>CU_ARS_2025_WOF_F2_8_plant_16</v>
      </c>
      <c r="F118" s="21" t="s">
        <v>87</v>
      </c>
      <c r="G118" s="44" t="s">
        <v>128</v>
      </c>
      <c r="H118" s="42"/>
      <c r="I118" s="42" t="s">
        <v>1023</v>
      </c>
      <c r="J118" s="42" t="s">
        <v>1003</v>
      </c>
      <c r="K118" s="42"/>
      <c r="L118" s="42"/>
      <c r="M118" s="42"/>
      <c r="N118" t="str">
        <f>VLOOKUP(C118,CU_ARS_2025_WOF_F2!$A$2:$K$673,2,FALSE)</f>
        <v>CU_ARS_2025_WOF_F2_8_plant_16</v>
      </c>
      <c r="O118" t="str">
        <f>VLOOKUP(C118,CU_ARS_2025_WOF_F2!$A$2:$K$673,2,FALSE)</f>
        <v>CU_ARS_2025_WOF_F2_8_plant_16</v>
      </c>
      <c r="P118" t="str">
        <f>VLOOKUP(C118,CU_ARS_2025_WOF_F2!$A$2:$K$673,3,FALSE)</f>
        <v>CU_ARS_2025_WOF_F2_8</v>
      </c>
      <c r="Q118" t="str">
        <f>VLOOKUP(C118,CU_ARS_2025_WOF_F2!$A$2:$K$673,4,FALSE)</f>
        <v>CU_ARS_2025_WOF_cross_29</v>
      </c>
      <c r="R118">
        <f>VLOOKUP(C118,CU_ARS_2025_WOF_F2!$A$2:$K$673,5,FALSE)</f>
        <v>8</v>
      </c>
      <c r="S118">
        <f>VLOOKUP(C118,CU_ARS_2025_WOF_F2!$A$2:$K$673,6,FALSE)</f>
        <v>1</v>
      </c>
      <c r="T118">
        <f>VLOOKUP(C118,CU_ARS_2025_WOF_F2!$A$2:$K$673,7,FALSE)</f>
        <v>0</v>
      </c>
      <c r="U118">
        <f>VLOOKUP(C118,CU_ARS_2025_WOF_F2!$A$2:$K$673,8,FALSE)</f>
        <v>1</v>
      </c>
      <c r="V118">
        <f>VLOOKUP(C118,CU_ARS_2025_WOF_F2!$A$2:$K$673,9,FALSE)</f>
        <v>0</v>
      </c>
      <c r="W118">
        <f>VLOOKUP(C118,CU_ARS_2025_WOF_F2!$A$2:$K$673,10,FALSE)</f>
        <v>0</v>
      </c>
      <c r="X118">
        <f>VLOOKUP(C118,CU_ARS_2025_WOF_F2!$A$2:$K$673,11,FALSE)</f>
        <v>16</v>
      </c>
      <c r="Y118" t="str">
        <f>VLOOKUP(Q118,cross_pedigree!$A$2:$B$23,2,FALSE)</f>
        <v>NC21-6429/AURORA</v>
      </c>
    </row>
    <row r="119" spans="1:25" ht="18">
      <c r="A119" s="20" t="s">
        <v>15</v>
      </c>
      <c r="B119" s="21" t="s">
        <v>16</v>
      </c>
      <c r="C119" s="22">
        <v>753669</v>
      </c>
      <c r="D119" s="23">
        <v>2</v>
      </c>
      <c r="E119" s="24" t="str">
        <f t="shared" si="1"/>
        <v>CU_ARS_2025_WOF_F2_8_plant_32</v>
      </c>
      <c r="F119" s="21" t="s">
        <v>88</v>
      </c>
      <c r="G119" s="44" t="s">
        <v>129</v>
      </c>
      <c r="H119" s="42"/>
      <c r="I119" s="42" t="s">
        <v>1023</v>
      </c>
      <c r="J119" s="42" t="s">
        <v>1003</v>
      </c>
      <c r="K119" s="42"/>
      <c r="L119" s="42"/>
      <c r="M119" s="42"/>
      <c r="N119" t="str">
        <f>VLOOKUP(C119,CU_ARS_2025_WOF_F2!$A$2:$K$673,2,FALSE)</f>
        <v>CU_ARS_2025_WOF_F2_8_plant_32</v>
      </c>
      <c r="O119" t="str">
        <f>VLOOKUP(C119,CU_ARS_2025_WOF_F2!$A$2:$K$673,2,FALSE)</f>
        <v>CU_ARS_2025_WOF_F2_8_plant_32</v>
      </c>
      <c r="P119" t="str">
        <f>VLOOKUP(C119,CU_ARS_2025_WOF_F2!$A$2:$K$673,3,FALSE)</f>
        <v>CU_ARS_2025_WOF_F2_8</v>
      </c>
      <c r="Q119" t="str">
        <f>VLOOKUP(C119,CU_ARS_2025_WOF_F2!$A$2:$K$673,4,FALSE)</f>
        <v>CU_ARS_2025_WOF_cross_29</v>
      </c>
      <c r="R119">
        <f>VLOOKUP(C119,CU_ARS_2025_WOF_F2!$A$2:$K$673,5,FALSE)</f>
        <v>8</v>
      </c>
      <c r="S119">
        <f>VLOOKUP(C119,CU_ARS_2025_WOF_F2!$A$2:$K$673,6,FALSE)</f>
        <v>1</v>
      </c>
      <c r="T119">
        <f>VLOOKUP(C119,CU_ARS_2025_WOF_F2!$A$2:$K$673,7,FALSE)</f>
        <v>0</v>
      </c>
      <c r="U119">
        <f>VLOOKUP(C119,CU_ARS_2025_WOF_F2!$A$2:$K$673,8,FALSE)</f>
        <v>1</v>
      </c>
      <c r="V119">
        <f>VLOOKUP(C119,CU_ARS_2025_WOF_F2!$A$2:$K$673,9,FALSE)</f>
        <v>0</v>
      </c>
      <c r="W119">
        <f>VLOOKUP(C119,CU_ARS_2025_WOF_F2!$A$2:$K$673,10,FALSE)</f>
        <v>0</v>
      </c>
      <c r="X119">
        <f>VLOOKUP(C119,CU_ARS_2025_WOF_F2!$A$2:$K$673,11,FALSE)</f>
        <v>32</v>
      </c>
      <c r="Y119" t="str">
        <f>VLOOKUP(Q119,cross_pedigree!$A$2:$B$23,2,FALSE)</f>
        <v>NC21-6429/AURORA</v>
      </c>
    </row>
    <row r="120" spans="1:25" ht="18">
      <c r="A120" s="20" t="s">
        <v>15</v>
      </c>
      <c r="B120" s="21" t="s">
        <v>16</v>
      </c>
      <c r="C120" s="22">
        <v>753668</v>
      </c>
      <c r="D120" s="23">
        <v>2</v>
      </c>
      <c r="E120" s="24" t="str">
        <f t="shared" si="1"/>
        <v>CU_ARS_2025_WOF_F2_8_plant_31</v>
      </c>
      <c r="F120" s="21" t="s">
        <v>89</v>
      </c>
      <c r="G120" s="44" t="s">
        <v>130</v>
      </c>
      <c r="H120" s="42"/>
      <c r="I120" s="42" t="s">
        <v>1023</v>
      </c>
      <c r="J120" s="42" t="s">
        <v>1003</v>
      </c>
      <c r="K120" s="42"/>
      <c r="L120" s="42"/>
      <c r="M120" s="42"/>
      <c r="N120" t="str">
        <f>VLOOKUP(C120,CU_ARS_2025_WOF_F2!$A$2:$K$673,2,FALSE)</f>
        <v>CU_ARS_2025_WOF_F2_8_plant_31</v>
      </c>
      <c r="O120" t="str">
        <f>VLOOKUP(C120,CU_ARS_2025_WOF_F2!$A$2:$K$673,2,FALSE)</f>
        <v>CU_ARS_2025_WOF_F2_8_plant_31</v>
      </c>
      <c r="P120" t="str">
        <f>VLOOKUP(C120,CU_ARS_2025_WOF_F2!$A$2:$K$673,3,FALSE)</f>
        <v>CU_ARS_2025_WOF_F2_8</v>
      </c>
      <c r="Q120" t="str">
        <f>VLOOKUP(C120,CU_ARS_2025_WOF_F2!$A$2:$K$673,4,FALSE)</f>
        <v>CU_ARS_2025_WOF_cross_29</v>
      </c>
      <c r="R120">
        <f>VLOOKUP(C120,CU_ARS_2025_WOF_F2!$A$2:$K$673,5,FALSE)</f>
        <v>8</v>
      </c>
      <c r="S120">
        <f>VLOOKUP(C120,CU_ARS_2025_WOF_F2!$A$2:$K$673,6,FALSE)</f>
        <v>1</v>
      </c>
      <c r="T120">
        <f>VLOOKUP(C120,CU_ARS_2025_WOF_F2!$A$2:$K$673,7,FALSE)</f>
        <v>0</v>
      </c>
      <c r="U120">
        <f>VLOOKUP(C120,CU_ARS_2025_WOF_F2!$A$2:$K$673,8,FALSE)</f>
        <v>1</v>
      </c>
      <c r="V120">
        <f>VLOOKUP(C120,CU_ARS_2025_WOF_F2!$A$2:$K$673,9,FALSE)</f>
        <v>0</v>
      </c>
      <c r="W120">
        <f>VLOOKUP(C120,CU_ARS_2025_WOF_F2!$A$2:$K$673,10,FALSE)</f>
        <v>0</v>
      </c>
      <c r="X120">
        <f>VLOOKUP(C120,CU_ARS_2025_WOF_F2!$A$2:$K$673,11,FALSE)</f>
        <v>31</v>
      </c>
      <c r="Y120" t="str">
        <f>VLOOKUP(Q120,cross_pedigree!$A$2:$B$23,2,FALSE)</f>
        <v>NC21-6429/AURORA</v>
      </c>
    </row>
    <row r="121" spans="1:25" ht="18">
      <c r="A121" s="20" t="s">
        <v>15</v>
      </c>
      <c r="B121" s="21" t="s">
        <v>16</v>
      </c>
      <c r="C121" s="22">
        <v>753667</v>
      </c>
      <c r="D121" s="23">
        <v>2</v>
      </c>
      <c r="E121" s="24" t="str">
        <f t="shared" si="1"/>
        <v>CU_ARS_2025_WOF_F2_8_plant_30</v>
      </c>
      <c r="F121" s="21" t="s">
        <v>90</v>
      </c>
      <c r="G121" s="44" t="s">
        <v>131</v>
      </c>
      <c r="H121" s="42"/>
      <c r="I121" s="42" t="s">
        <v>1023</v>
      </c>
      <c r="J121" s="42" t="s">
        <v>1003</v>
      </c>
      <c r="K121" s="42"/>
      <c r="L121" s="42"/>
      <c r="M121" s="42"/>
      <c r="N121" t="str">
        <f>VLOOKUP(C121,CU_ARS_2025_WOF_F2!$A$2:$K$673,2,FALSE)</f>
        <v>CU_ARS_2025_WOF_F2_8_plant_30</v>
      </c>
      <c r="O121" t="str">
        <f>VLOOKUP(C121,CU_ARS_2025_WOF_F2!$A$2:$K$673,2,FALSE)</f>
        <v>CU_ARS_2025_WOF_F2_8_plant_30</v>
      </c>
      <c r="P121" t="str">
        <f>VLOOKUP(C121,CU_ARS_2025_WOF_F2!$A$2:$K$673,3,FALSE)</f>
        <v>CU_ARS_2025_WOF_F2_8</v>
      </c>
      <c r="Q121" t="str">
        <f>VLOOKUP(C121,CU_ARS_2025_WOF_F2!$A$2:$K$673,4,FALSE)</f>
        <v>CU_ARS_2025_WOF_cross_29</v>
      </c>
      <c r="R121">
        <f>VLOOKUP(C121,CU_ARS_2025_WOF_F2!$A$2:$K$673,5,FALSE)</f>
        <v>8</v>
      </c>
      <c r="S121">
        <f>VLOOKUP(C121,CU_ARS_2025_WOF_F2!$A$2:$K$673,6,FALSE)</f>
        <v>1</v>
      </c>
      <c r="T121">
        <f>VLOOKUP(C121,CU_ARS_2025_WOF_F2!$A$2:$K$673,7,FALSE)</f>
        <v>0</v>
      </c>
      <c r="U121">
        <f>VLOOKUP(C121,CU_ARS_2025_WOF_F2!$A$2:$K$673,8,FALSE)</f>
        <v>1</v>
      </c>
      <c r="V121">
        <f>VLOOKUP(C121,CU_ARS_2025_WOF_F2!$A$2:$K$673,9,FALSE)</f>
        <v>0</v>
      </c>
      <c r="W121">
        <f>VLOOKUP(C121,CU_ARS_2025_WOF_F2!$A$2:$K$673,10,FALSE)</f>
        <v>0</v>
      </c>
      <c r="X121">
        <f>VLOOKUP(C121,CU_ARS_2025_WOF_F2!$A$2:$K$673,11,FALSE)</f>
        <v>30</v>
      </c>
      <c r="Y121" t="str">
        <f>VLOOKUP(Q121,cross_pedigree!$A$2:$B$23,2,FALSE)</f>
        <v>NC21-6429/AURORA</v>
      </c>
    </row>
    <row r="122" spans="1:25" ht="18">
      <c r="A122" s="20" t="s">
        <v>15</v>
      </c>
      <c r="B122" s="21" t="s">
        <v>16</v>
      </c>
      <c r="C122" s="22">
        <v>753661</v>
      </c>
      <c r="D122" s="23">
        <v>2</v>
      </c>
      <c r="E122" s="24" t="str">
        <f t="shared" si="1"/>
        <v>CU_ARS_2025_WOF_F2_8_plant_24</v>
      </c>
      <c r="F122" s="21" t="s">
        <v>132</v>
      </c>
      <c r="G122" s="44" t="s">
        <v>133</v>
      </c>
      <c r="H122" s="42"/>
      <c r="I122" s="42" t="s">
        <v>1023</v>
      </c>
      <c r="J122" s="42" t="s">
        <v>1003</v>
      </c>
      <c r="K122" s="42"/>
      <c r="L122" s="42"/>
      <c r="M122" s="42"/>
      <c r="N122" t="str">
        <f>VLOOKUP(C122,CU_ARS_2025_WOF_F2!$A$2:$K$673,2,FALSE)</f>
        <v>CU_ARS_2025_WOF_F2_8_plant_24</v>
      </c>
      <c r="O122" t="str">
        <f>VLOOKUP(C122,CU_ARS_2025_WOF_F2!$A$2:$K$673,2,FALSE)</f>
        <v>CU_ARS_2025_WOF_F2_8_plant_24</v>
      </c>
      <c r="P122" t="str">
        <f>VLOOKUP(C122,CU_ARS_2025_WOF_F2!$A$2:$K$673,3,FALSE)</f>
        <v>CU_ARS_2025_WOF_F2_8</v>
      </c>
      <c r="Q122" t="str">
        <f>VLOOKUP(C122,CU_ARS_2025_WOF_F2!$A$2:$K$673,4,FALSE)</f>
        <v>CU_ARS_2025_WOF_cross_29</v>
      </c>
      <c r="R122">
        <f>VLOOKUP(C122,CU_ARS_2025_WOF_F2!$A$2:$K$673,5,FALSE)</f>
        <v>8</v>
      </c>
      <c r="S122">
        <f>VLOOKUP(C122,CU_ARS_2025_WOF_F2!$A$2:$K$673,6,FALSE)</f>
        <v>1</v>
      </c>
      <c r="T122">
        <f>VLOOKUP(C122,CU_ARS_2025_WOF_F2!$A$2:$K$673,7,FALSE)</f>
        <v>0</v>
      </c>
      <c r="U122">
        <f>VLOOKUP(C122,CU_ARS_2025_WOF_F2!$A$2:$K$673,8,FALSE)</f>
        <v>1</v>
      </c>
      <c r="V122">
        <f>VLOOKUP(C122,CU_ARS_2025_WOF_F2!$A$2:$K$673,9,FALSE)</f>
        <v>0</v>
      </c>
      <c r="W122">
        <f>VLOOKUP(C122,CU_ARS_2025_WOF_F2!$A$2:$K$673,10,FALSE)</f>
        <v>0</v>
      </c>
      <c r="X122">
        <f>VLOOKUP(C122,CU_ARS_2025_WOF_F2!$A$2:$K$673,11,FALSE)</f>
        <v>24</v>
      </c>
      <c r="Y122" t="str">
        <f>VLOOKUP(Q122,cross_pedigree!$A$2:$B$23,2,FALSE)</f>
        <v>NC21-6429/AURORA</v>
      </c>
    </row>
    <row r="123" spans="1:25" ht="18">
      <c r="A123" s="20" t="s">
        <v>15</v>
      </c>
      <c r="B123" s="21" t="s">
        <v>16</v>
      </c>
      <c r="C123" s="22">
        <v>753659</v>
      </c>
      <c r="D123" s="23">
        <v>2</v>
      </c>
      <c r="E123" s="24" t="str">
        <f t="shared" si="1"/>
        <v>CU_ARS_2025_WOF_F2_8_plant_22</v>
      </c>
      <c r="F123" s="21" t="s">
        <v>134</v>
      </c>
      <c r="G123" s="44" t="s">
        <v>135</v>
      </c>
      <c r="H123" s="42"/>
      <c r="I123" s="42" t="s">
        <v>1023</v>
      </c>
      <c r="J123" s="42" t="s">
        <v>1003</v>
      </c>
      <c r="K123" s="42"/>
      <c r="L123" s="42"/>
      <c r="M123" s="42"/>
      <c r="N123" t="str">
        <f>VLOOKUP(C123,CU_ARS_2025_WOF_F2!$A$2:$K$673,2,FALSE)</f>
        <v>CU_ARS_2025_WOF_F2_8_plant_22</v>
      </c>
      <c r="O123" t="str">
        <f>VLOOKUP(C123,CU_ARS_2025_WOF_F2!$A$2:$K$673,2,FALSE)</f>
        <v>CU_ARS_2025_WOF_F2_8_plant_22</v>
      </c>
      <c r="P123" t="str">
        <f>VLOOKUP(C123,CU_ARS_2025_WOF_F2!$A$2:$K$673,3,FALSE)</f>
        <v>CU_ARS_2025_WOF_F2_8</v>
      </c>
      <c r="Q123" t="str">
        <f>VLOOKUP(C123,CU_ARS_2025_WOF_F2!$A$2:$K$673,4,FALSE)</f>
        <v>CU_ARS_2025_WOF_cross_29</v>
      </c>
      <c r="R123">
        <f>VLOOKUP(C123,CU_ARS_2025_WOF_F2!$A$2:$K$673,5,FALSE)</f>
        <v>8</v>
      </c>
      <c r="S123">
        <f>VLOOKUP(C123,CU_ARS_2025_WOF_F2!$A$2:$K$673,6,FALSE)</f>
        <v>1</v>
      </c>
      <c r="T123">
        <f>VLOOKUP(C123,CU_ARS_2025_WOF_F2!$A$2:$K$673,7,FALSE)</f>
        <v>0</v>
      </c>
      <c r="U123">
        <f>VLOOKUP(C123,CU_ARS_2025_WOF_F2!$A$2:$K$673,8,FALSE)</f>
        <v>1</v>
      </c>
      <c r="V123">
        <f>VLOOKUP(C123,CU_ARS_2025_WOF_F2!$A$2:$K$673,9,FALSE)</f>
        <v>0</v>
      </c>
      <c r="W123">
        <f>VLOOKUP(C123,CU_ARS_2025_WOF_F2!$A$2:$K$673,10,FALSE)</f>
        <v>0</v>
      </c>
      <c r="X123">
        <f>VLOOKUP(C123,CU_ARS_2025_WOF_F2!$A$2:$K$673,11,FALSE)</f>
        <v>22</v>
      </c>
      <c r="Y123" t="str">
        <f>VLOOKUP(Q123,cross_pedigree!$A$2:$B$23,2,FALSE)</f>
        <v>NC21-6429/AURORA</v>
      </c>
    </row>
    <row r="124" spans="1:25" ht="18">
      <c r="A124" s="20" t="s">
        <v>15</v>
      </c>
      <c r="B124" s="21" t="s">
        <v>16</v>
      </c>
      <c r="C124" s="22">
        <v>753660</v>
      </c>
      <c r="D124" s="23">
        <v>2</v>
      </c>
      <c r="E124" s="24" t="str">
        <f t="shared" si="1"/>
        <v>CU_ARS_2025_WOF_F2_8_plant_23</v>
      </c>
      <c r="F124" s="21" t="s">
        <v>136</v>
      </c>
      <c r="G124" s="44" t="s">
        <v>137</v>
      </c>
      <c r="H124" s="42"/>
      <c r="I124" s="42" t="s">
        <v>1023</v>
      </c>
      <c r="J124" s="42" t="s">
        <v>1003</v>
      </c>
      <c r="K124" s="42"/>
      <c r="L124" s="42"/>
      <c r="M124" s="42"/>
      <c r="N124" t="str">
        <f>VLOOKUP(C124,CU_ARS_2025_WOF_F2!$A$2:$K$673,2,FALSE)</f>
        <v>CU_ARS_2025_WOF_F2_8_plant_23</v>
      </c>
      <c r="O124" t="str">
        <f>VLOOKUP(C124,CU_ARS_2025_WOF_F2!$A$2:$K$673,2,FALSE)</f>
        <v>CU_ARS_2025_WOF_F2_8_plant_23</v>
      </c>
      <c r="P124" t="str">
        <f>VLOOKUP(C124,CU_ARS_2025_WOF_F2!$A$2:$K$673,3,FALSE)</f>
        <v>CU_ARS_2025_WOF_F2_8</v>
      </c>
      <c r="Q124" t="str">
        <f>VLOOKUP(C124,CU_ARS_2025_WOF_F2!$A$2:$K$673,4,FALSE)</f>
        <v>CU_ARS_2025_WOF_cross_29</v>
      </c>
      <c r="R124">
        <f>VLOOKUP(C124,CU_ARS_2025_WOF_F2!$A$2:$K$673,5,FALSE)</f>
        <v>8</v>
      </c>
      <c r="S124">
        <f>VLOOKUP(C124,CU_ARS_2025_WOF_F2!$A$2:$K$673,6,FALSE)</f>
        <v>1</v>
      </c>
      <c r="T124">
        <f>VLOOKUP(C124,CU_ARS_2025_WOF_F2!$A$2:$K$673,7,FALSE)</f>
        <v>0</v>
      </c>
      <c r="U124">
        <f>VLOOKUP(C124,CU_ARS_2025_WOF_F2!$A$2:$K$673,8,FALSE)</f>
        <v>1</v>
      </c>
      <c r="V124">
        <f>VLOOKUP(C124,CU_ARS_2025_WOF_F2!$A$2:$K$673,9,FALSE)</f>
        <v>0</v>
      </c>
      <c r="W124">
        <f>VLOOKUP(C124,CU_ARS_2025_WOF_F2!$A$2:$K$673,10,FALSE)</f>
        <v>0</v>
      </c>
      <c r="X124">
        <f>VLOOKUP(C124,CU_ARS_2025_WOF_F2!$A$2:$K$673,11,FALSE)</f>
        <v>23</v>
      </c>
      <c r="Y124" t="str">
        <f>VLOOKUP(Q124,cross_pedigree!$A$2:$B$23,2,FALSE)</f>
        <v>NC21-6429/AURORA</v>
      </c>
    </row>
    <row r="125" spans="1:25" ht="18">
      <c r="A125" s="20" t="s">
        <v>15</v>
      </c>
      <c r="B125" s="21" t="s">
        <v>16</v>
      </c>
      <c r="C125" s="22">
        <v>753654</v>
      </c>
      <c r="D125" s="23">
        <v>2</v>
      </c>
      <c r="E125" s="24" t="str">
        <f t="shared" si="1"/>
        <v>CU_ARS_2025_WOF_F2_8_plant_17</v>
      </c>
      <c r="F125" s="21" t="s">
        <v>138</v>
      </c>
      <c r="G125" s="44" t="s">
        <v>139</v>
      </c>
      <c r="H125" s="42"/>
      <c r="I125" s="42" t="s">
        <v>1023</v>
      </c>
      <c r="J125" s="42" t="s">
        <v>1003</v>
      </c>
      <c r="K125" s="42"/>
      <c r="L125" s="42"/>
      <c r="M125" s="42"/>
      <c r="N125" t="str">
        <f>VLOOKUP(C125,CU_ARS_2025_WOF_F2!$A$2:$K$673,2,FALSE)</f>
        <v>CU_ARS_2025_WOF_F2_8_plant_17</v>
      </c>
      <c r="O125" t="str">
        <f>VLOOKUP(C125,CU_ARS_2025_WOF_F2!$A$2:$K$673,2,FALSE)</f>
        <v>CU_ARS_2025_WOF_F2_8_plant_17</v>
      </c>
      <c r="P125" t="str">
        <f>VLOOKUP(C125,CU_ARS_2025_WOF_F2!$A$2:$K$673,3,FALSE)</f>
        <v>CU_ARS_2025_WOF_F2_8</v>
      </c>
      <c r="Q125" t="str">
        <f>VLOOKUP(C125,CU_ARS_2025_WOF_F2!$A$2:$K$673,4,FALSE)</f>
        <v>CU_ARS_2025_WOF_cross_29</v>
      </c>
      <c r="R125">
        <f>VLOOKUP(C125,CU_ARS_2025_WOF_F2!$A$2:$K$673,5,FALSE)</f>
        <v>8</v>
      </c>
      <c r="S125">
        <f>VLOOKUP(C125,CU_ARS_2025_WOF_F2!$A$2:$K$673,6,FALSE)</f>
        <v>1</v>
      </c>
      <c r="T125">
        <f>VLOOKUP(C125,CU_ARS_2025_WOF_F2!$A$2:$K$673,7,FALSE)</f>
        <v>0</v>
      </c>
      <c r="U125">
        <f>VLOOKUP(C125,CU_ARS_2025_WOF_F2!$A$2:$K$673,8,FALSE)</f>
        <v>1</v>
      </c>
      <c r="V125">
        <f>VLOOKUP(C125,CU_ARS_2025_WOF_F2!$A$2:$K$673,9,FALSE)</f>
        <v>0</v>
      </c>
      <c r="W125">
        <f>VLOOKUP(C125,CU_ARS_2025_WOF_F2!$A$2:$K$673,10,FALSE)</f>
        <v>0</v>
      </c>
      <c r="X125">
        <f>VLOOKUP(C125,CU_ARS_2025_WOF_F2!$A$2:$K$673,11,FALSE)</f>
        <v>17</v>
      </c>
      <c r="Y125" t="str">
        <f>VLOOKUP(Q125,cross_pedigree!$A$2:$B$23,2,FALSE)</f>
        <v>NC21-6429/AURORA</v>
      </c>
    </row>
    <row r="126" spans="1:25" ht="18">
      <c r="A126" s="20" t="s">
        <v>15</v>
      </c>
      <c r="B126" s="21" t="s">
        <v>16</v>
      </c>
      <c r="C126" s="22">
        <v>753655</v>
      </c>
      <c r="D126" s="23">
        <v>2</v>
      </c>
      <c r="E126" s="24" t="str">
        <f t="shared" si="1"/>
        <v>CU_ARS_2025_WOF_F2_8_plant_18</v>
      </c>
      <c r="F126" s="21" t="s">
        <v>140</v>
      </c>
      <c r="G126" s="44" t="s">
        <v>141</v>
      </c>
      <c r="H126" s="42"/>
      <c r="I126" s="42" t="s">
        <v>1023</v>
      </c>
      <c r="J126" s="42" t="s">
        <v>1003</v>
      </c>
      <c r="K126" s="42"/>
      <c r="L126" s="42"/>
      <c r="M126" s="42"/>
      <c r="N126" t="str">
        <f>VLOOKUP(C126,CU_ARS_2025_WOF_F2!$A$2:$K$673,2,FALSE)</f>
        <v>CU_ARS_2025_WOF_F2_8_plant_18</v>
      </c>
      <c r="O126" t="str">
        <f>VLOOKUP(C126,CU_ARS_2025_WOF_F2!$A$2:$K$673,2,FALSE)</f>
        <v>CU_ARS_2025_WOF_F2_8_plant_18</v>
      </c>
      <c r="P126" t="str">
        <f>VLOOKUP(C126,CU_ARS_2025_WOF_F2!$A$2:$K$673,3,FALSE)</f>
        <v>CU_ARS_2025_WOF_F2_8</v>
      </c>
      <c r="Q126" t="str">
        <f>VLOOKUP(C126,CU_ARS_2025_WOF_F2!$A$2:$K$673,4,FALSE)</f>
        <v>CU_ARS_2025_WOF_cross_29</v>
      </c>
      <c r="R126">
        <f>VLOOKUP(C126,CU_ARS_2025_WOF_F2!$A$2:$K$673,5,FALSE)</f>
        <v>8</v>
      </c>
      <c r="S126">
        <f>VLOOKUP(C126,CU_ARS_2025_WOF_F2!$A$2:$K$673,6,FALSE)</f>
        <v>1</v>
      </c>
      <c r="T126">
        <f>VLOOKUP(C126,CU_ARS_2025_WOF_F2!$A$2:$K$673,7,FALSE)</f>
        <v>0</v>
      </c>
      <c r="U126">
        <f>VLOOKUP(C126,CU_ARS_2025_WOF_F2!$A$2:$K$673,8,FALSE)</f>
        <v>1</v>
      </c>
      <c r="V126">
        <f>VLOOKUP(C126,CU_ARS_2025_WOF_F2!$A$2:$K$673,9,FALSE)</f>
        <v>0</v>
      </c>
      <c r="W126">
        <f>VLOOKUP(C126,CU_ARS_2025_WOF_F2!$A$2:$K$673,10,FALSE)</f>
        <v>0</v>
      </c>
      <c r="X126">
        <f>VLOOKUP(C126,CU_ARS_2025_WOF_F2!$A$2:$K$673,11,FALSE)</f>
        <v>18</v>
      </c>
      <c r="Y126" t="str">
        <f>VLOOKUP(Q126,cross_pedigree!$A$2:$B$23,2,FALSE)</f>
        <v>NC21-6429/AURORA</v>
      </c>
    </row>
    <row r="127" spans="1:25" ht="18">
      <c r="A127" s="20" t="s">
        <v>15</v>
      </c>
      <c r="B127" s="21" t="s">
        <v>16</v>
      </c>
      <c r="C127" s="22">
        <v>753656</v>
      </c>
      <c r="D127" s="23">
        <v>2</v>
      </c>
      <c r="E127" s="24" t="str">
        <f t="shared" si="1"/>
        <v>CU_ARS_2025_WOF_F2_8_plant_19</v>
      </c>
      <c r="F127" s="21" t="s">
        <v>142</v>
      </c>
      <c r="G127" s="44" t="s">
        <v>143</v>
      </c>
      <c r="H127" s="42"/>
      <c r="I127" s="42" t="s">
        <v>1023</v>
      </c>
      <c r="J127" s="42" t="s">
        <v>1003</v>
      </c>
      <c r="K127" s="42"/>
      <c r="L127" s="42"/>
      <c r="M127" s="42"/>
      <c r="N127" t="str">
        <f>VLOOKUP(C127,CU_ARS_2025_WOF_F2!$A$2:$K$673,2,FALSE)</f>
        <v>CU_ARS_2025_WOF_F2_8_plant_19</v>
      </c>
      <c r="O127" t="str">
        <f>VLOOKUP(C127,CU_ARS_2025_WOF_F2!$A$2:$K$673,2,FALSE)</f>
        <v>CU_ARS_2025_WOF_F2_8_plant_19</v>
      </c>
      <c r="P127" t="str">
        <f>VLOOKUP(C127,CU_ARS_2025_WOF_F2!$A$2:$K$673,3,FALSE)</f>
        <v>CU_ARS_2025_WOF_F2_8</v>
      </c>
      <c r="Q127" t="str">
        <f>VLOOKUP(C127,CU_ARS_2025_WOF_F2!$A$2:$K$673,4,FALSE)</f>
        <v>CU_ARS_2025_WOF_cross_29</v>
      </c>
      <c r="R127">
        <f>VLOOKUP(C127,CU_ARS_2025_WOF_F2!$A$2:$K$673,5,FALSE)</f>
        <v>8</v>
      </c>
      <c r="S127">
        <f>VLOOKUP(C127,CU_ARS_2025_WOF_F2!$A$2:$K$673,6,FALSE)</f>
        <v>1</v>
      </c>
      <c r="T127">
        <f>VLOOKUP(C127,CU_ARS_2025_WOF_F2!$A$2:$K$673,7,FALSE)</f>
        <v>0</v>
      </c>
      <c r="U127">
        <f>VLOOKUP(C127,CU_ARS_2025_WOF_F2!$A$2:$K$673,8,FALSE)</f>
        <v>1</v>
      </c>
      <c r="V127">
        <f>VLOOKUP(C127,CU_ARS_2025_WOF_F2!$A$2:$K$673,9,FALSE)</f>
        <v>0</v>
      </c>
      <c r="W127">
        <f>VLOOKUP(C127,CU_ARS_2025_WOF_F2!$A$2:$K$673,10,FALSE)</f>
        <v>0</v>
      </c>
      <c r="X127">
        <f>VLOOKUP(C127,CU_ARS_2025_WOF_F2!$A$2:$K$673,11,FALSE)</f>
        <v>19</v>
      </c>
      <c r="Y127" t="str">
        <f>VLOOKUP(Q127,cross_pedigree!$A$2:$B$23,2,FALSE)</f>
        <v>NC21-6429/AURORA</v>
      </c>
    </row>
    <row r="128" spans="1:25" ht="18">
      <c r="A128" s="20" t="s">
        <v>15</v>
      </c>
      <c r="B128" s="21" t="s">
        <v>16</v>
      </c>
      <c r="C128" s="22">
        <v>753657</v>
      </c>
      <c r="D128" s="23">
        <v>2</v>
      </c>
      <c r="E128" s="24" t="str">
        <f t="shared" si="1"/>
        <v>CU_ARS_2025_WOF_F2_8_plant_20</v>
      </c>
      <c r="F128" s="21" t="s">
        <v>144</v>
      </c>
      <c r="G128" s="44" t="s">
        <v>145</v>
      </c>
      <c r="H128" s="42"/>
      <c r="I128" s="42" t="s">
        <v>1023</v>
      </c>
      <c r="J128" s="42" t="s">
        <v>1003</v>
      </c>
      <c r="K128" s="42"/>
      <c r="L128" s="42"/>
      <c r="M128" s="42"/>
      <c r="N128" t="str">
        <f>VLOOKUP(C128,CU_ARS_2025_WOF_F2!$A$2:$K$673,2,FALSE)</f>
        <v>CU_ARS_2025_WOF_F2_8_plant_20</v>
      </c>
      <c r="O128" t="str">
        <f>VLOOKUP(C128,CU_ARS_2025_WOF_F2!$A$2:$K$673,2,FALSE)</f>
        <v>CU_ARS_2025_WOF_F2_8_plant_20</v>
      </c>
      <c r="P128" t="str">
        <f>VLOOKUP(C128,CU_ARS_2025_WOF_F2!$A$2:$K$673,3,FALSE)</f>
        <v>CU_ARS_2025_WOF_F2_8</v>
      </c>
      <c r="Q128" t="str">
        <f>VLOOKUP(C128,CU_ARS_2025_WOF_F2!$A$2:$K$673,4,FALSE)</f>
        <v>CU_ARS_2025_WOF_cross_29</v>
      </c>
      <c r="R128">
        <f>VLOOKUP(C128,CU_ARS_2025_WOF_F2!$A$2:$K$673,5,FALSE)</f>
        <v>8</v>
      </c>
      <c r="S128">
        <f>VLOOKUP(C128,CU_ARS_2025_WOF_F2!$A$2:$K$673,6,FALSE)</f>
        <v>1</v>
      </c>
      <c r="T128">
        <f>VLOOKUP(C128,CU_ARS_2025_WOF_F2!$A$2:$K$673,7,FALSE)</f>
        <v>0</v>
      </c>
      <c r="U128">
        <f>VLOOKUP(C128,CU_ARS_2025_WOF_F2!$A$2:$K$673,8,FALSE)</f>
        <v>1</v>
      </c>
      <c r="V128">
        <f>VLOOKUP(C128,CU_ARS_2025_WOF_F2!$A$2:$K$673,9,FALSE)</f>
        <v>0</v>
      </c>
      <c r="W128">
        <f>VLOOKUP(C128,CU_ARS_2025_WOF_F2!$A$2:$K$673,10,FALSE)</f>
        <v>0</v>
      </c>
      <c r="X128">
        <f>VLOOKUP(C128,CU_ARS_2025_WOF_F2!$A$2:$K$673,11,FALSE)</f>
        <v>20</v>
      </c>
      <c r="Y128" t="str">
        <f>VLOOKUP(Q128,cross_pedigree!$A$2:$B$23,2,FALSE)</f>
        <v>NC21-6429/AURORA</v>
      </c>
    </row>
    <row r="129" spans="1:25" ht="18">
      <c r="A129" s="20" t="s">
        <v>15</v>
      </c>
      <c r="B129" s="21" t="s">
        <v>16</v>
      </c>
      <c r="C129" s="22">
        <v>753658</v>
      </c>
      <c r="D129" s="23">
        <v>2</v>
      </c>
      <c r="E129" s="24" t="str">
        <f t="shared" si="1"/>
        <v>CU_ARS_2025_WOF_F2_8_plant_21</v>
      </c>
      <c r="F129" s="21" t="s">
        <v>146</v>
      </c>
      <c r="G129" s="44" t="s">
        <v>147</v>
      </c>
      <c r="H129" s="42"/>
      <c r="I129" s="42" t="s">
        <v>1023</v>
      </c>
      <c r="J129" s="42" t="s">
        <v>1003</v>
      </c>
      <c r="K129" s="42"/>
      <c r="L129" s="42"/>
      <c r="M129" s="42"/>
      <c r="N129" t="str">
        <f>VLOOKUP(C129,CU_ARS_2025_WOF_F2!$A$2:$K$673,2,FALSE)</f>
        <v>CU_ARS_2025_WOF_F2_8_plant_21</v>
      </c>
      <c r="O129" t="str">
        <f>VLOOKUP(C129,CU_ARS_2025_WOF_F2!$A$2:$K$673,2,FALSE)</f>
        <v>CU_ARS_2025_WOF_F2_8_plant_21</v>
      </c>
      <c r="P129" t="str">
        <f>VLOOKUP(C129,CU_ARS_2025_WOF_F2!$A$2:$K$673,3,FALSE)</f>
        <v>CU_ARS_2025_WOF_F2_8</v>
      </c>
      <c r="Q129" t="str">
        <f>VLOOKUP(C129,CU_ARS_2025_WOF_F2!$A$2:$K$673,4,FALSE)</f>
        <v>CU_ARS_2025_WOF_cross_29</v>
      </c>
      <c r="R129">
        <f>VLOOKUP(C129,CU_ARS_2025_WOF_F2!$A$2:$K$673,5,FALSE)</f>
        <v>8</v>
      </c>
      <c r="S129">
        <f>VLOOKUP(C129,CU_ARS_2025_WOF_F2!$A$2:$K$673,6,FALSE)</f>
        <v>1</v>
      </c>
      <c r="T129">
        <f>VLOOKUP(C129,CU_ARS_2025_WOF_F2!$A$2:$K$673,7,FALSE)</f>
        <v>0</v>
      </c>
      <c r="U129">
        <f>VLOOKUP(C129,CU_ARS_2025_WOF_F2!$A$2:$K$673,8,FALSE)</f>
        <v>1</v>
      </c>
      <c r="V129">
        <f>VLOOKUP(C129,CU_ARS_2025_WOF_F2!$A$2:$K$673,9,FALSE)</f>
        <v>0</v>
      </c>
      <c r="W129">
        <f>VLOOKUP(C129,CU_ARS_2025_WOF_F2!$A$2:$K$673,10,FALSE)</f>
        <v>0</v>
      </c>
      <c r="X129">
        <f>VLOOKUP(C129,CU_ARS_2025_WOF_F2!$A$2:$K$673,11,FALSE)</f>
        <v>21</v>
      </c>
      <c r="Y129" t="str">
        <f>VLOOKUP(Q129,cross_pedigree!$A$2:$B$23,2,FALSE)</f>
        <v>NC21-6429/AURORA</v>
      </c>
    </row>
    <row r="130" spans="1:25" ht="18">
      <c r="A130" s="20" t="s">
        <v>15</v>
      </c>
      <c r="B130" s="21" t="s">
        <v>16</v>
      </c>
      <c r="C130" s="22">
        <v>753666</v>
      </c>
      <c r="D130" s="23">
        <v>2</v>
      </c>
      <c r="E130" s="24" t="str">
        <f t="shared" si="1"/>
        <v>CU_ARS_2025_WOF_F2_8_plant_29</v>
      </c>
      <c r="F130" s="21" t="s">
        <v>148</v>
      </c>
      <c r="G130" s="44" t="s">
        <v>149</v>
      </c>
      <c r="H130" s="42"/>
      <c r="I130" s="42" t="s">
        <v>1023</v>
      </c>
      <c r="J130" s="42" t="s">
        <v>1003</v>
      </c>
      <c r="K130" s="42"/>
      <c r="L130" s="42"/>
      <c r="M130" s="42"/>
      <c r="N130" t="str">
        <f>VLOOKUP(C130,CU_ARS_2025_WOF_F2!$A$2:$K$673,2,FALSE)</f>
        <v>CU_ARS_2025_WOF_F2_8_plant_29</v>
      </c>
      <c r="O130" t="str">
        <f>VLOOKUP(C130,CU_ARS_2025_WOF_F2!$A$2:$K$673,2,FALSE)</f>
        <v>CU_ARS_2025_WOF_F2_8_plant_29</v>
      </c>
      <c r="P130" t="str">
        <f>VLOOKUP(C130,CU_ARS_2025_WOF_F2!$A$2:$K$673,3,FALSE)</f>
        <v>CU_ARS_2025_WOF_F2_8</v>
      </c>
      <c r="Q130" t="str">
        <f>VLOOKUP(C130,CU_ARS_2025_WOF_F2!$A$2:$K$673,4,FALSE)</f>
        <v>CU_ARS_2025_WOF_cross_29</v>
      </c>
      <c r="R130">
        <f>VLOOKUP(C130,CU_ARS_2025_WOF_F2!$A$2:$K$673,5,FALSE)</f>
        <v>8</v>
      </c>
      <c r="S130">
        <f>VLOOKUP(C130,CU_ARS_2025_WOF_F2!$A$2:$K$673,6,FALSE)</f>
        <v>1</v>
      </c>
      <c r="T130">
        <f>VLOOKUP(C130,CU_ARS_2025_WOF_F2!$A$2:$K$673,7,FALSE)</f>
        <v>0</v>
      </c>
      <c r="U130">
        <f>VLOOKUP(C130,CU_ARS_2025_WOF_F2!$A$2:$K$673,8,FALSE)</f>
        <v>1</v>
      </c>
      <c r="V130">
        <f>VLOOKUP(C130,CU_ARS_2025_WOF_F2!$A$2:$K$673,9,FALSE)</f>
        <v>0</v>
      </c>
      <c r="W130">
        <f>VLOOKUP(C130,CU_ARS_2025_WOF_F2!$A$2:$K$673,10,FALSE)</f>
        <v>0</v>
      </c>
      <c r="X130">
        <f>VLOOKUP(C130,CU_ARS_2025_WOF_F2!$A$2:$K$673,11,FALSE)</f>
        <v>29</v>
      </c>
      <c r="Y130" t="str">
        <f>VLOOKUP(Q130,cross_pedigree!$A$2:$B$23,2,FALSE)</f>
        <v>NC21-6429/AURORA</v>
      </c>
    </row>
    <row r="131" spans="1:25" ht="18">
      <c r="A131" s="20" t="s">
        <v>15</v>
      </c>
      <c r="B131" s="21" t="s">
        <v>16</v>
      </c>
      <c r="C131" s="22">
        <v>753665</v>
      </c>
      <c r="D131" s="23">
        <v>2</v>
      </c>
      <c r="E131" s="24" t="str">
        <f t="shared" ref="E131:E194" si="2">O131</f>
        <v>CU_ARS_2025_WOF_F2_8_plant_28</v>
      </c>
      <c r="F131" s="21" t="s">
        <v>150</v>
      </c>
      <c r="G131" s="44" t="s">
        <v>151</v>
      </c>
      <c r="H131" s="42"/>
      <c r="I131" s="42" t="s">
        <v>1023</v>
      </c>
      <c r="J131" s="42" t="s">
        <v>1003</v>
      </c>
      <c r="K131" s="42"/>
      <c r="L131" s="42"/>
      <c r="M131" s="42"/>
      <c r="N131" t="str">
        <f>VLOOKUP(C131,CU_ARS_2025_WOF_F2!$A$2:$K$673,2,FALSE)</f>
        <v>CU_ARS_2025_WOF_F2_8_plant_28</v>
      </c>
      <c r="O131" t="str">
        <f>VLOOKUP(C131,CU_ARS_2025_WOF_F2!$A$2:$K$673,2,FALSE)</f>
        <v>CU_ARS_2025_WOF_F2_8_plant_28</v>
      </c>
      <c r="P131" t="str">
        <f>VLOOKUP(C131,CU_ARS_2025_WOF_F2!$A$2:$K$673,3,FALSE)</f>
        <v>CU_ARS_2025_WOF_F2_8</v>
      </c>
      <c r="Q131" t="str">
        <f>VLOOKUP(C131,CU_ARS_2025_WOF_F2!$A$2:$K$673,4,FALSE)</f>
        <v>CU_ARS_2025_WOF_cross_29</v>
      </c>
      <c r="R131">
        <f>VLOOKUP(C131,CU_ARS_2025_WOF_F2!$A$2:$K$673,5,FALSE)</f>
        <v>8</v>
      </c>
      <c r="S131">
        <f>VLOOKUP(C131,CU_ARS_2025_WOF_F2!$A$2:$K$673,6,FALSE)</f>
        <v>1</v>
      </c>
      <c r="T131">
        <f>VLOOKUP(C131,CU_ARS_2025_WOF_F2!$A$2:$K$673,7,FALSE)</f>
        <v>0</v>
      </c>
      <c r="U131">
        <f>VLOOKUP(C131,CU_ARS_2025_WOF_F2!$A$2:$K$673,8,FALSE)</f>
        <v>1</v>
      </c>
      <c r="V131">
        <f>VLOOKUP(C131,CU_ARS_2025_WOF_F2!$A$2:$K$673,9,FALSE)</f>
        <v>0</v>
      </c>
      <c r="W131">
        <f>VLOOKUP(C131,CU_ARS_2025_WOF_F2!$A$2:$K$673,10,FALSE)</f>
        <v>0</v>
      </c>
      <c r="X131">
        <f>VLOOKUP(C131,CU_ARS_2025_WOF_F2!$A$2:$K$673,11,FALSE)</f>
        <v>28</v>
      </c>
      <c r="Y131" t="str">
        <f>VLOOKUP(Q131,cross_pedigree!$A$2:$B$23,2,FALSE)</f>
        <v>NC21-6429/AURORA</v>
      </c>
    </row>
    <row r="132" spans="1:25" ht="18">
      <c r="A132" s="20" t="s">
        <v>15</v>
      </c>
      <c r="B132" s="21" t="s">
        <v>16</v>
      </c>
      <c r="C132" s="22">
        <v>753664</v>
      </c>
      <c r="D132" s="23">
        <v>2</v>
      </c>
      <c r="E132" s="24" t="str">
        <f t="shared" si="2"/>
        <v>CU_ARS_2025_WOF_F2_8_plant_27</v>
      </c>
      <c r="F132" s="21" t="s">
        <v>13</v>
      </c>
      <c r="G132" s="44" t="s">
        <v>14</v>
      </c>
      <c r="H132" s="42"/>
      <c r="I132" s="42" t="s">
        <v>1023</v>
      </c>
      <c r="J132" s="42" t="s">
        <v>1003</v>
      </c>
      <c r="K132" s="42"/>
      <c r="L132" s="42"/>
      <c r="M132" s="42"/>
      <c r="N132" t="str">
        <f>VLOOKUP(C132,CU_ARS_2025_WOF_F2!$A$2:$K$673,2,FALSE)</f>
        <v>CU_ARS_2025_WOF_F2_8_plant_27</v>
      </c>
      <c r="O132" t="str">
        <f>VLOOKUP(C132,CU_ARS_2025_WOF_F2!$A$2:$K$673,2,FALSE)</f>
        <v>CU_ARS_2025_WOF_F2_8_plant_27</v>
      </c>
      <c r="P132" t="str">
        <f>VLOOKUP(C132,CU_ARS_2025_WOF_F2!$A$2:$K$673,3,FALSE)</f>
        <v>CU_ARS_2025_WOF_F2_8</v>
      </c>
      <c r="Q132" t="str">
        <f>VLOOKUP(C132,CU_ARS_2025_WOF_F2!$A$2:$K$673,4,FALSE)</f>
        <v>CU_ARS_2025_WOF_cross_29</v>
      </c>
      <c r="R132">
        <f>VLOOKUP(C132,CU_ARS_2025_WOF_F2!$A$2:$K$673,5,FALSE)</f>
        <v>8</v>
      </c>
      <c r="S132">
        <f>VLOOKUP(C132,CU_ARS_2025_WOF_F2!$A$2:$K$673,6,FALSE)</f>
        <v>1</v>
      </c>
      <c r="T132">
        <f>VLOOKUP(C132,CU_ARS_2025_WOF_F2!$A$2:$K$673,7,FALSE)</f>
        <v>0</v>
      </c>
      <c r="U132">
        <f>VLOOKUP(C132,CU_ARS_2025_WOF_F2!$A$2:$K$673,8,FALSE)</f>
        <v>1</v>
      </c>
      <c r="V132">
        <f>VLOOKUP(C132,CU_ARS_2025_WOF_F2!$A$2:$K$673,9,FALSE)</f>
        <v>0</v>
      </c>
      <c r="W132">
        <f>VLOOKUP(C132,CU_ARS_2025_WOF_F2!$A$2:$K$673,10,FALSE)</f>
        <v>0</v>
      </c>
      <c r="X132">
        <f>VLOOKUP(C132,CU_ARS_2025_WOF_F2!$A$2:$K$673,11,FALSE)</f>
        <v>27</v>
      </c>
      <c r="Y132" t="str">
        <f>VLOOKUP(Q132,cross_pedigree!$A$2:$B$23,2,FALSE)</f>
        <v>NC21-6429/AURORA</v>
      </c>
    </row>
    <row r="133" spans="1:25" ht="18">
      <c r="A133" s="20" t="s">
        <v>15</v>
      </c>
      <c r="B133" s="21" t="s">
        <v>16</v>
      </c>
      <c r="C133" s="22">
        <v>753663</v>
      </c>
      <c r="D133" s="23">
        <v>2</v>
      </c>
      <c r="E133" s="24" t="str">
        <f t="shared" si="2"/>
        <v>CU_ARS_2025_WOF_F2_8_plant_26</v>
      </c>
      <c r="F133" s="21" t="s">
        <v>17</v>
      </c>
      <c r="G133" s="44" t="s">
        <v>18</v>
      </c>
      <c r="H133" s="42"/>
      <c r="I133" s="42" t="s">
        <v>1023</v>
      </c>
      <c r="J133" s="42" t="s">
        <v>1003</v>
      </c>
      <c r="K133" s="42"/>
      <c r="L133" s="42"/>
      <c r="M133" s="42"/>
      <c r="N133" t="str">
        <f>VLOOKUP(C133,CU_ARS_2025_WOF_F2!$A$2:$K$673,2,FALSE)</f>
        <v>CU_ARS_2025_WOF_F2_8_plant_26</v>
      </c>
      <c r="O133" t="str">
        <f>VLOOKUP(C133,CU_ARS_2025_WOF_F2!$A$2:$K$673,2,FALSE)</f>
        <v>CU_ARS_2025_WOF_F2_8_plant_26</v>
      </c>
      <c r="P133" t="str">
        <f>VLOOKUP(C133,CU_ARS_2025_WOF_F2!$A$2:$K$673,3,FALSE)</f>
        <v>CU_ARS_2025_WOF_F2_8</v>
      </c>
      <c r="Q133" t="str">
        <f>VLOOKUP(C133,CU_ARS_2025_WOF_F2!$A$2:$K$673,4,FALSE)</f>
        <v>CU_ARS_2025_WOF_cross_29</v>
      </c>
      <c r="R133">
        <f>VLOOKUP(C133,CU_ARS_2025_WOF_F2!$A$2:$K$673,5,FALSE)</f>
        <v>8</v>
      </c>
      <c r="S133">
        <f>VLOOKUP(C133,CU_ARS_2025_WOF_F2!$A$2:$K$673,6,FALSE)</f>
        <v>1</v>
      </c>
      <c r="T133">
        <f>VLOOKUP(C133,CU_ARS_2025_WOF_F2!$A$2:$K$673,7,FALSE)</f>
        <v>0</v>
      </c>
      <c r="U133">
        <f>VLOOKUP(C133,CU_ARS_2025_WOF_F2!$A$2:$K$673,8,FALSE)</f>
        <v>1</v>
      </c>
      <c r="V133">
        <f>VLOOKUP(C133,CU_ARS_2025_WOF_F2!$A$2:$K$673,9,FALSE)</f>
        <v>0</v>
      </c>
      <c r="W133">
        <f>VLOOKUP(C133,CU_ARS_2025_WOF_F2!$A$2:$K$673,10,FALSE)</f>
        <v>0</v>
      </c>
      <c r="X133">
        <f>VLOOKUP(C133,CU_ARS_2025_WOF_F2!$A$2:$K$673,11,FALSE)</f>
        <v>26</v>
      </c>
      <c r="Y133" t="str">
        <f>VLOOKUP(Q133,cross_pedigree!$A$2:$B$23,2,FALSE)</f>
        <v>NC21-6429/AURORA</v>
      </c>
    </row>
    <row r="134" spans="1:25" ht="18">
      <c r="A134" s="20" t="s">
        <v>15</v>
      </c>
      <c r="B134" s="21" t="s">
        <v>16</v>
      </c>
      <c r="C134" s="22">
        <v>753662</v>
      </c>
      <c r="D134" s="23">
        <v>2</v>
      </c>
      <c r="E134" s="24" t="str">
        <f t="shared" si="2"/>
        <v>CU_ARS_2025_WOF_F2_8_plant_25</v>
      </c>
      <c r="F134" s="21" t="s">
        <v>19</v>
      </c>
      <c r="G134" s="44" t="s">
        <v>20</v>
      </c>
      <c r="H134" s="42"/>
      <c r="I134" s="42" t="s">
        <v>1023</v>
      </c>
      <c r="J134" s="42" t="s">
        <v>1003</v>
      </c>
      <c r="K134" s="42"/>
      <c r="L134" s="42"/>
      <c r="M134" s="42"/>
      <c r="N134" t="str">
        <f>VLOOKUP(C134,CU_ARS_2025_WOF_F2!$A$2:$K$673,2,FALSE)</f>
        <v>CU_ARS_2025_WOF_F2_8_plant_25</v>
      </c>
      <c r="O134" t="str">
        <f>VLOOKUP(C134,CU_ARS_2025_WOF_F2!$A$2:$K$673,2,FALSE)</f>
        <v>CU_ARS_2025_WOF_F2_8_plant_25</v>
      </c>
      <c r="P134" t="str">
        <f>VLOOKUP(C134,CU_ARS_2025_WOF_F2!$A$2:$K$673,3,FALSE)</f>
        <v>CU_ARS_2025_WOF_F2_8</v>
      </c>
      <c r="Q134" t="str">
        <f>VLOOKUP(C134,CU_ARS_2025_WOF_F2!$A$2:$K$673,4,FALSE)</f>
        <v>CU_ARS_2025_WOF_cross_29</v>
      </c>
      <c r="R134">
        <f>VLOOKUP(C134,CU_ARS_2025_WOF_F2!$A$2:$K$673,5,FALSE)</f>
        <v>8</v>
      </c>
      <c r="S134">
        <f>VLOOKUP(C134,CU_ARS_2025_WOF_F2!$A$2:$K$673,6,FALSE)</f>
        <v>1</v>
      </c>
      <c r="T134">
        <f>VLOOKUP(C134,CU_ARS_2025_WOF_F2!$A$2:$K$673,7,FALSE)</f>
        <v>0</v>
      </c>
      <c r="U134">
        <f>VLOOKUP(C134,CU_ARS_2025_WOF_F2!$A$2:$K$673,8,FALSE)</f>
        <v>1</v>
      </c>
      <c r="V134">
        <f>VLOOKUP(C134,CU_ARS_2025_WOF_F2!$A$2:$K$673,9,FALSE)</f>
        <v>0</v>
      </c>
      <c r="W134">
        <f>VLOOKUP(C134,CU_ARS_2025_WOF_F2!$A$2:$K$673,10,FALSE)</f>
        <v>0</v>
      </c>
      <c r="X134">
        <f>VLOOKUP(C134,CU_ARS_2025_WOF_F2!$A$2:$K$673,11,FALSE)</f>
        <v>25</v>
      </c>
      <c r="Y134" t="str">
        <f>VLOOKUP(Q134,cross_pedigree!$A$2:$B$23,2,FALSE)</f>
        <v>NC21-6429/AURORA</v>
      </c>
    </row>
    <row r="135" spans="1:25" ht="18">
      <c r="A135" s="20" t="s">
        <v>15</v>
      </c>
      <c r="B135" s="21" t="s">
        <v>16</v>
      </c>
      <c r="C135" s="22">
        <v>753670</v>
      </c>
      <c r="D135" s="23">
        <v>2</v>
      </c>
      <c r="E135" s="24" t="str">
        <f t="shared" si="2"/>
        <v>CU_ARS_2025_WOF_F2_8_plant_33</v>
      </c>
      <c r="F135" s="21" t="s">
        <v>21</v>
      </c>
      <c r="G135" s="44" t="s">
        <v>22</v>
      </c>
      <c r="H135" s="42"/>
      <c r="I135" s="42" t="s">
        <v>1023</v>
      </c>
      <c r="J135" s="42" t="s">
        <v>1003</v>
      </c>
      <c r="K135" s="42"/>
      <c r="L135" s="42"/>
      <c r="M135" s="42"/>
      <c r="N135" t="str">
        <f>VLOOKUP(C135,CU_ARS_2025_WOF_F2!$A$2:$K$673,2,FALSE)</f>
        <v>CU_ARS_2025_WOF_F2_8_plant_33</v>
      </c>
      <c r="O135" t="str">
        <f>VLOOKUP(C135,CU_ARS_2025_WOF_F2!$A$2:$K$673,2,FALSE)</f>
        <v>CU_ARS_2025_WOF_F2_8_plant_33</v>
      </c>
      <c r="P135" t="str">
        <f>VLOOKUP(C135,CU_ARS_2025_WOF_F2!$A$2:$K$673,3,FALSE)</f>
        <v>CU_ARS_2025_WOF_F2_8</v>
      </c>
      <c r="Q135" t="str">
        <f>VLOOKUP(C135,CU_ARS_2025_WOF_F2!$A$2:$K$673,4,FALSE)</f>
        <v>CU_ARS_2025_WOF_cross_29</v>
      </c>
      <c r="R135">
        <f>VLOOKUP(C135,CU_ARS_2025_WOF_F2!$A$2:$K$673,5,FALSE)</f>
        <v>8</v>
      </c>
      <c r="S135">
        <f>VLOOKUP(C135,CU_ARS_2025_WOF_F2!$A$2:$K$673,6,FALSE)</f>
        <v>1</v>
      </c>
      <c r="T135">
        <f>VLOOKUP(C135,CU_ARS_2025_WOF_F2!$A$2:$K$673,7,FALSE)</f>
        <v>0</v>
      </c>
      <c r="U135">
        <f>VLOOKUP(C135,CU_ARS_2025_WOF_F2!$A$2:$K$673,8,FALSE)</f>
        <v>1</v>
      </c>
      <c r="V135">
        <f>VLOOKUP(C135,CU_ARS_2025_WOF_F2!$A$2:$K$673,9,FALSE)</f>
        <v>0</v>
      </c>
      <c r="W135">
        <f>VLOOKUP(C135,CU_ARS_2025_WOF_F2!$A$2:$K$673,10,FALSE)</f>
        <v>0</v>
      </c>
      <c r="X135">
        <f>VLOOKUP(C135,CU_ARS_2025_WOF_F2!$A$2:$K$673,11,FALSE)</f>
        <v>33</v>
      </c>
      <c r="Y135" t="str">
        <f>VLOOKUP(Q135,cross_pedigree!$A$2:$B$23,2,FALSE)</f>
        <v>NC21-6429/AURORA</v>
      </c>
    </row>
    <row r="136" spans="1:25" ht="18">
      <c r="A136" s="20" t="s">
        <v>15</v>
      </c>
      <c r="B136" s="21" t="s">
        <v>16</v>
      </c>
      <c r="C136" s="22">
        <v>753671</v>
      </c>
      <c r="D136" s="23">
        <v>2</v>
      </c>
      <c r="E136" s="24" t="str">
        <f t="shared" si="2"/>
        <v>CU_ARS_2025_WOF_F2_8_plant_34</v>
      </c>
      <c r="F136" s="21" t="s">
        <v>152</v>
      </c>
      <c r="G136" s="44" t="s">
        <v>153</v>
      </c>
      <c r="H136" s="42"/>
      <c r="I136" s="42" t="s">
        <v>1023</v>
      </c>
      <c r="J136" s="42" t="s">
        <v>1003</v>
      </c>
      <c r="K136" s="42"/>
      <c r="L136" s="42"/>
      <c r="M136" s="42"/>
      <c r="N136" t="str">
        <f>VLOOKUP(C136,CU_ARS_2025_WOF_F2!$A$2:$K$673,2,FALSE)</f>
        <v>CU_ARS_2025_WOF_F2_8_plant_34</v>
      </c>
      <c r="O136" t="str">
        <f>VLOOKUP(C136,CU_ARS_2025_WOF_F2!$A$2:$K$673,2,FALSE)</f>
        <v>CU_ARS_2025_WOF_F2_8_plant_34</v>
      </c>
      <c r="P136" t="str">
        <f>VLOOKUP(C136,CU_ARS_2025_WOF_F2!$A$2:$K$673,3,FALSE)</f>
        <v>CU_ARS_2025_WOF_F2_8</v>
      </c>
      <c r="Q136" t="str">
        <f>VLOOKUP(C136,CU_ARS_2025_WOF_F2!$A$2:$K$673,4,FALSE)</f>
        <v>CU_ARS_2025_WOF_cross_29</v>
      </c>
      <c r="R136">
        <f>VLOOKUP(C136,CU_ARS_2025_WOF_F2!$A$2:$K$673,5,FALSE)</f>
        <v>8</v>
      </c>
      <c r="S136">
        <f>VLOOKUP(C136,CU_ARS_2025_WOF_F2!$A$2:$K$673,6,FALSE)</f>
        <v>1</v>
      </c>
      <c r="T136">
        <f>VLOOKUP(C136,CU_ARS_2025_WOF_F2!$A$2:$K$673,7,FALSE)</f>
        <v>0</v>
      </c>
      <c r="U136">
        <f>VLOOKUP(C136,CU_ARS_2025_WOF_F2!$A$2:$K$673,8,FALSE)</f>
        <v>1</v>
      </c>
      <c r="V136">
        <f>VLOOKUP(C136,CU_ARS_2025_WOF_F2!$A$2:$K$673,9,FALSE)</f>
        <v>0</v>
      </c>
      <c r="W136">
        <f>VLOOKUP(C136,CU_ARS_2025_WOF_F2!$A$2:$K$673,10,FALSE)</f>
        <v>0</v>
      </c>
      <c r="X136">
        <f>VLOOKUP(C136,CU_ARS_2025_WOF_F2!$A$2:$K$673,11,FALSE)</f>
        <v>34</v>
      </c>
      <c r="Y136" t="str">
        <f>VLOOKUP(Q136,cross_pedigree!$A$2:$B$23,2,FALSE)</f>
        <v>NC21-6429/AURORA</v>
      </c>
    </row>
    <row r="137" spans="1:25" ht="18">
      <c r="A137" s="20" t="s">
        <v>15</v>
      </c>
      <c r="B137" s="21" t="s">
        <v>16</v>
      </c>
      <c r="C137" s="22">
        <v>753672</v>
      </c>
      <c r="D137" s="23">
        <v>2</v>
      </c>
      <c r="E137" s="24" t="str">
        <f t="shared" si="2"/>
        <v>CU_ARS_2025_WOF_F2_8_plant_35</v>
      </c>
      <c r="F137" s="21" t="s">
        <v>154</v>
      </c>
      <c r="G137" s="44" t="s">
        <v>155</v>
      </c>
      <c r="H137" s="42"/>
      <c r="I137" s="42" t="s">
        <v>1023</v>
      </c>
      <c r="J137" s="42" t="s">
        <v>1003</v>
      </c>
      <c r="K137" s="42"/>
      <c r="L137" s="42"/>
      <c r="M137" s="42"/>
      <c r="N137" t="str">
        <f>VLOOKUP(C137,CU_ARS_2025_WOF_F2!$A$2:$K$673,2,FALSE)</f>
        <v>CU_ARS_2025_WOF_F2_8_plant_35</v>
      </c>
      <c r="O137" t="str">
        <f>VLOOKUP(C137,CU_ARS_2025_WOF_F2!$A$2:$K$673,2,FALSE)</f>
        <v>CU_ARS_2025_WOF_F2_8_plant_35</v>
      </c>
      <c r="P137" t="str">
        <f>VLOOKUP(C137,CU_ARS_2025_WOF_F2!$A$2:$K$673,3,FALSE)</f>
        <v>CU_ARS_2025_WOF_F2_8</v>
      </c>
      <c r="Q137" t="str">
        <f>VLOOKUP(C137,CU_ARS_2025_WOF_F2!$A$2:$K$673,4,FALSE)</f>
        <v>CU_ARS_2025_WOF_cross_29</v>
      </c>
      <c r="R137">
        <f>VLOOKUP(C137,CU_ARS_2025_WOF_F2!$A$2:$K$673,5,FALSE)</f>
        <v>8</v>
      </c>
      <c r="S137">
        <f>VLOOKUP(C137,CU_ARS_2025_WOF_F2!$A$2:$K$673,6,FALSE)</f>
        <v>1</v>
      </c>
      <c r="T137">
        <f>VLOOKUP(C137,CU_ARS_2025_WOF_F2!$A$2:$K$673,7,FALSE)</f>
        <v>0</v>
      </c>
      <c r="U137">
        <f>VLOOKUP(C137,CU_ARS_2025_WOF_F2!$A$2:$K$673,8,FALSE)</f>
        <v>1</v>
      </c>
      <c r="V137">
        <f>VLOOKUP(C137,CU_ARS_2025_WOF_F2!$A$2:$K$673,9,FALSE)</f>
        <v>0</v>
      </c>
      <c r="W137">
        <f>VLOOKUP(C137,CU_ARS_2025_WOF_F2!$A$2:$K$673,10,FALSE)</f>
        <v>0</v>
      </c>
      <c r="X137">
        <f>VLOOKUP(C137,CU_ARS_2025_WOF_F2!$A$2:$K$673,11,FALSE)</f>
        <v>35</v>
      </c>
      <c r="Y137" t="str">
        <f>VLOOKUP(Q137,cross_pedigree!$A$2:$B$23,2,FALSE)</f>
        <v>NC21-6429/AURORA</v>
      </c>
    </row>
    <row r="138" spans="1:25" ht="18">
      <c r="A138" s="20" t="s">
        <v>15</v>
      </c>
      <c r="B138" s="21" t="s">
        <v>16</v>
      </c>
      <c r="C138" s="22">
        <v>753673</v>
      </c>
      <c r="D138" s="23">
        <v>2</v>
      </c>
      <c r="E138" s="24" t="str">
        <f t="shared" si="2"/>
        <v>CU_ARS_2025_WOF_F2_8_plant_36</v>
      </c>
      <c r="F138" s="21" t="s">
        <v>156</v>
      </c>
      <c r="G138" s="44" t="s">
        <v>157</v>
      </c>
      <c r="H138" s="42"/>
      <c r="I138" s="42" t="s">
        <v>1023</v>
      </c>
      <c r="J138" s="42" t="s">
        <v>1003</v>
      </c>
      <c r="K138" s="42"/>
      <c r="L138" s="42"/>
      <c r="M138" s="42"/>
      <c r="N138" t="str">
        <f>VLOOKUP(C138,CU_ARS_2025_WOF_F2!$A$2:$K$673,2,FALSE)</f>
        <v>CU_ARS_2025_WOF_F2_8_plant_36</v>
      </c>
      <c r="O138" t="str">
        <f>VLOOKUP(C138,CU_ARS_2025_WOF_F2!$A$2:$K$673,2,FALSE)</f>
        <v>CU_ARS_2025_WOF_F2_8_plant_36</v>
      </c>
      <c r="P138" t="str">
        <f>VLOOKUP(C138,CU_ARS_2025_WOF_F2!$A$2:$K$673,3,FALSE)</f>
        <v>CU_ARS_2025_WOF_F2_8</v>
      </c>
      <c r="Q138" t="str">
        <f>VLOOKUP(C138,CU_ARS_2025_WOF_F2!$A$2:$K$673,4,FALSE)</f>
        <v>CU_ARS_2025_WOF_cross_29</v>
      </c>
      <c r="R138">
        <f>VLOOKUP(C138,CU_ARS_2025_WOF_F2!$A$2:$K$673,5,FALSE)</f>
        <v>8</v>
      </c>
      <c r="S138">
        <f>VLOOKUP(C138,CU_ARS_2025_WOF_F2!$A$2:$K$673,6,FALSE)</f>
        <v>1</v>
      </c>
      <c r="T138">
        <f>VLOOKUP(C138,CU_ARS_2025_WOF_F2!$A$2:$K$673,7,FALSE)</f>
        <v>0</v>
      </c>
      <c r="U138">
        <f>VLOOKUP(C138,CU_ARS_2025_WOF_F2!$A$2:$K$673,8,FALSE)</f>
        <v>1</v>
      </c>
      <c r="V138">
        <f>VLOOKUP(C138,CU_ARS_2025_WOF_F2!$A$2:$K$673,9,FALSE)</f>
        <v>0</v>
      </c>
      <c r="W138">
        <f>VLOOKUP(C138,CU_ARS_2025_WOF_F2!$A$2:$K$673,10,FALSE)</f>
        <v>0</v>
      </c>
      <c r="X138">
        <f>VLOOKUP(C138,CU_ARS_2025_WOF_F2!$A$2:$K$673,11,FALSE)</f>
        <v>36</v>
      </c>
      <c r="Y138" t="str">
        <f>VLOOKUP(Q138,cross_pedigree!$A$2:$B$23,2,FALSE)</f>
        <v>NC21-6429/AURORA</v>
      </c>
    </row>
    <row r="139" spans="1:25" ht="18">
      <c r="A139" s="20" t="s">
        <v>15</v>
      </c>
      <c r="B139" s="21" t="s">
        <v>16</v>
      </c>
      <c r="C139" s="22">
        <v>753674</v>
      </c>
      <c r="D139" s="23">
        <v>2</v>
      </c>
      <c r="E139" s="24" t="str">
        <f t="shared" si="2"/>
        <v>CU_ARS_2025_WOF_F2_8_plant_37</v>
      </c>
      <c r="F139" s="21" t="s">
        <v>158</v>
      </c>
      <c r="G139" s="44" t="s">
        <v>159</v>
      </c>
      <c r="H139" s="42"/>
      <c r="I139" s="42" t="s">
        <v>1023</v>
      </c>
      <c r="J139" s="42" t="s">
        <v>1003</v>
      </c>
      <c r="K139" s="42"/>
      <c r="L139" s="42"/>
      <c r="M139" s="42"/>
      <c r="N139" t="str">
        <f>VLOOKUP(C139,CU_ARS_2025_WOF_F2!$A$2:$K$673,2,FALSE)</f>
        <v>CU_ARS_2025_WOF_F2_8_plant_37</v>
      </c>
      <c r="O139" t="str">
        <f>VLOOKUP(C139,CU_ARS_2025_WOF_F2!$A$2:$K$673,2,FALSE)</f>
        <v>CU_ARS_2025_WOF_F2_8_plant_37</v>
      </c>
      <c r="P139" t="str">
        <f>VLOOKUP(C139,CU_ARS_2025_WOF_F2!$A$2:$K$673,3,FALSE)</f>
        <v>CU_ARS_2025_WOF_F2_8</v>
      </c>
      <c r="Q139" t="str">
        <f>VLOOKUP(C139,CU_ARS_2025_WOF_F2!$A$2:$K$673,4,FALSE)</f>
        <v>CU_ARS_2025_WOF_cross_29</v>
      </c>
      <c r="R139">
        <f>VLOOKUP(C139,CU_ARS_2025_WOF_F2!$A$2:$K$673,5,FALSE)</f>
        <v>8</v>
      </c>
      <c r="S139">
        <f>VLOOKUP(C139,CU_ARS_2025_WOF_F2!$A$2:$K$673,6,FALSE)</f>
        <v>1</v>
      </c>
      <c r="T139">
        <f>VLOOKUP(C139,CU_ARS_2025_WOF_F2!$A$2:$K$673,7,FALSE)</f>
        <v>0</v>
      </c>
      <c r="U139">
        <f>VLOOKUP(C139,CU_ARS_2025_WOF_F2!$A$2:$K$673,8,FALSE)</f>
        <v>1</v>
      </c>
      <c r="V139">
        <f>VLOOKUP(C139,CU_ARS_2025_WOF_F2!$A$2:$K$673,9,FALSE)</f>
        <v>0</v>
      </c>
      <c r="W139">
        <f>VLOOKUP(C139,CU_ARS_2025_WOF_F2!$A$2:$K$673,10,FALSE)</f>
        <v>0</v>
      </c>
      <c r="X139">
        <f>VLOOKUP(C139,CU_ARS_2025_WOF_F2!$A$2:$K$673,11,FALSE)</f>
        <v>37</v>
      </c>
      <c r="Y139" t="str">
        <f>VLOOKUP(Q139,cross_pedigree!$A$2:$B$23,2,FALSE)</f>
        <v>NC21-6429/AURORA</v>
      </c>
    </row>
    <row r="140" spans="1:25" ht="18">
      <c r="A140" s="20" t="s">
        <v>15</v>
      </c>
      <c r="B140" s="21" t="s">
        <v>16</v>
      </c>
      <c r="C140" s="22">
        <v>753682</v>
      </c>
      <c r="D140" s="23">
        <v>2</v>
      </c>
      <c r="E140" s="24" t="str">
        <f t="shared" si="2"/>
        <v>CU_ARS_2025_WOF_F2_8_plant_45</v>
      </c>
      <c r="F140" s="21" t="s">
        <v>160</v>
      </c>
      <c r="G140" s="44" t="s">
        <v>161</v>
      </c>
      <c r="H140" s="42"/>
      <c r="I140" s="42" t="s">
        <v>1023</v>
      </c>
      <c r="J140" s="42" t="s">
        <v>1003</v>
      </c>
      <c r="K140" s="42"/>
      <c r="L140" s="42"/>
      <c r="M140" s="42"/>
      <c r="N140" t="str">
        <f>VLOOKUP(C140,CU_ARS_2025_WOF_F2!$A$2:$K$673,2,FALSE)</f>
        <v>CU_ARS_2025_WOF_F2_8_plant_45</v>
      </c>
      <c r="O140" t="str">
        <f>VLOOKUP(C140,CU_ARS_2025_WOF_F2!$A$2:$K$673,2,FALSE)</f>
        <v>CU_ARS_2025_WOF_F2_8_plant_45</v>
      </c>
      <c r="P140" t="str">
        <f>VLOOKUP(C140,CU_ARS_2025_WOF_F2!$A$2:$K$673,3,FALSE)</f>
        <v>CU_ARS_2025_WOF_F2_8</v>
      </c>
      <c r="Q140" t="str">
        <f>VLOOKUP(C140,CU_ARS_2025_WOF_F2!$A$2:$K$673,4,FALSE)</f>
        <v>CU_ARS_2025_WOF_cross_29</v>
      </c>
      <c r="R140">
        <f>VLOOKUP(C140,CU_ARS_2025_WOF_F2!$A$2:$K$673,5,FALSE)</f>
        <v>8</v>
      </c>
      <c r="S140">
        <f>VLOOKUP(C140,CU_ARS_2025_WOF_F2!$A$2:$K$673,6,FALSE)</f>
        <v>1</v>
      </c>
      <c r="T140">
        <f>VLOOKUP(C140,CU_ARS_2025_WOF_F2!$A$2:$K$673,7,FALSE)</f>
        <v>0</v>
      </c>
      <c r="U140">
        <f>VLOOKUP(C140,CU_ARS_2025_WOF_F2!$A$2:$K$673,8,FALSE)</f>
        <v>1</v>
      </c>
      <c r="V140">
        <f>VLOOKUP(C140,CU_ARS_2025_WOF_F2!$A$2:$K$673,9,FALSE)</f>
        <v>0</v>
      </c>
      <c r="W140">
        <f>VLOOKUP(C140,CU_ARS_2025_WOF_F2!$A$2:$K$673,10,FALSE)</f>
        <v>0</v>
      </c>
      <c r="X140">
        <f>VLOOKUP(C140,CU_ARS_2025_WOF_F2!$A$2:$K$673,11,FALSE)</f>
        <v>45</v>
      </c>
      <c r="Y140" t="str">
        <f>VLOOKUP(Q140,cross_pedigree!$A$2:$B$23,2,FALSE)</f>
        <v>NC21-6429/AURORA</v>
      </c>
    </row>
    <row r="141" spans="1:25" ht="18">
      <c r="A141" s="20" t="s">
        <v>15</v>
      </c>
      <c r="B141" s="21" t="s">
        <v>16</v>
      </c>
      <c r="C141" s="22">
        <v>753681</v>
      </c>
      <c r="D141" s="23">
        <v>2</v>
      </c>
      <c r="E141" s="24" t="str">
        <f t="shared" si="2"/>
        <v>CU_ARS_2025_WOF_F2_8_plant_44</v>
      </c>
      <c r="F141" s="21" t="s">
        <v>23</v>
      </c>
      <c r="G141" s="44" t="s">
        <v>24</v>
      </c>
      <c r="H141" s="42"/>
      <c r="I141" s="42" t="s">
        <v>1023</v>
      </c>
      <c r="J141" s="42" t="s">
        <v>1003</v>
      </c>
      <c r="K141" s="42"/>
      <c r="L141" s="42"/>
      <c r="M141" s="42"/>
      <c r="N141" t="str">
        <f>VLOOKUP(C141,CU_ARS_2025_WOF_F2!$A$2:$K$673,2,FALSE)</f>
        <v>CU_ARS_2025_WOF_F2_8_plant_44</v>
      </c>
      <c r="O141" t="str">
        <f>VLOOKUP(C141,CU_ARS_2025_WOF_F2!$A$2:$K$673,2,FALSE)</f>
        <v>CU_ARS_2025_WOF_F2_8_plant_44</v>
      </c>
      <c r="P141" t="str">
        <f>VLOOKUP(C141,CU_ARS_2025_WOF_F2!$A$2:$K$673,3,FALSE)</f>
        <v>CU_ARS_2025_WOF_F2_8</v>
      </c>
      <c r="Q141" t="str">
        <f>VLOOKUP(C141,CU_ARS_2025_WOF_F2!$A$2:$K$673,4,FALSE)</f>
        <v>CU_ARS_2025_WOF_cross_29</v>
      </c>
      <c r="R141">
        <f>VLOOKUP(C141,CU_ARS_2025_WOF_F2!$A$2:$K$673,5,FALSE)</f>
        <v>8</v>
      </c>
      <c r="S141">
        <f>VLOOKUP(C141,CU_ARS_2025_WOF_F2!$A$2:$K$673,6,FALSE)</f>
        <v>1</v>
      </c>
      <c r="T141">
        <f>VLOOKUP(C141,CU_ARS_2025_WOF_F2!$A$2:$K$673,7,FALSE)</f>
        <v>0</v>
      </c>
      <c r="U141">
        <f>VLOOKUP(C141,CU_ARS_2025_WOF_F2!$A$2:$K$673,8,FALSE)</f>
        <v>1</v>
      </c>
      <c r="V141">
        <f>VLOOKUP(C141,CU_ARS_2025_WOF_F2!$A$2:$K$673,9,FALSE)</f>
        <v>0</v>
      </c>
      <c r="W141">
        <f>VLOOKUP(C141,CU_ARS_2025_WOF_F2!$A$2:$K$673,10,FALSE)</f>
        <v>0</v>
      </c>
      <c r="X141">
        <f>VLOOKUP(C141,CU_ARS_2025_WOF_F2!$A$2:$K$673,11,FALSE)</f>
        <v>44</v>
      </c>
      <c r="Y141" t="str">
        <f>VLOOKUP(Q141,cross_pedigree!$A$2:$B$23,2,FALSE)</f>
        <v>NC21-6429/AURORA</v>
      </c>
    </row>
    <row r="142" spans="1:25" ht="18">
      <c r="A142" s="20" t="s">
        <v>15</v>
      </c>
      <c r="B142" s="21" t="s">
        <v>16</v>
      </c>
      <c r="C142" s="22">
        <v>753680</v>
      </c>
      <c r="D142" s="23">
        <v>2</v>
      </c>
      <c r="E142" s="24" t="str">
        <f t="shared" si="2"/>
        <v>CU_ARS_2025_WOF_F2_8_plant_43</v>
      </c>
      <c r="F142" s="21" t="s">
        <v>25</v>
      </c>
      <c r="G142" s="44" t="s">
        <v>26</v>
      </c>
      <c r="H142" s="42"/>
      <c r="I142" s="42" t="s">
        <v>1023</v>
      </c>
      <c r="J142" s="42" t="s">
        <v>1003</v>
      </c>
      <c r="K142" s="42"/>
      <c r="L142" s="42"/>
      <c r="M142" s="42"/>
      <c r="N142" t="str">
        <f>VLOOKUP(C142,CU_ARS_2025_WOF_F2!$A$2:$K$673,2,FALSE)</f>
        <v>CU_ARS_2025_WOF_F2_8_plant_43</v>
      </c>
      <c r="O142" t="str">
        <f>VLOOKUP(C142,CU_ARS_2025_WOF_F2!$A$2:$K$673,2,FALSE)</f>
        <v>CU_ARS_2025_WOF_F2_8_plant_43</v>
      </c>
      <c r="P142" t="str">
        <f>VLOOKUP(C142,CU_ARS_2025_WOF_F2!$A$2:$K$673,3,FALSE)</f>
        <v>CU_ARS_2025_WOF_F2_8</v>
      </c>
      <c r="Q142" t="str">
        <f>VLOOKUP(C142,CU_ARS_2025_WOF_F2!$A$2:$K$673,4,FALSE)</f>
        <v>CU_ARS_2025_WOF_cross_29</v>
      </c>
      <c r="R142">
        <f>VLOOKUP(C142,CU_ARS_2025_WOF_F2!$A$2:$K$673,5,FALSE)</f>
        <v>8</v>
      </c>
      <c r="S142">
        <f>VLOOKUP(C142,CU_ARS_2025_WOF_F2!$A$2:$K$673,6,FALSE)</f>
        <v>1</v>
      </c>
      <c r="T142">
        <f>VLOOKUP(C142,CU_ARS_2025_WOF_F2!$A$2:$K$673,7,FALSE)</f>
        <v>0</v>
      </c>
      <c r="U142">
        <f>VLOOKUP(C142,CU_ARS_2025_WOF_F2!$A$2:$K$673,8,FALSE)</f>
        <v>1</v>
      </c>
      <c r="V142">
        <f>VLOOKUP(C142,CU_ARS_2025_WOF_F2!$A$2:$K$673,9,FALSE)</f>
        <v>0</v>
      </c>
      <c r="W142">
        <f>VLOOKUP(C142,CU_ARS_2025_WOF_F2!$A$2:$K$673,10,FALSE)</f>
        <v>0</v>
      </c>
      <c r="X142">
        <f>VLOOKUP(C142,CU_ARS_2025_WOF_F2!$A$2:$K$673,11,FALSE)</f>
        <v>43</v>
      </c>
      <c r="Y142" t="str">
        <f>VLOOKUP(Q142,cross_pedigree!$A$2:$B$23,2,FALSE)</f>
        <v>NC21-6429/AURORA</v>
      </c>
    </row>
    <row r="143" spans="1:25" ht="18">
      <c r="A143" s="20" t="s">
        <v>15</v>
      </c>
      <c r="B143" s="21" t="s">
        <v>16</v>
      </c>
      <c r="C143" s="22">
        <v>753679</v>
      </c>
      <c r="D143" s="23">
        <v>2</v>
      </c>
      <c r="E143" s="24" t="str">
        <f t="shared" si="2"/>
        <v>CU_ARS_2025_WOF_F2_8_plant_42</v>
      </c>
      <c r="F143" s="21" t="s">
        <v>27</v>
      </c>
      <c r="G143" s="44" t="s">
        <v>28</v>
      </c>
      <c r="H143" s="42"/>
      <c r="I143" s="42" t="s">
        <v>1023</v>
      </c>
      <c r="J143" s="42" t="s">
        <v>1003</v>
      </c>
      <c r="K143" s="42"/>
      <c r="L143" s="42"/>
      <c r="M143" s="42"/>
      <c r="N143" t="str">
        <f>VLOOKUP(C143,CU_ARS_2025_WOF_F2!$A$2:$K$673,2,FALSE)</f>
        <v>CU_ARS_2025_WOF_F2_8_plant_42</v>
      </c>
      <c r="O143" t="str">
        <f>VLOOKUP(C143,CU_ARS_2025_WOF_F2!$A$2:$K$673,2,FALSE)</f>
        <v>CU_ARS_2025_WOF_F2_8_plant_42</v>
      </c>
      <c r="P143" t="str">
        <f>VLOOKUP(C143,CU_ARS_2025_WOF_F2!$A$2:$K$673,3,FALSE)</f>
        <v>CU_ARS_2025_WOF_F2_8</v>
      </c>
      <c r="Q143" t="str">
        <f>VLOOKUP(C143,CU_ARS_2025_WOF_F2!$A$2:$K$673,4,FALSE)</f>
        <v>CU_ARS_2025_WOF_cross_29</v>
      </c>
      <c r="R143">
        <f>VLOOKUP(C143,CU_ARS_2025_WOF_F2!$A$2:$K$673,5,FALSE)</f>
        <v>8</v>
      </c>
      <c r="S143">
        <f>VLOOKUP(C143,CU_ARS_2025_WOF_F2!$A$2:$K$673,6,FALSE)</f>
        <v>1</v>
      </c>
      <c r="T143">
        <f>VLOOKUP(C143,CU_ARS_2025_WOF_F2!$A$2:$K$673,7,FALSE)</f>
        <v>0</v>
      </c>
      <c r="U143">
        <f>VLOOKUP(C143,CU_ARS_2025_WOF_F2!$A$2:$K$673,8,FALSE)</f>
        <v>1</v>
      </c>
      <c r="V143">
        <f>VLOOKUP(C143,CU_ARS_2025_WOF_F2!$A$2:$K$673,9,FALSE)</f>
        <v>0</v>
      </c>
      <c r="W143">
        <f>VLOOKUP(C143,CU_ARS_2025_WOF_F2!$A$2:$K$673,10,FALSE)</f>
        <v>0</v>
      </c>
      <c r="X143">
        <f>VLOOKUP(C143,CU_ARS_2025_WOF_F2!$A$2:$K$673,11,FALSE)</f>
        <v>42</v>
      </c>
      <c r="Y143" t="str">
        <f>VLOOKUP(Q143,cross_pedigree!$A$2:$B$23,2,FALSE)</f>
        <v>NC21-6429/AURORA</v>
      </c>
    </row>
    <row r="144" spans="1:25" ht="18">
      <c r="A144" s="20" t="s">
        <v>15</v>
      </c>
      <c r="B144" s="21" t="s">
        <v>16</v>
      </c>
      <c r="C144" s="22">
        <v>753678</v>
      </c>
      <c r="D144" s="23">
        <v>2</v>
      </c>
      <c r="E144" s="24" t="str">
        <f t="shared" si="2"/>
        <v>CU_ARS_2025_WOF_F2_8_plant_41</v>
      </c>
      <c r="F144" s="21" t="s">
        <v>162</v>
      </c>
      <c r="G144" s="44" t="s">
        <v>163</v>
      </c>
      <c r="H144" s="42"/>
      <c r="I144" s="42" t="s">
        <v>1023</v>
      </c>
      <c r="J144" s="42" t="s">
        <v>1003</v>
      </c>
      <c r="K144" s="42"/>
      <c r="L144" s="42"/>
      <c r="M144" s="42"/>
      <c r="N144" t="str">
        <f>VLOOKUP(C144,CU_ARS_2025_WOF_F2!$A$2:$K$673,2,FALSE)</f>
        <v>CU_ARS_2025_WOF_F2_8_plant_41</v>
      </c>
      <c r="O144" t="str">
        <f>VLOOKUP(C144,CU_ARS_2025_WOF_F2!$A$2:$K$673,2,FALSE)</f>
        <v>CU_ARS_2025_WOF_F2_8_plant_41</v>
      </c>
      <c r="P144" t="str">
        <f>VLOOKUP(C144,CU_ARS_2025_WOF_F2!$A$2:$K$673,3,FALSE)</f>
        <v>CU_ARS_2025_WOF_F2_8</v>
      </c>
      <c r="Q144" t="str">
        <f>VLOOKUP(C144,CU_ARS_2025_WOF_F2!$A$2:$K$673,4,FALSE)</f>
        <v>CU_ARS_2025_WOF_cross_29</v>
      </c>
      <c r="R144">
        <f>VLOOKUP(C144,CU_ARS_2025_WOF_F2!$A$2:$K$673,5,FALSE)</f>
        <v>8</v>
      </c>
      <c r="S144">
        <f>VLOOKUP(C144,CU_ARS_2025_WOF_F2!$A$2:$K$673,6,FALSE)</f>
        <v>1</v>
      </c>
      <c r="T144">
        <f>VLOOKUP(C144,CU_ARS_2025_WOF_F2!$A$2:$K$673,7,FALSE)</f>
        <v>0</v>
      </c>
      <c r="U144">
        <f>VLOOKUP(C144,CU_ARS_2025_WOF_F2!$A$2:$K$673,8,FALSE)</f>
        <v>1</v>
      </c>
      <c r="V144">
        <f>VLOOKUP(C144,CU_ARS_2025_WOF_F2!$A$2:$K$673,9,FALSE)</f>
        <v>0</v>
      </c>
      <c r="W144">
        <f>VLOOKUP(C144,CU_ARS_2025_WOF_F2!$A$2:$K$673,10,FALSE)</f>
        <v>0</v>
      </c>
      <c r="X144">
        <f>VLOOKUP(C144,CU_ARS_2025_WOF_F2!$A$2:$K$673,11,FALSE)</f>
        <v>41</v>
      </c>
      <c r="Y144" t="str">
        <f>VLOOKUP(Q144,cross_pedigree!$A$2:$B$23,2,FALSE)</f>
        <v>NC21-6429/AURORA</v>
      </c>
    </row>
    <row r="145" spans="1:25" ht="18">
      <c r="A145" s="20" t="s">
        <v>15</v>
      </c>
      <c r="B145" s="21" t="s">
        <v>16</v>
      </c>
      <c r="C145" s="22">
        <v>753693</v>
      </c>
      <c r="D145" s="23">
        <v>2</v>
      </c>
      <c r="E145" s="24" t="str">
        <f t="shared" si="2"/>
        <v>CU_ARS_2025_WOF_F2_8_plant_56</v>
      </c>
      <c r="F145" s="21" t="s">
        <v>164</v>
      </c>
      <c r="G145" s="44" t="s">
        <v>165</v>
      </c>
      <c r="H145" s="42"/>
      <c r="I145" s="42" t="s">
        <v>1023</v>
      </c>
      <c r="J145" s="42" t="s">
        <v>1003</v>
      </c>
      <c r="K145" s="42"/>
      <c r="L145" s="42"/>
      <c r="M145" s="42"/>
      <c r="N145" t="str">
        <f>VLOOKUP(C145,CU_ARS_2025_WOF_F2!$A$2:$K$673,2,FALSE)</f>
        <v>CU_ARS_2025_WOF_F2_8_plant_56</v>
      </c>
      <c r="O145" t="str">
        <f>VLOOKUP(C145,CU_ARS_2025_WOF_F2!$A$2:$K$673,2,FALSE)</f>
        <v>CU_ARS_2025_WOF_F2_8_plant_56</v>
      </c>
      <c r="P145" t="str">
        <f>VLOOKUP(C145,CU_ARS_2025_WOF_F2!$A$2:$K$673,3,FALSE)</f>
        <v>CU_ARS_2025_WOF_F2_8</v>
      </c>
      <c r="Q145" t="str">
        <f>VLOOKUP(C145,CU_ARS_2025_WOF_F2!$A$2:$K$673,4,FALSE)</f>
        <v>CU_ARS_2025_WOF_cross_29</v>
      </c>
      <c r="R145">
        <f>VLOOKUP(C145,CU_ARS_2025_WOF_F2!$A$2:$K$673,5,FALSE)</f>
        <v>8</v>
      </c>
      <c r="S145">
        <f>VLOOKUP(C145,CU_ARS_2025_WOF_F2!$A$2:$K$673,6,FALSE)</f>
        <v>1</v>
      </c>
      <c r="T145">
        <f>VLOOKUP(C145,CU_ARS_2025_WOF_F2!$A$2:$K$673,7,FALSE)</f>
        <v>0</v>
      </c>
      <c r="U145">
        <f>VLOOKUP(C145,CU_ARS_2025_WOF_F2!$A$2:$K$673,8,FALSE)</f>
        <v>1</v>
      </c>
      <c r="V145">
        <f>VLOOKUP(C145,CU_ARS_2025_WOF_F2!$A$2:$K$673,9,FALSE)</f>
        <v>0</v>
      </c>
      <c r="W145">
        <f>VLOOKUP(C145,CU_ARS_2025_WOF_F2!$A$2:$K$673,10,FALSE)</f>
        <v>0</v>
      </c>
      <c r="X145">
        <f>VLOOKUP(C145,CU_ARS_2025_WOF_F2!$A$2:$K$673,11,FALSE)</f>
        <v>56</v>
      </c>
      <c r="Y145" t="str">
        <f>VLOOKUP(Q145,cross_pedigree!$A$2:$B$23,2,FALSE)</f>
        <v>NC21-6429/AURORA</v>
      </c>
    </row>
    <row r="146" spans="1:25" ht="18">
      <c r="A146" s="20" t="s">
        <v>15</v>
      </c>
      <c r="B146" s="21" t="s">
        <v>16</v>
      </c>
      <c r="C146" s="22">
        <v>753692</v>
      </c>
      <c r="D146" s="23">
        <v>2</v>
      </c>
      <c r="E146" s="24" t="str">
        <f t="shared" si="2"/>
        <v>CU_ARS_2025_WOF_F2_8_plant_55</v>
      </c>
      <c r="F146" s="21" t="s">
        <v>166</v>
      </c>
      <c r="G146" s="44" t="s">
        <v>167</v>
      </c>
      <c r="H146" s="42"/>
      <c r="I146" s="42" t="s">
        <v>1023</v>
      </c>
      <c r="J146" s="42" t="s">
        <v>1003</v>
      </c>
      <c r="K146" s="42"/>
      <c r="L146" s="42"/>
      <c r="M146" s="42"/>
      <c r="N146" t="str">
        <f>VLOOKUP(C146,CU_ARS_2025_WOF_F2!$A$2:$K$673,2,FALSE)</f>
        <v>CU_ARS_2025_WOF_F2_8_plant_55</v>
      </c>
      <c r="O146" t="str">
        <f>VLOOKUP(C146,CU_ARS_2025_WOF_F2!$A$2:$K$673,2,FALSE)</f>
        <v>CU_ARS_2025_WOF_F2_8_plant_55</v>
      </c>
      <c r="P146" t="str">
        <f>VLOOKUP(C146,CU_ARS_2025_WOF_F2!$A$2:$K$673,3,FALSE)</f>
        <v>CU_ARS_2025_WOF_F2_8</v>
      </c>
      <c r="Q146" t="str">
        <f>VLOOKUP(C146,CU_ARS_2025_WOF_F2!$A$2:$K$673,4,FALSE)</f>
        <v>CU_ARS_2025_WOF_cross_29</v>
      </c>
      <c r="R146">
        <f>VLOOKUP(C146,CU_ARS_2025_WOF_F2!$A$2:$K$673,5,FALSE)</f>
        <v>8</v>
      </c>
      <c r="S146">
        <f>VLOOKUP(C146,CU_ARS_2025_WOF_F2!$A$2:$K$673,6,FALSE)</f>
        <v>1</v>
      </c>
      <c r="T146">
        <f>VLOOKUP(C146,CU_ARS_2025_WOF_F2!$A$2:$K$673,7,FALSE)</f>
        <v>0</v>
      </c>
      <c r="U146">
        <f>VLOOKUP(C146,CU_ARS_2025_WOF_F2!$A$2:$K$673,8,FALSE)</f>
        <v>1</v>
      </c>
      <c r="V146">
        <f>VLOOKUP(C146,CU_ARS_2025_WOF_F2!$A$2:$K$673,9,FALSE)</f>
        <v>0</v>
      </c>
      <c r="W146">
        <f>VLOOKUP(C146,CU_ARS_2025_WOF_F2!$A$2:$K$673,10,FALSE)</f>
        <v>0</v>
      </c>
      <c r="X146">
        <f>VLOOKUP(C146,CU_ARS_2025_WOF_F2!$A$2:$K$673,11,FALSE)</f>
        <v>55</v>
      </c>
      <c r="Y146" t="str">
        <f>VLOOKUP(Q146,cross_pedigree!$A$2:$B$23,2,FALSE)</f>
        <v>NC21-6429/AURORA</v>
      </c>
    </row>
    <row r="147" spans="1:25" ht="18">
      <c r="A147" s="20" t="s">
        <v>15</v>
      </c>
      <c r="B147" s="21" t="s">
        <v>16</v>
      </c>
      <c r="C147" s="22">
        <v>753675</v>
      </c>
      <c r="D147" s="23">
        <v>2</v>
      </c>
      <c r="E147" s="24" t="str">
        <f t="shared" si="2"/>
        <v>CU_ARS_2025_WOF_F2_8_plant_38</v>
      </c>
      <c r="F147" s="21" t="s">
        <v>168</v>
      </c>
      <c r="G147" s="44" t="s">
        <v>169</v>
      </c>
      <c r="H147" s="42"/>
      <c r="I147" s="42" t="s">
        <v>1023</v>
      </c>
      <c r="J147" s="42" t="s">
        <v>1003</v>
      </c>
      <c r="K147" s="42"/>
      <c r="L147" s="42"/>
      <c r="M147" s="42"/>
      <c r="N147" t="str">
        <f>VLOOKUP(C147,CU_ARS_2025_WOF_F2!$A$2:$K$673,2,FALSE)</f>
        <v>CU_ARS_2025_WOF_F2_8_plant_38</v>
      </c>
      <c r="O147" t="str">
        <f>VLOOKUP(C147,CU_ARS_2025_WOF_F2!$A$2:$K$673,2,FALSE)</f>
        <v>CU_ARS_2025_WOF_F2_8_plant_38</v>
      </c>
      <c r="P147" t="str">
        <f>VLOOKUP(C147,CU_ARS_2025_WOF_F2!$A$2:$K$673,3,FALSE)</f>
        <v>CU_ARS_2025_WOF_F2_8</v>
      </c>
      <c r="Q147" t="str">
        <f>VLOOKUP(C147,CU_ARS_2025_WOF_F2!$A$2:$K$673,4,FALSE)</f>
        <v>CU_ARS_2025_WOF_cross_29</v>
      </c>
      <c r="R147">
        <f>VLOOKUP(C147,CU_ARS_2025_WOF_F2!$A$2:$K$673,5,FALSE)</f>
        <v>8</v>
      </c>
      <c r="S147">
        <f>VLOOKUP(C147,CU_ARS_2025_WOF_F2!$A$2:$K$673,6,FALSE)</f>
        <v>1</v>
      </c>
      <c r="T147">
        <f>VLOOKUP(C147,CU_ARS_2025_WOF_F2!$A$2:$K$673,7,FALSE)</f>
        <v>0</v>
      </c>
      <c r="U147">
        <f>VLOOKUP(C147,CU_ARS_2025_WOF_F2!$A$2:$K$673,8,FALSE)</f>
        <v>1</v>
      </c>
      <c r="V147">
        <f>VLOOKUP(C147,CU_ARS_2025_WOF_F2!$A$2:$K$673,9,FALSE)</f>
        <v>0</v>
      </c>
      <c r="W147">
        <f>VLOOKUP(C147,CU_ARS_2025_WOF_F2!$A$2:$K$673,10,FALSE)</f>
        <v>0</v>
      </c>
      <c r="X147">
        <f>VLOOKUP(C147,CU_ARS_2025_WOF_F2!$A$2:$K$673,11,FALSE)</f>
        <v>38</v>
      </c>
      <c r="Y147" t="str">
        <f>VLOOKUP(Q147,cross_pedigree!$A$2:$B$23,2,FALSE)</f>
        <v>NC21-6429/AURORA</v>
      </c>
    </row>
    <row r="148" spans="1:25" ht="18">
      <c r="A148" s="20" t="s">
        <v>15</v>
      </c>
      <c r="B148" s="21" t="s">
        <v>16</v>
      </c>
      <c r="C148" s="22">
        <v>753514</v>
      </c>
      <c r="D148" s="23">
        <v>2</v>
      </c>
      <c r="E148" s="24" t="str">
        <f t="shared" si="2"/>
        <v>CU_ARS_2025_WOF_F2_2_plant_26</v>
      </c>
      <c r="F148" s="21" t="s">
        <v>43</v>
      </c>
      <c r="G148" s="44" t="s">
        <v>44</v>
      </c>
      <c r="H148" s="42"/>
      <c r="I148" s="42" t="s">
        <v>1034</v>
      </c>
      <c r="J148" s="42" t="s">
        <v>1003</v>
      </c>
      <c r="K148" s="42"/>
      <c r="L148" s="42"/>
      <c r="M148" s="42"/>
      <c r="N148" t="str">
        <f>VLOOKUP(C148,CU_ARS_2025_WOF_F2!$A$2:$K$673,2,FALSE)</f>
        <v>CU_ARS_2025_WOF_F2_2_plant_26</v>
      </c>
      <c r="O148" t="str">
        <f>VLOOKUP(C148,CU_ARS_2025_WOF_F2!$A$2:$K$673,2,FALSE)</f>
        <v>CU_ARS_2025_WOF_F2_2_plant_26</v>
      </c>
      <c r="P148" t="str">
        <f>VLOOKUP(C148,CU_ARS_2025_WOF_F2!$A$2:$K$673,3,FALSE)</f>
        <v>CU_ARS_2025_WOF_F2_2</v>
      </c>
      <c r="Q148" t="str">
        <f>VLOOKUP(C148,CU_ARS_2025_WOF_F2!$A$2:$K$673,4,FALSE)</f>
        <v>CU_ARS_2025_WOF_cross_45</v>
      </c>
      <c r="R148">
        <f>VLOOKUP(C148,CU_ARS_2025_WOF_F2!$A$2:$K$673,5,FALSE)</f>
        <v>2</v>
      </c>
      <c r="S148">
        <f>VLOOKUP(C148,CU_ARS_2025_WOF_F2!$A$2:$K$673,6,FALSE)</f>
        <v>1</v>
      </c>
      <c r="T148">
        <f>VLOOKUP(C148,CU_ARS_2025_WOF_F2!$A$2:$K$673,7,FALSE)</f>
        <v>0</v>
      </c>
      <c r="U148">
        <f>VLOOKUP(C148,CU_ARS_2025_WOF_F2!$A$2:$K$673,8,FALSE)</f>
        <v>1</v>
      </c>
      <c r="V148">
        <f>VLOOKUP(C148,CU_ARS_2025_WOF_F2!$A$2:$K$673,9,FALSE)</f>
        <v>0</v>
      </c>
      <c r="W148">
        <f>VLOOKUP(C148,CU_ARS_2025_WOF_F2!$A$2:$K$673,10,FALSE)</f>
        <v>0</v>
      </c>
      <c r="X148">
        <f>VLOOKUP(C148,CU_ARS_2025_WOF_F2!$A$2:$K$673,11,FALSE)</f>
        <v>26</v>
      </c>
      <c r="Y148" t="str">
        <f>VLOOKUP(Q148,cross_pedigree!$A$2:$B$23,2,FALSE)</f>
        <v>NC20-4526/AURORA</v>
      </c>
    </row>
    <row r="149" spans="1:25" ht="18">
      <c r="A149" s="20" t="s">
        <v>15</v>
      </c>
      <c r="B149" s="21" t="s">
        <v>16</v>
      </c>
      <c r="C149" s="22">
        <v>753515</v>
      </c>
      <c r="D149" s="23">
        <v>2</v>
      </c>
      <c r="E149" s="24" t="str">
        <f t="shared" si="2"/>
        <v>CU_ARS_2025_WOF_F2_2_plant_27</v>
      </c>
      <c r="F149" s="21" t="s">
        <v>45</v>
      </c>
      <c r="G149" s="44" t="s">
        <v>46</v>
      </c>
      <c r="H149" s="42"/>
      <c r="I149" s="42" t="s">
        <v>1034</v>
      </c>
      <c r="J149" s="42" t="s">
        <v>1003</v>
      </c>
      <c r="K149" s="42"/>
      <c r="L149" s="42"/>
      <c r="M149" s="42"/>
      <c r="N149" t="str">
        <f>VLOOKUP(C149,CU_ARS_2025_WOF_F2!$A$2:$K$673,2,FALSE)</f>
        <v>CU_ARS_2025_WOF_F2_2_plant_27</v>
      </c>
      <c r="O149" t="str">
        <f>VLOOKUP(C149,CU_ARS_2025_WOF_F2!$A$2:$K$673,2,FALSE)</f>
        <v>CU_ARS_2025_WOF_F2_2_plant_27</v>
      </c>
      <c r="P149" t="str">
        <f>VLOOKUP(C149,CU_ARS_2025_WOF_F2!$A$2:$K$673,3,FALSE)</f>
        <v>CU_ARS_2025_WOF_F2_2</v>
      </c>
      <c r="Q149" t="str">
        <f>VLOOKUP(C149,CU_ARS_2025_WOF_F2!$A$2:$K$673,4,FALSE)</f>
        <v>CU_ARS_2025_WOF_cross_45</v>
      </c>
      <c r="R149">
        <f>VLOOKUP(C149,CU_ARS_2025_WOF_F2!$A$2:$K$673,5,FALSE)</f>
        <v>2</v>
      </c>
      <c r="S149">
        <f>VLOOKUP(C149,CU_ARS_2025_WOF_F2!$A$2:$K$673,6,FALSE)</f>
        <v>1</v>
      </c>
      <c r="T149">
        <f>VLOOKUP(C149,CU_ARS_2025_WOF_F2!$A$2:$K$673,7,FALSE)</f>
        <v>0</v>
      </c>
      <c r="U149">
        <f>VLOOKUP(C149,CU_ARS_2025_WOF_F2!$A$2:$K$673,8,FALSE)</f>
        <v>1</v>
      </c>
      <c r="V149">
        <f>VLOOKUP(C149,CU_ARS_2025_WOF_F2!$A$2:$K$673,9,FALSE)</f>
        <v>0</v>
      </c>
      <c r="W149">
        <f>VLOOKUP(C149,CU_ARS_2025_WOF_F2!$A$2:$K$673,10,FALSE)</f>
        <v>0</v>
      </c>
      <c r="X149">
        <f>VLOOKUP(C149,CU_ARS_2025_WOF_F2!$A$2:$K$673,11,FALSE)</f>
        <v>27</v>
      </c>
      <c r="Y149" t="str">
        <f>VLOOKUP(Q149,cross_pedigree!$A$2:$B$23,2,FALSE)</f>
        <v>NC20-4526/AURORA</v>
      </c>
    </row>
    <row r="150" spans="1:25" ht="18">
      <c r="A150" s="20" t="s">
        <v>15</v>
      </c>
      <c r="B150" s="21" t="s">
        <v>16</v>
      </c>
      <c r="C150" s="22">
        <v>753677</v>
      </c>
      <c r="D150" s="23">
        <v>2</v>
      </c>
      <c r="E150" s="24" t="str">
        <f t="shared" si="2"/>
        <v>CU_ARS_2025_WOF_F2_8_plant_40</v>
      </c>
      <c r="F150" s="21" t="s">
        <v>170</v>
      </c>
      <c r="G150" s="44" t="s">
        <v>171</v>
      </c>
      <c r="H150" s="42"/>
      <c r="I150" s="42" t="s">
        <v>1023</v>
      </c>
      <c r="J150" s="42" t="s">
        <v>1003</v>
      </c>
      <c r="K150" s="42"/>
      <c r="L150" s="42"/>
      <c r="M150" s="42"/>
      <c r="N150" t="str">
        <f>VLOOKUP(C150,CU_ARS_2025_WOF_F2!$A$2:$K$673,2,FALSE)</f>
        <v>CU_ARS_2025_WOF_F2_8_plant_40</v>
      </c>
      <c r="O150" t="str">
        <f>VLOOKUP(C150,CU_ARS_2025_WOF_F2!$A$2:$K$673,2,FALSE)</f>
        <v>CU_ARS_2025_WOF_F2_8_plant_40</v>
      </c>
      <c r="P150" t="str">
        <f>VLOOKUP(C150,CU_ARS_2025_WOF_F2!$A$2:$K$673,3,FALSE)</f>
        <v>CU_ARS_2025_WOF_F2_8</v>
      </c>
      <c r="Q150" t="str">
        <f>VLOOKUP(C150,CU_ARS_2025_WOF_F2!$A$2:$K$673,4,FALSE)</f>
        <v>CU_ARS_2025_WOF_cross_29</v>
      </c>
      <c r="R150">
        <f>VLOOKUP(C150,CU_ARS_2025_WOF_F2!$A$2:$K$673,5,FALSE)</f>
        <v>8</v>
      </c>
      <c r="S150">
        <f>VLOOKUP(C150,CU_ARS_2025_WOF_F2!$A$2:$K$673,6,FALSE)</f>
        <v>1</v>
      </c>
      <c r="T150">
        <f>VLOOKUP(C150,CU_ARS_2025_WOF_F2!$A$2:$K$673,7,FALSE)</f>
        <v>0</v>
      </c>
      <c r="U150">
        <f>VLOOKUP(C150,CU_ARS_2025_WOF_F2!$A$2:$K$673,8,FALSE)</f>
        <v>1</v>
      </c>
      <c r="V150">
        <f>VLOOKUP(C150,CU_ARS_2025_WOF_F2!$A$2:$K$673,9,FALSE)</f>
        <v>0</v>
      </c>
      <c r="W150">
        <f>VLOOKUP(C150,CU_ARS_2025_WOF_F2!$A$2:$K$673,10,FALSE)</f>
        <v>0</v>
      </c>
      <c r="X150">
        <f>VLOOKUP(C150,CU_ARS_2025_WOF_F2!$A$2:$K$673,11,FALSE)</f>
        <v>40</v>
      </c>
      <c r="Y150" t="str">
        <f>VLOOKUP(Q150,cross_pedigree!$A$2:$B$23,2,FALSE)</f>
        <v>NC21-6429/AURORA</v>
      </c>
    </row>
    <row r="151" spans="1:25" ht="18">
      <c r="A151" s="20" t="s">
        <v>15</v>
      </c>
      <c r="B151" s="21" t="s">
        <v>16</v>
      </c>
      <c r="C151" s="22">
        <v>753683</v>
      </c>
      <c r="D151" s="23">
        <v>2</v>
      </c>
      <c r="E151" s="24" t="str">
        <f t="shared" si="2"/>
        <v>CU_ARS_2025_WOF_F2_8_plant_46</v>
      </c>
      <c r="F151" s="21" t="s">
        <v>29</v>
      </c>
      <c r="G151" s="44" t="s">
        <v>30</v>
      </c>
      <c r="H151" s="42"/>
      <c r="I151" s="42" t="s">
        <v>1023</v>
      </c>
      <c r="J151" s="42" t="s">
        <v>1003</v>
      </c>
      <c r="K151" s="42"/>
      <c r="L151" s="42"/>
      <c r="M151" s="42"/>
      <c r="N151" t="str">
        <f>VLOOKUP(C151,CU_ARS_2025_WOF_F2!$A$2:$K$673,2,FALSE)</f>
        <v>CU_ARS_2025_WOF_F2_8_plant_46</v>
      </c>
      <c r="O151" t="str">
        <f>VLOOKUP(C151,CU_ARS_2025_WOF_F2!$A$2:$K$673,2,FALSE)</f>
        <v>CU_ARS_2025_WOF_F2_8_plant_46</v>
      </c>
      <c r="P151" t="str">
        <f>VLOOKUP(C151,CU_ARS_2025_WOF_F2!$A$2:$K$673,3,FALSE)</f>
        <v>CU_ARS_2025_WOF_F2_8</v>
      </c>
      <c r="Q151" t="str">
        <f>VLOOKUP(C151,CU_ARS_2025_WOF_F2!$A$2:$K$673,4,FALSE)</f>
        <v>CU_ARS_2025_WOF_cross_29</v>
      </c>
      <c r="R151">
        <f>VLOOKUP(C151,CU_ARS_2025_WOF_F2!$A$2:$K$673,5,FALSE)</f>
        <v>8</v>
      </c>
      <c r="S151">
        <f>VLOOKUP(C151,CU_ARS_2025_WOF_F2!$A$2:$K$673,6,FALSE)</f>
        <v>1</v>
      </c>
      <c r="T151">
        <f>VLOOKUP(C151,CU_ARS_2025_WOF_F2!$A$2:$K$673,7,FALSE)</f>
        <v>0</v>
      </c>
      <c r="U151">
        <f>VLOOKUP(C151,CU_ARS_2025_WOF_F2!$A$2:$K$673,8,FALSE)</f>
        <v>1</v>
      </c>
      <c r="V151">
        <f>VLOOKUP(C151,CU_ARS_2025_WOF_F2!$A$2:$K$673,9,FALSE)</f>
        <v>0</v>
      </c>
      <c r="W151">
        <f>VLOOKUP(C151,CU_ARS_2025_WOF_F2!$A$2:$K$673,10,FALSE)</f>
        <v>0</v>
      </c>
      <c r="X151">
        <f>VLOOKUP(C151,CU_ARS_2025_WOF_F2!$A$2:$K$673,11,FALSE)</f>
        <v>46</v>
      </c>
      <c r="Y151" t="str">
        <f>VLOOKUP(Q151,cross_pedigree!$A$2:$B$23,2,FALSE)</f>
        <v>NC21-6429/AURORA</v>
      </c>
    </row>
    <row r="152" spans="1:25" ht="18">
      <c r="A152" s="20" t="s">
        <v>15</v>
      </c>
      <c r="B152" s="21" t="s">
        <v>16</v>
      </c>
      <c r="C152" s="22">
        <v>753684</v>
      </c>
      <c r="D152" s="23">
        <v>2</v>
      </c>
      <c r="E152" s="24" t="str">
        <f t="shared" si="2"/>
        <v>CU_ARS_2025_WOF_F2_8_plant_47</v>
      </c>
      <c r="F152" s="21" t="s">
        <v>31</v>
      </c>
      <c r="G152" s="44" t="s">
        <v>32</v>
      </c>
      <c r="H152" s="42"/>
      <c r="I152" s="42" t="s">
        <v>1023</v>
      </c>
      <c r="J152" s="42" t="s">
        <v>1003</v>
      </c>
      <c r="K152" s="42"/>
      <c r="L152" s="42"/>
      <c r="M152" s="42"/>
      <c r="N152" t="str">
        <f>VLOOKUP(C152,CU_ARS_2025_WOF_F2!$A$2:$K$673,2,FALSE)</f>
        <v>CU_ARS_2025_WOF_F2_8_plant_47</v>
      </c>
      <c r="O152" t="str">
        <f>VLOOKUP(C152,CU_ARS_2025_WOF_F2!$A$2:$K$673,2,FALSE)</f>
        <v>CU_ARS_2025_WOF_F2_8_plant_47</v>
      </c>
      <c r="P152" t="str">
        <f>VLOOKUP(C152,CU_ARS_2025_WOF_F2!$A$2:$K$673,3,FALSE)</f>
        <v>CU_ARS_2025_WOF_F2_8</v>
      </c>
      <c r="Q152" t="str">
        <f>VLOOKUP(C152,CU_ARS_2025_WOF_F2!$A$2:$K$673,4,FALSE)</f>
        <v>CU_ARS_2025_WOF_cross_29</v>
      </c>
      <c r="R152">
        <f>VLOOKUP(C152,CU_ARS_2025_WOF_F2!$A$2:$K$673,5,FALSE)</f>
        <v>8</v>
      </c>
      <c r="S152">
        <f>VLOOKUP(C152,CU_ARS_2025_WOF_F2!$A$2:$K$673,6,FALSE)</f>
        <v>1</v>
      </c>
      <c r="T152">
        <f>VLOOKUP(C152,CU_ARS_2025_WOF_F2!$A$2:$K$673,7,FALSE)</f>
        <v>0</v>
      </c>
      <c r="U152">
        <f>VLOOKUP(C152,CU_ARS_2025_WOF_F2!$A$2:$K$673,8,FALSE)</f>
        <v>1</v>
      </c>
      <c r="V152">
        <f>VLOOKUP(C152,CU_ARS_2025_WOF_F2!$A$2:$K$673,9,FALSE)</f>
        <v>0</v>
      </c>
      <c r="W152">
        <f>VLOOKUP(C152,CU_ARS_2025_WOF_F2!$A$2:$K$673,10,FALSE)</f>
        <v>0</v>
      </c>
      <c r="X152">
        <f>VLOOKUP(C152,CU_ARS_2025_WOF_F2!$A$2:$K$673,11,FALSE)</f>
        <v>47</v>
      </c>
      <c r="Y152" t="str">
        <f>VLOOKUP(Q152,cross_pedigree!$A$2:$B$23,2,FALSE)</f>
        <v>NC21-6429/AURORA</v>
      </c>
    </row>
    <row r="153" spans="1:25" ht="18">
      <c r="A153" s="20" t="s">
        <v>15</v>
      </c>
      <c r="B153" s="21" t="s">
        <v>16</v>
      </c>
      <c r="C153" s="22">
        <v>753685</v>
      </c>
      <c r="D153" s="23">
        <v>2</v>
      </c>
      <c r="E153" s="24" t="str">
        <f t="shared" si="2"/>
        <v>CU_ARS_2025_WOF_F2_8_plant_48</v>
      </c>
      <c r="F153" s="21" t="s">
        <v>33</v>
      </c>
      <c r="G153" s="44" t="s">
        <v>34</v>
      </c>
      <c r="H153" s="42"/>
      <c r="I153" s="42" t="s">
        <v>1023</v>
      </c>
      <c r="J153" s="42" t="s">
        <v>1003</v>
      </c>
      <c r="K153" s="42"/>
      <c r="L153" s="42"/>
      <c r="M153" s="42"/>
      <c r="N153" t="str">
        <f>VLOOKUP(C153,CU_ARS_2025_WOF_F2!$A$2:$K$673,2,FALSE)</f>
        <v>CU_ARS_2025_WOF_F2_8_plant_48</v>
      </c>
      <c r="O153" t="str">
        <f>VLOOKUP(C153,CU_ARS_2025_WOF_F2!$A$2:$K$673,2,FALSE)</f>
        <v>CU_ARS_2025_WOF_F2_8_plant_48</v>
      </c>
      <c r="P153" t="str">
        <f>VLOOKUP(C153,CU_ARS_2025_WOF_F2!$A$2:$K$673,3,FALSE)</f>
        <v>CU_ARS_2025_WOF_F2_8</v>
      </c>
      <c r="Q153" t="str">
        <f>VLOOKUP(C153,CU_ARS_2025_WOF_F2!$A$2:$K$673,4,FALSE)</f>
        <v>CU_ARS_2025_WOF_cross_29</v>
      </c>
      <c r="R153">
        <f>VLOOKUP(C153,CU_ARS_2025_WOF_F2!$A$2:$K$673,5,FALSE)</f>
        <v>8</v>
      </c>
      <c r="S153">
        <f>VLOOKUP(C153,CU_ARS_2025_WOF_F2!$A$2:$K$673,6,FALSE)</f>
        <v>1</v>
      </c>
      <c r="T153">
        <f>VLOOKUP(C153,CU_ARS_2025_WOF_F2!$A$2:$K$673,7,FALSE)</f>
        <v>0</v>
      </c>
      <c r="U153">
        <f>VLOOKUP(C153,CU_ARS_2025_WOF_F2!$A$2:$K$673,8,FALSE)</f>
        <v>1</v>
      </c>
      <c r="V153">
        <f>VLOOKUP(C153,CU_ARS_2025_WOF_F2!$A$2:$K$673,9,FALSE)</f>
        <v>0</v>
      </c>
      <c r="W153">
        <f>VLOOKUP(C153,CU_ARS_2025_WOF_F2!$A$2:$K$673,10,FALSE)</f>
        <v>0</v>
      </c>
      <c r="X153">
        <f>VLOOKUP(C153,CU_ARS_2025_WOF_F2!$A$2:$K$673,11,FALSE)</f>
        <v>48</v>
      </c>
      <c r="Y153" t="str">
        <f>VLOOKUP(Q153,cross_pedigree!$A$2:$B$23,2,FALSE)</f>
        <v>NC21-6429/AURORA</v>
      </c>
    </row>
    <row r="154" spans="1:25" ht="18">
      <c r="A154" s="20" t="s">
        <v>15</v>
      </c>
      <c r="B154" s="21" t="s">
        <v>16</v>
      </c>
      <c r="C154" s="22">
        <v>753686</v>
      </c>
      <c r="D154" s="23">
        <v>2</v>
      </c>
      <c r="E154" s="24" t="str">
        <f t="shared" si="2"/>
        <v>CU_ARS_2025_WOF_F2_8_plant_49</v>
      </c>
      <c r="F154" s="21" t="s">
        <v>35</v>
      </c>
      <c r="G154" s="44" t="s">
        <v>36</v>
      </c>
      <c r="H154" s="42"/>
      <c r="I154" s="42" t="s">
        <v>1023</v>
      </c>
      <c r="J154" s="42" t="s">
        <v>1003</v>
      </c>
      <c r="K154" s="42"/>
      <c r="L154" s="42"/>
      <c r="M154" s="42"/>
      <c r="N154" t="str">
        <f>VLOOKUP(C154,CU_ARS_2025_WOF_F2!$A$2:$K$673,2,FALSE)</f>
        <v>CU_ARS_2025_WOF_F2_8_plant_49</v>
      </c>
      <c r="O154" t="str">
        <f>VLOOKUP(C154,CU_ARS_2025_WOF_F2!$A$2:$K$673,2,FALSE)</f>
        <v>CU_ARS_2025_WOF_F2_8_plant_49</v>
      </c>
      <c r="P154" t="str">
        <f>VLOOKUP(C154,CU_ARS_2025_WOF_F2!$A$2:$K$673,3,FALSE)</f>
        <v>CU_ARS_2025_WOF_F2_8</v>
      </c>
      <c r="Q154" t="str">
        <f>VLOOKUP(C154,CU_ARS_2025_WOF_F2!$A$2:$K$673,4,FALSE)</f>
        <v>CU_ARS_2025_WOF_cross_29</v>
      </c>
      <c r="R154">
        <f>VLOOKUP(C154,CU_ARS_2025_WOF_F2!$A$2:$K$673,5,FALSE)</f>
        <v>8</v>
      </c>
      <c r="S154">
        <f>VLOOKUP(C154,CU_ARS_2025_WOF_F2!$A$2:$K$673,6,FALSE)</f>
        <v>1</v>
      </c>
      <c r="T154">
        <f>VLOOKUP(C154,CU_ARS_2025_WOF_F2!$A$2:$K$673,7,FALSE)</f>
        <v>0</v>
      </c>
      <c r="U154">
        <f>VLOOKUP(C154,CU_ARS_2025_WOF_F2!$A$2:$K$673,8,FALSE)</f>
        <v>1</v>
      </c>
      <c r="V154">
        <f>VLOOKUP(C154,CU_ARS_2025_WOF_F2!$A$2:$K$673,9,FALSE)</f>
        <v>0</v>
      </c>
      <c r="W154">
        <f>VLOOKUP(C154,CU_ARS_2025_WOF_F2!$A$2:$K$673,10,FALSE)</f>
        <v>0</v>
      </c>
      <c r="X154">
        <f>VLOOKUP(C154,CU_ARS_2025_WOF_F2!$A$2:$K$673,11,FALSE)</f>
        <v>49</v>
      </c>
      <c r="Y154" t="str">
        <f>VLOOKUP(Q154,cross_pedigree!$A$2:$B$23,2,FALSE)</f>
        <v>NC21-6429/AURORA</v>
      </c>
    </row>
    <row r="155" spans="1:25" ht="18">
      <c r="A155" s="20" t="s">
        <v>15</v>
      </c>
      <c r="B155" s="21" t="s">
        <v>16</v>
      </c>
      <c r="C155" s="22">
        <v>753687</v>
      </c>
      <c r="D155" s="23">
        <v>2</v>
      </c>
      <c r="E155" s="24" t="str">
        <f t="shared" si="2"/>
        <v>CU_ARS_2025_WOF_F2_8_plant_50</v>
      </c>
      <c r="F155" s="21" t="s">
        <v>37</v>
      </c>
      <c r="G155" s="44" t="s">
        <v>38</v>
      </c>
      <c r="H155" s="42"/>
      <c r="I155" s="42" t="s">
        <v>1023</v>
      </c>
      <c r="J155" s="42" t="s">
        <v>1003</v>
      </c>
      <c r="K155" s="42"/>
      <c r="L155" s="42"/>
      <c r="M155" s="42"/>
      <c r="N155" t="str">
        <f>VLOOKUP(C155,CU_ARS_2025_WOF_F2!$A$2:$K$673,2,FALSE)</f>
        <v>CU_ARS_2025_WOF_F2_8_plant_50</v>
      </c>
      <c r="O155" t="str">
        <f>VLOOKUP(C155,CU_ARS_2025_WOF_F2!$A$2:$K$673,2,FALSE)</f>
        <v>CU_ARS_2025_WOF_F2_8_plant_50</v>
      </c>
      <c r="P155" t="str">
        <f>VLOOKUP(C155,CU_ARS_2025_WOF_F2!$A$2:$K$673,3,FALSE)</f>
        <v>CU_ARS_2025_WOF_F2_8</v>
      </c>
      <c r="Q155" t="str">
        <f>VLOOKUP(C155,CU_ARS_2025_WOF_F2!$A$2:$K$673,4,FALSE)</f>
        <v>CU_ARS_2025_WOF_cross_29</v>
      </c>
      <c r="R155">
        <f>VLOOKUP(C155,CU_ARS_2025_WOF_F2!$A$2:$K$673,5,FALSE)</f>
        <v>8</v>
      </c>
      <c r="S155">
        <f>VLOOKUP(C155,CU_ARS_2025_WOF_F2!$A$2:$K$673,6,FALSE)</f>
        <v>1</v>
      </c>
      <c r="T155">
        <f>VLOOKUP(C155,CU_ARS_2025_WOF_F2!$A$2:$K$673,7,FALSE)</f>
        <v>0</v>
      </c>
      <c r="U155">
        <f>VLOOKUP(C155,CU_ARS_2025_WOF_F2!$A$2:$K$673,8,FALSE)</f>
        <v>1</v>
      </c>
      <c r="V155">
        <f>VLOOKUP(C155,CU_ARS_2025_WOF_F2!$A$2:$K$673,9,FALSE)</f>
        <v>0</v>
      </c>
      <c r="W155">
        <f>VLOOKUP(C155,CU_ARS_2025_WOF_F2!$A$2:$K$673,10,FALSE)</f>
        <v>0</v>
      </c>
      <c r="X155">
        <f>VLOOKUP(C155,CU_ARS_2025_WOF_F2!$A$2:$K$673,11,FALSE)</f>
        <v>50</v>
      </c>
      <c r="Y155" t="str">
        <f>VLOOKUP(Q155,cross_pedigree!$A$2:$B$23,2,FALSE)</f>
        <v>NC21-6429/AURORA</v>
      </c>
    </row>
    <row r="156" spans="1:25" ht="18">
      <c r="A156" s="20" t="s">
        <v>15</v>
      </c>
      <c r="B156" s="21" t="s">
        <v>16</v>
      </c>
      <c r="C156" s="22">
        <v>753688</v>
      </c>
      <c r="D156" s="23">
        <v>2</v>
      </c>
      <c r="E156" s="24" t="str">
        <f t="shared" si="2"/>
        <v>CU_ARS_2025_WOF_F2_8_plant_51</v>
      </c>
      <c r="F156" s="21" t="s">
        <v>172</v>
      </c>
      <c r="G156" s="44" t="s">
        <v>173</v>
      </c>
      <c r="H156" s="42"/>
      <c r="I156" s="42" t="s">
        <v>1023</v>
      </c>
      <c r="J156" s="42" t="s">
        <v>1003</v>
      </c>
      <c r="K156" s="42"/>
      <c r="L156" s="42"/>
      <c r="M156" s="42"/>
      <c r="N156" t="str">
        <f>VLOOKUP(C156,CU_ARS_2025_WOF_F2!$A$2:$K$673,2,FALSE)</f>
        <v>CU_ARS_2025_WOF_F2_8_plant_51</v>
      </c>
      <c r="O156" t="str">
        <f>VLOOKUP(C156,CU_ARS_2025_WOF_F2!$A$2:$K$673,2,FALSE)</f>
        <v>CU_ARS_2025_WOF_F2_8_plant_51</v>
      </c>
      <c r="P156" t="str">
        <f>VLOOKUP(C156,CU_ARS_2025_WOF_F2!$A$2:$K$673,3,FALSE)</f>
        <v>CU_ARS_2025_WOF_F2_8</v>
      </c>
      <c r="Q156" t="str">
        <f>VLOOKUP(C156,CU_ARS_2025_WOF_F2!$A$2:$K$673,4,FALSE)</f>
        <v>CU_ARS_2025_WOF_cross_29</v>
      </c>
      <c r="R156">
        <f>VLOOKUP(C156,CU_ARS_2025_WOF_F2!$A$2:$K$673,5,FALSE)</f>
        <v>8</v>
      </c>
      <c r="S156">
        <f>VLOOKUP(C156,CU_ARS_2025_WOF_F2!$A$2:$K$673,6,FALSE)</f>
        <v>1</v>
      </c>
      <c r="T156">
        <f>VLOOKUP(C156,CU_ARS_2025_WOF_F2!$A$2:$K$673,7,FALSE)</f>
        <v>0</v>
      </c>
      <c r="U156">
        <f>VLOOKUP(C156,CU_ARS_2025_WOF_F2!$A$2:$K$673,8,FALSE)</f>
        <v>1</v>
      </c>
      <c r="V156">
        <f>VLOOKUP(C156,CU_ARS_2025_WOF_F2!$A$2:$K$673,9,FALSE)</f>
        <v>0</v>
      </c>
      <c r="W156">
        <f>VLOOKUP(C156,CU_ARS_2025_WOF_F2!$A$2:$K$673,10,FALSE)</f>
        <v>0</v>
      </c>
      <c r="X156">
        <f>VLOOKUP(C156,CU_ARS_2025_WOF_F2!$A$2:$K$673,11,FALSE)</f>
        <v>51</v>
      </c>
      <c r="Y156" t="str">
        <f>VLOOKUP(Q156,cross_pedigree!$A$2:$B$23,2,FALSE)</f>
        <v>NC21-6429/AURORA</v>
      </c>
    </row>
    <row r="157" spans="1:25" ht="18">
      <c r="A157" s="20" t="s">
        <v>15</v>
      </c>
      <c r="B157" s="21" t="s">
        <v>16</v>
      </c>
      <c r="C157" s="22">
        <v>753689</v>
      </c>
      <c r="D157" s="23">
        <v>2</v>
      </c>
      <c r="E157" s="24" t="str">
        <f t="shared" si="2"/>
        <v>CU_ARS_2025_WOF_F2_8_plant_52</v>
      </c>
      <c r="F157" s="21" t="s">
        <v>174</v>
      </c>
      <c r="G157" s="44" t="s">
        <v>175</v>
      </c>
      <c r="H157" s="42"/>
      <c r="I157" s="42" t="s">
        <v>1023</v>
      </c>
      <c r="J157" s="42" t="s">
        <v>1003</v>
      </c>
      <c r="K157" s="42"/>
      <c r="L157" s="42"/>
      <c r="M157" s="42"/>
      <c r="N157" t="str">
        <f>VLOOKUP(C157,CU_ARS_2025_WOF_F2!$A$2:$K$673,2,FALSE)</f>
        <v>CU_ARS_2025_WOF_F2_8_plant_52</v>
      </c>
      <c r="O157" t="str">
        <f>VLOOKUP(C157,CU_ARS_2025_WOF_F2!$A$2:$K$673,2,FALSE)</f>
        <v>CU_ARS_2025_WOF_F2_8_plant_52</v>
      </c>
      <c r="P157" t="str">
        <f>VLOOKUP(C157,CU_ARS_2025_WOF_F2!$A$2:$K$673,3,FALSE)</f>
        <v>CU_ARS_2025_WOF_F2_8</v>
      </c>
      <c r="Q157" t="str">
        <f>VLOOKUP(C157,CU_ARS_2025_WOF_F2!$A$2:$K$673,4,FALSE)</f>
        <v>CU_ARS_2025_WOF_cross_29</v>
      </c>
      <c r="R157">
        <f>VLOOKUP(C157,CU_ARS_2025_WOF_F2!$A$2:$K$673,5,FALSE)</f>
        <v>8</v>
      </c>
      <c r="S157">
        <f>VLOOKUP(C157,CU_ARS_2025_WOF_F2!$A$2:$K$673,6,FALSE)</f>
        <v>1</v>
      </c>
      <c r="T157">
        <f>VLOOKUP(C157,CU_ARS_2025_WOF_F2!$A$2:$K$673,7,FALSE)</f>
        <v>0</v>
      </c>
      <c r="U157">
        <f>VLOOKUP(C157,CU_ARS_2025_WOF_F2!$A$2:$K$673,8,FALSE)</f>
        <v>1</v>
      </c>
      <c r="V157">
        <f>VLOOKUP(C157,CU_ARS_2025_WOF_F2!$A$2:$K$673,9,FALSE)</f>
        <v>0</v>
      </c>
      <c r="W157">
        <f>VLOOKUP(C157,CU_ARS_2025_WOF_F2!$A$2:$K$673,10,FALSE)</f>
        <v>0</v>
      </c>
      <c r="X157">
        <f>VLOOKUP(C157,CU_ARS_2025_WOF_F2!$A$2:$K$673,11,FALSE)</f>
        <v>52</v>
      </c>
      <c r="Y157" t="str">
        <f>VLOOKUP(Q157,cross_pedigree!$A$2:$B$23,2,FALSE)</f>
        <v>NC21-6429/AURORA</v>
      </c>
    </row>
    <row r="158" spans="1:25" ht="18">
      <c r="A158" s="20" t="s">
        <v>15</v>
      </c>
      <c r="B158" s="21" t="s">
        <v>16</v>
      </c>
      <c r="C158" s="22">
        <v>753690</v>
      </c>
      <c r="D158" s="23">
        <v>2</v>
      </c>
      <c r="E158" s="24" t="str">
        <f t="shared" si="2"/>
        <v>CU_ARS_2025_WOF_F2_8_plant_53</v>
      </c>
      <c r="F158" s="21" t="s">
        <v>176</v>
      </c>
      <c r="G158" s="44" t="s">
        <v>177</v>
      </c>
      <c r="H158" s="42"/>
      <c r="I158" s="42" t="s">
        <v>1023</v>
      </c>
      <c r="J158" s="42" t="s">
        <v>1003</v>
      </c>
      <c r="K158" s="42"/>
      <c r="L158" s="42"/>
      <c r="M158" s="42"/>
      <c r="N158" t="str">
        <f>VLOOKUP(C158,CU_ARS_2025_WOF_F2!$A$2:$K$673,2,FALSE)</f>
        <v>CU_ARS_2025_WOF_F2_8_plant_53</v>
      </c>
      <c r="O158" t="str">
        <f>VLOOKUP(C158,CU_ARS_2025_WOF_F2!$A$2:$K$673,2,FALSE)</f>
        <v>CU_ARS_2025_WOF_F2_8_plant_53</v>
      </c>
      <c r="P158" t="str">
        <f>VLOOKUP(C158,CU_ARS_2025_WOF_F2!$A$2:$K$673,3,FALSE)</f>
        <v>CU_ARS_2025_WOF_F2_8</v>
      </c>
      <c r="Q158" t="str">
        <f>VLOOKUP(C158,CU_ARS_2025_WOF_F2!$A$2:$K$673,4,FALSE)</f>
        <v>CU_ARS_2025_WOF_cross_29</v>
      </c>
      <c r="R158">
        <f>VLOOKUP(C158,CU_ARS_2025_WOF_F2!$A$2:$K$673,5,FALSE)</f>
        <v>8</v>
      </c>
      <c r="S158">
        <f>VLOOKUP(C158,CU_ARS_2025_WOF_F2!$A$2:$K$673,6,FALSE)</f>
        <v>1</v>
      </c>
      <c r="T158">
        <f>VLOOKUP(C158,CU_ARS_2025_WOF_F2!$A$2:$K$673,7,FALSE)</f>
        <v>0</v>
      </c>
      <c r="U158">
        <f>VLOOKUP(C158,CU_ARS_2025_WOF_F2!$A$2:$K$673,8,FALSE)</f>
        <v>1</v>
      </c>
      <c r="V158">
        <f>VLOOKUP(C158,CU_ARS_2025_WOF_F2!$A$2:$K$673,9,FALSE)</f>
        <v>0</v>
      </c>
      <c r="W158">
        <f>VLOOKUP(C158,CU_ARS_2025_WOF_F2!$A$2:$K$673,10,FALSE)</f>
        <v>0</v>
      </c>
      <c r="X158">
        <f>VLOOKUP(C158,CU_ARS_2025_WOF_F2!$A$2:$K$673,11,FALSE)</f>
        <v>53</v>
      </c>
      <c r="Y158" t="str">
        <f>VLOOKUP(Q158,cross_pedigree!$A$2:$B$23,2,FALSE)</f>
        <v>NC21-6429/AURORA</v>
      </c>
    </row>
    <row r="159" spans="1:25" ht="18">
      <c r="A159" s="20" t="s">
        <v>15</v>
      </c>
      <c r="B159" s="21" t="s">
        <v>16</v>
      </c>
      <c r="C159" s="22">
        <v>753698</v>
      </c>
      <c r="D159" s="23">
        <v>2</v>
      </c>
      <c r="E159" s="24" t="str">
        <f t="shared" si="2"/>
        <v>CU_ARS_2025_WOF_F2_8_plant_61</v>
      </c>
      <c r="F159" s="21" t="s">
        <v>178</v>
      </c>
      <c r="G159" s="44" t="s">
        <v>179</v>
      </c>
      <c r="H159" s="42"/>
      <c r="I159" s="42" t="s">
        <v>1023</v>
      </c>
      <c r="J159" s="42" t="s">
        <v>1003</v>
      </c>
      <c r="K159" s="42"/>
      <c r="L159" s="42"/>
      <c r="M159" s="42"/>
      <c r="N159" t="str">
        <f>VLOOKUP(C159,CU_ARS_2025_WOF_F2!$A$2:$K$673,2,FALSE)</f>
        <v>CU_ARS_2025_WOF_F2_8_plant_61</v>
      </c>
      <c r="O159" t="str">
        <f>VLOOKUP(C159,CU_ARS_2025_WOF_F2!$A$2:$K$673,2,FALSE)</f>
        <v>CU_ARS_2025_WOF_F2_8_plant_61</v>
      </c>
      <c r="P159" t="str">
        <f>VLOOKUP(C159,CU_ARS_2025_WOF_F2!$A$2:$K$673,3,FALSE)</f>
        <v>CU_ARS_2025_WOF_F2_8</v>
      </c>
      <c r="Q159" t="str">
        <f>VLOOKUP(C159,CU_ARS_2025_WOF_F2!$A$2:$K$673,4,FALSE)</f>
        <v>CU_ARS_2025_WOF_cross_29</v>
      </c>
      <c r="R159">
        <f>VLOOKUP(C159,CU_ARS_2025_WOF_F2!$A$2:$K$673,5,FALSE)</f>
        <v>8</v>
      </c>
      <c r="S159">
        <f>VLOOKUP(C159,CU_ARS_2025_WOF_F2!$A$2:$K$673,6,FALSE)</f>
        <v>1</v>
      </c>
      <c r="T159">
        <f>VLOOKUP(C159,CU_ARS_2025_WOF_F2!$A$2:$K$673,7,FALSE)</f>
        <v>0</v>
      </c>
      <c r="U159">
        <f>VLOOKUP(C159,CU_ARS_2025_WOF_F2!$A$2:$K$673,8,FALSE)</f>
        <v>1</v>
      </c>
      <c r="V159">
        <f>VLOOKUP(C159,CU_ARS_2025_WOF_F2!$A$2:$K$673,9,FALSE)</f>
        <v>0</v>
      </c>
      <c r="W159">
        <f>VLOOKUP(C159,CU_ARS_2025_WOF_F2!$A$2:$K$673,10,FALSE)</f>
        <v>0</v>
      </c>
      <c r="X159">
        <f>VLOOKUP(C159,CU_ARS_2025_WOF_F2!$A$2:$K$673,11,FALSE)</f>
        <v>61</v>
      </c>
      <c r="Y159" t="str">
        <f>VLOOKUP(Q159,cross_pedigree!$A$2:$B$23,2,FALSE)</f>
        <v>NC21-6429/AURORA</v>
      </c>
    </row>
    <row r="160" spans="1:25" ht="18">
      <c r="A160" s="20" t="s">
        <v>15</v>
      </c>
      <c r="B160" s="21" t="s">
        <v>16</v>
      </c>
      <c r="C160" s="22">
        <v>753697</v>
      </c>
      <c r="D160" s="23">
        <v>2</v>
      </c>
      <c r="E160" s="24" t="str">
        <f t="shared" si="2"/>
        <v>CU_ARS_2025_WOF_F2_8_plant_60</v>
      </c>
      <c r="F160" s="21" t="s">
        <v>180</v>
      </c>
      <c r="G160" s="44" t="s">
        <v>181</v>
      </c>
      <c r="H160" s="42"/>
      <c r="I160" s="42" t="s">
        <v>1023</v>
      </c>
      <c r="J160" s="42" t="s">
        <v>1003</v>
      </c>
      <c r="K160" s="42"/>
      <c r="L160" s="42"/>
      <c r="M160" s="42"/>
      <c r="N160" t="str">
        <f>VLOOKUP(C160,CU_ARS_2025_WOF_F2!$A$2:$K$673,2,FALSE)</f>
        <v>CU_ARS_2025_WOF_F2_8_plant_60</v>
      </c>
      <c r="O160" t="str">
        <f>VLOOKUP(C160,CU_ARS_2025_WOF_F2!$A$2:$K$673,2,FALSE)</f>
        <v>CU_ARS_2025_WOF_F2_8_plant_60</v>
      </c>
      <c r="P160" t="str">
        <f>VLOOKUP(C160,CU_ARS_2025_WOF_F2!$A$2:$K$673,3,FALSE)</f>
        <v>CU_ARS_2025_WOF_F2_8</v>
      </c>
      <c r="Q160" t="str">
        <f>VLOOKUP(C160,CU_ARS_2025_WOF_F2!$A$2:$K$673,4,FALSE)</f>
        <v>CU_ARS_2025_WOF_cross_29</v>
      </c>
      <c r="R160">
        <f>VLOOKUP(C160,CU_ARS_2025_WOF_F2!$A$2:$K$673,5,FALSE)</f>
        <v>8</v>
      </c>
      <c r="S160">
        <f>VLOOKUP(C160,CU_ARS_2025_WOF_F2!$A$2:$K$673,6,FALSE)</f>
        <v>1</v>
      </c>
      <c r="T160">
        <f>VLOOKUP(C160,CU_ARS_2025_WOF_F2!$A$2:$K$673,7,FALSE)</f>
        <v>0</v>
      </c>
      <c r="U160">
        <f>VLOOKUP(C160,CU_ARS_2025_WOF_F2!$A$2:$K$673,8,FALSE)</f>
        <v>1</v>
      </c>
      <c r="V160">
        <f>VLOOKUP(C160,CU_ARS_2025_WOF_F2!$A$2:$K$673,9,FALSE)</f>
        <v>0</v>
      </c>
      <c r="W160">
        <f>VLOOKUP(C160,CU_ARS_2025_WOF_F2!$A$2:$K$673,10,FALSE)</f>
        <v>0</v>
      </c>
      <c r="X160">
        <f>VLOOKUP(C160,CU_ARS_2025_WOF_F2!$A$2:$K$673,11,FALSE)</f>
        <v>60</v>
      </c>
      <c r="Y160" t="str">
        <f>VLOOKUP(Q160,cross_pedigree!$A$2:$B$23,2,FALSE)</f>
        <v>NC21-6429/AURORA</v>
      </c>
    </row>
    <row r="161" spans="1:25" ht="18">
      <c r="A161" s="20" t="s">
        <v>15</v>
      </c>
      <c r="B161" s="21" t="s">
        <v>16</v>
      </c>
      <c r="C161" s="22">
        <v>753696</v>
      </c>
      <c r="D161" s="23">
        <v>2</v>
      </c>
      <c r="E161" s="24" t="str">
        <f t="shared" si="2"/>
        <v>CU_ARS_2025_WOF_F2_8_plant_59</v>
      </c>
      <c r="F161" s="21" t="s">
        <v>182</v>
      </c>
      <c r="G161" s="44" t="s">
        <v>183</v>
      </c>
      <c r="H161" s="42"/>
      <c r="I161" s="42" t="s">
        <v>1023</v>
      </c>
      <c r="J161" s="42" t="s">
        <v>1003</v>
      </c>
      <c r="K161" s="42"/>
      <c r="L161" s="42"/>
      <c r="M161" s="42"/>
      <c r="N161" t="str">
        <f>VLOOKUP(C161,CU_ARS_2025_WOF_F2!$A$2:$K$673,2,FALSE)</f>
        <v>CU_ARS_2025_WOF_F2_8_plant_59</v>
      </c>
      <c r="O161" t="str">
        <f>VLOOKUP(C161,CU_ARS_2025_WOF_F2!$A$2:$K$673,2,FALSE)</f>
        <v>CU_ARS_2025_WOF_F2_8_plant_59</v>
      </c>
      <c r="P161" t="str">
        <f>VLOOKUP(C161,CU_ARS_2025_WOF_F2!$A$2:$K$673,3,FALSE)</f>
        <v>CU_ARS_2025_WOF_F2_8</v>
      </c>
      <c r="Q161" t="str">
        <f>VLOOKUP(C161,CU_ARS_2025_WOF_F2!$A$2:$K$673,4,FALSE)</f>
        <v>CU_ARS_2025_WOF_cross_29</v>
      </c>
      <c r="R161">
        <f>VLOOKUP(C161,CU_ARS_2025_WOF_F2!$A$2:$K$673,5,FALSE)</f>
        <v>8</v>
      </c>
      <c r="S161">
        <f>VLOOKUP(C161,CU_ARS_2025_WOF_F2!$A$2:$K$673,6,FALSE)</f>
        <v>1</v>
      </c>
      <c r="T161">
        <f>VLOOKUP(C161,CU_ARS_2025_WOF_F2!$A$2:$K$673,7,FALSE)</f>
        <v>0</v>
      </c>
      <c r="U161">
        <f>VLOOKUP(C161,CU_ARS_2025_WOF_F2!$A$2:$K$673,8,FALSE)</f>
        <v>1</v>
      </c>
      <c r="V161">
        <f>VLOOKUP(C161,CU_ARS_2025_WOF_F2!$A$2:$K$673,9,FALSE)</f>
        <v>0</v>
      </c>
      <c r="W161">
        <f>VLOOKUP(C161,CU_ARS_2025_WOF_F2!$A$2:$K$673,10,FALSE)</f>
        <v>0</v>
      </c>
      <c r="X161">
        <f>VLOOKUP(C161,CU_ARS_2025_WOF_F2!$A$2:$K$673,11,FALSE)</f>
        <v>59</v>
      </c>
      <c r="Y161" t="str">
        <f>VLOOKUP(Q161,cross_pedigree!$A$2:$B$23,2,FALSE)</f>
        <v>NC21-6429/AURORA</v>
      </c>
    </row>
    <row r="162" spans="1:25" ht="18">
      <c r="A162" s="20" t="s">
        <v>15</v>
      </c>
      <c r="B162" s="21" t="s">
        <v>16</v>
      </c>
      <c r="C162" s="22">
        <v>753695</v>
      </c>
      <c r="D162" s="23">
        <v>2</v>
      </c>
      <c r="E162" s="24" t="str">
        <f t="shared" si="2"/>
        <v>CU_ARS_2025_WOF_F2_8_plant_58</v>
      </c>
      <c r="F162" s="21" t="s">
        <v>39</v>
      </c>
      <c r="G162" s="44" t="s">
        <v>40</v>
      </c>
      <c r="H162" s="42"/>
      <c r="I162" s="42" t="s">
        <v>1023</v>
      </c>
      <c r="J162" s="42" t="s">
        <v>1003</v>
      </c>
      <c r="K162" s="42"/>
      <c r="L162" s="42"/>
      <c r="M162" s="42"/>
      <c r="N162" t="str">
        <f>VLOOKUP(C162,CU_ARS_2025_WOF_F2!$A$2:$K$673,2,FALSE)</f>
        <v>CU_ARS_2025_WOF_F2_8_plant_58</v>
      </c>
      <c r="O162" t="str">
        <f>VLOOKUP(C162,CU_ARS_2025_WOF_F2!$A$2:$K$673,2,FALSE)</f>
        <v>CU_ARS_2025_WOF_F2_8_plant_58</v>
      </c>
      <c r="P162" t="str">
        <f>VLOOKUP(C162,CU_ARS_2025_WOF_F2!$A$2:$K$673,3,FALSE)</f>
        <v>CU_ARS_2025_WOF_F2_8</v>
      </c>
      <c r="Q162" t="str">
        <f>VLOOKUP(C162,CU_ARS_2025_WOF_F2!$A$2:$K$673,4,FALSE)</f>
        <v>CU_ARS_2025_WOF_cross_29</v>
      </c>
      <c r="R162">
        <f>VLOOKUP(C162,CU_ARS_2025_WOF_F2!$A$2:$K$673,5,FALSE)</f>
        <v>8</v>
      </c>
      <c r="S162">
        <f>VLOOKUP(C162,CU_ARS_2025_WOF_F2!$A$2:$K$673,6,FALSE)</f>
        <v>1</v>
      </c>
      <c r="T162">
        <f>VLOOKUP(C162,CU_ARS_2025_WOF_F2!$A$2:$K$673,7,FALSE)</f>
        <v>0</v>
      </c>
      <c r="U162">
        <f>VLOOKUP(C162,CU_ARS_2025_WOF_F2!$A$2:$K$673,8,FALSE)</f>
        <v>1</v>
      </c>
      <c r="V162">
        <f>VLOOKUP(C162,CU_ARS_2025_WOF_F2!$A$2:$K$673,9,FALSE)</f>
        <v>0</v>
      </c>
      <c r="W162">
        <f>VLOOKUP(C162,CU_ARS_2025_WOF_F2!$A$2:$K$673,10,FALSE)</f>
        <v>0</v>
      </c>
      <c r="X162">
        <f>VLOOKUP(C162,CU_ARS_2025_WOF_F2!$A$2:$K$673,11,FALSE)</f>
        <v>58</v>
      </c>
      <c r="Y162" t="str">
        <f>VLOOKUP(Q162,cross_pedigree!$A$2:$B$23,2,FALSE)</f>
        <v>NC21-6429/AURORA</v>
      </c>
    </row>
    <row r="163" spans="1:25" ht="18">
      <c r="A163" s="20" t="s">
        <v>15</v>
      </c>
      <c r="B163" s="21" t="s">
        <v>16</v>
      </c>
      <c r="C163" s="22">
        <v>753694</v>
      </c>
      <c r="D163" s="23">
        <v>2</v>
      </c>
      <c r="E163" s="24" t="str">
        <f t="shared" si="2"/>
        <v>CU_ARS_2025_WOF_F2_8_plant_57</v>
      </c>
      <c r="F163" s="21" t="s">
        <v>41</v>
      </c>
      <c r="G163" s="44" t="s">
        <v>42</v>
      </c>
      <c r="H163" s="42"/>
      <c r="I163" s="42" t="s">
        <v>1023</v>
      </c>
      <c r="J163" s="42" t="s">
        <v>1003</v>
      </c>
      <c r="K163" s="42"/>
      <c r="L163" s="42"/>
      <c r="M163" s="42"/>
      <c r="N163" t="str">
        <f>VLOOKUP(C163,CU_ARS_2025_WOF_F2!$A$2:$K$673,2,FALSE)</f>
        <v>CU_ARS_2025_WOF_F2_8_plant_57</v>
      </c>
      <c r="O163" t="str">
        <f>VLOOKUP(C163,CU_ARS_2025_WOF_F2!$A$2:$K$673,2,FALSE)</f>
        <v>CU_ARS_2025_WOF_F2_8_plant_57</v>
      </c>
      <c r="P163" t="str">
        <f>VLOOKUP(C163,CU_ARS_2025_WOF_F2!$A$2:$K$673,3,FALSE)</f>
        <v>CU_ARS_2025_WOF_F2_8</v>
      </c>
      <c r="Q163" t="str">
        <f>VLOOKUP(C163,CU_ARS_2025_WOF_F2!$A$2:$K$673,4,FALSE)</f>
        <v>CU_ARS_2025_WOF_cross_29</v>
      </c>
      <c r="R163">
        <f>VLOOKUP(C163,CU_ARS_2025_WOF_F2!$A$2:$K$673,5,FALSE)</f>
        <v>8</v>
      </c>
      <c r="S163">
        <f>VLOOKUP(C163,CU_ARS_2025_WOF_F2!$A$2:$K$673,6,FALSE)</f>
        <v>1</v>
      </c>
      <c r="T163">
        <f>VLOOKUP(C163,CU_ARS_2025_WOF_F2!$A$2:$K$673,7,FALSE)</f>
        <v>0</v>
      </c>
      <c r="U163">
        <f>VLOOKUP(C163,CU_ARS_2025_WOF_F2!$A$2:$K$673,8,FALSE)</f>
        <v>1</v>
      </c>
      <c r="V163">
        <f>VLOOKUP(C163,CU_ARS_2025_WOF_F2!$A$2:$K$673,9,FALSE)</f>
        <v>0</v>
      </c>
      <c r="W163">
        <f>VLOOKUP(C163,CU_ARS_2025_WOF_F2!$A$2:$K$673,10,FALSE)</f>
        <v>0</v>
      </c>
      <c r="X163">
        <f>VLOOKUP(C163,CU_ARS_2025_WOF_F2!$A$2:$K$673,11,FALSE)</f>
        <v>57</v>
      </c>
      <c r="Y163" t="str">
        <f>VLOOKUP(Q163,cross_pedigree!$A$2:$B$23,2,FALSE)</f>
        <v>NC21-6429/AURORA</v>
      </c>
    </row>
    <row r="164" spans="1:25" ht="18">
      <c r="A164" s="20" t="s">
        <v>15</v>
      </c>
      <c r="B164" s="21" t="s">
        <v>16</v>
      </c>
      <c r="C164" s="22">
        <v>753699</v>
      </c>
      <c r="D164" s="23">
        <v>2</v>
      </c>
      <c r="E164" s="24" t="str">
        <f t="shared" si="2"/>
        <v>CU_ARS_2025_WOF_F2_8_plant_62</v>
      </c>
      <c r="F164" s="21" t="s">
        <v>184</v>
      </c>
      <c r="G164" s="44" t="s">
        <v>185</v>
      </c>
      <c r="H164" s="42"/>
      <c r="I164" s="42" t="s">
        <v>1023</v>
      </c>
      <c r="J164" s="42" t="s">
        <v>1003</v>
      </c>
      <c r="K164" s="42"/>
      <c r="L164" s="42"/>
      <c r="M164" s="42"/>
      <c r="N164" t="str">
        <f>VLOOKUP(C164,CU_ARS_2025_WOF_F2!$A$2:$K$673,2,FALSE)</f>
        <v>CU_ARS_2025_WOF_F2_8_plant_62</v>
      </c>
      <c r="O164" t="str">
        <f>VLOOKUP(C164,CU_ARS_2025_WOF_F2!$A$2:$K$673,2,FALSE)</f>
        <v>CU_ARS_2025_WOF_F2_8_plant_62</v>
      </c>
      <c r="P164" t="str">
        <f>VLOOKUP(C164,CU_ARS_2025_WOF_F2!$A$2:$K$673,3,FALSE)</f>
        <v>CU_ARS_2025_WOF_F2_8</v>
      </c>
      <c r="Q164" t="str">
        <f>VLOOKUP(C164,CU_ARS_2025_WOF_F2!$A$2:$K$673,4,FALSE)</f>
        <v>CU_ARS_2025_WOF_cross_29</v>
      </c>
      <c r="R164">
        <f>VLOOKUP(C164,CU_ARS_2025_WOF_F2!$A$2:$K$673,5,FALSE)</f>
        <v>8</v>
      </c>
      <c r="S164">
        <f>VLOOKUP(C164,CU_ARS_2025_WOF_F2!$A$2:$K$673,6,FALSE)</f>
        <v>1</v>
      </c>
      <c r="T164">
        <f>VLOOKUP(C164,CU_ARS_2025_WOF_F2!$A$2:$K$673,7,FALSE)</f>
        <v>0</v>
      </c>
      <c r="U164">
        <f>VLOOKUP(C164,CU_ARS_2025_WOF_F2!$A$2:$K$673,8,FALSE)</f>
        <v>1</v>
      </c>
      <c r="V164">
        <f>VLOOKUP(C164,CU_ARS_2025_WOF_F2!$A$2:$K$673,9,FALSE)</f>
        <v>0</v>
      </c>
      <c r="W164">
        <f>VLOOKUP(C164,CU_ARS_2025_WOF_F2!$A$2:$K$673,10,FALSE)</f>
        <v>0</v>
      </c>
      <c r="X164">
        <f>VLOOKUP(C164,CU_ARS_2025_WOF_F2!$A$2:$K$673,11,FALSE)</f>
        <v>62</v>
      </c>
      <c r="Y164" t="str">
        <f>VLOOKUP(Q164,cross_pedigree!$A$2:$B$23,2,FALSE)</f>
        <v>NC21-6429/AURORA</v>
      </c>
    </row>
    <row r="165" spans="1:25" ht="18">
      <c r="A165" s="20" t="s">
        <v>15</v>
      </c>
      <c r="B165" s="21" t="s">
        <v>16</v>
      </c>
      <c r="C165" s="22">
        <v>753700</v>
      </c>
      <c r="D165" s="23">
        <v>2</v>
      </c>
      <c r="E165" s="24" t="str">
        <f t="shared" si="2"/>
        <v>CU_ARS_2025_WOF_F2_8_plant_63</v>
      </c>
      <c r="F165" s="21" t="s">
        <v>186</v>
      </c>
      <c r="G165" s="44" t="s">
        <v>187</v>
      </c>
      <c r="H165" s="42"/>
      <c r="I165" s="42" t="s">
        <v>1023</v>
      </c>
      <c r="J165" s="42" t="s">
        <v>1003</v>
      </c>
      <c r="K165" s="42"/>
      <c r="L165" s="42"/>
      <c r="M165" s="42"/>
      <c r="N165" t="str">
        <f>VLOOKUP(C165,CU_ARS_2025_WOF_F2!$A$2:$K$673,2,FALSE)</f>
        <v>CU_ARS_2025_WOF_F2_8_plant_63</v>
      </c>
      <c r="O165" t="str">
        <f>VLOOKUP(C165,CU_ARS_2025_WOF_F2!$A$2:$K$673,2,FALSE)</f>
        <v>CU_ARS_2025_WOF_F2_8_plant_63</v>
      </c>
      <c r="P165" t="str">
        <f>VLOOKUP(C165,CU_ARS_2025_WOF_F2!$A$2:$K$673,3,FALSE)</f>
        <v>CU_ARS_2025_WOF_F2_8</v>
      </c>
      <c r="Q165" t="str">
        <f>VLOOKUP(C165,CU_ARS_2025_WOF_F2!$A$2:$K$673,4,FALSE)</f>
        <v>CU_ARS_2025_WOF_cross_29</v>
      </c>
      <c r="R165">
        <f>VLOOKUP(C165,CU_ARS_2025_WOF_F2!$A$2:$K$673,5,FALSE)</f>
        <v>8</v>
      </c>
      <c r="S165">
        <f>VLOOKUP(C165,CU_ARS_2025_WOF_F2!$A$2:$K$673,6,FALSE)</f>
        <v>1</v>
      </c>
      <c r="T165">
        <f>VLOOKUP(C165,CU_ARS_2025_WOF_F2!$A$2:$K$673,7,FALSE)</f>
        <v>0</v>
      </c>
      <c r="U165">
        <f>VLOOKUP(C165,CU_ARS_2025_WOF_F2!$A$2:$K$673,8,FALSE)</f>
        <v>1</v>
      </c>
      <c r="V165">
        <f>VLOOKUP(C165,CU_ARS_2025_WOF_F2!$A$2:$K$673,9,FALSE)</f>
        <v>0</v>
      </c>
      <c r="W165">
        <f>VLOOKUP(C165,CU_ARS_2025_WOF_F2!$A$2:$K$673,10,FALSE)</f>
        <v>0</v>
      </c>
      <c r="X165">
        <f>VLOOKUP(C165,CU_ARS_2025_WOF_F2!$A$2:$K$673,11,FALSE)</f>
        <v>63</v>
      </c>
      <c r="Y165" t="str">
        <f>VLOOKUP(Q165,cross_pedigree!$A$2:$B$23,2,FALSE)</f>
        <v>NC21-6429/AURORA</v>
      </c>
    </row>
    <row r="166" spans="1:25" ht="18">
      <c r="A166" s="20" t="s">
        <v>15</v>
      </c>
      <c r="B166" s="21" t="s">
        <v>16</v>
      </c>
      <c r="C166" s="22">
        <v>753701</v>
      </c>
      <c r="D166" s="23">
        <v>2</v>
      </c>
      <c r="E166" s="24" t="str">
        <f t="shared" si="2"/>
        <v>CU_ARS_2025_WOF_F2_8_plant_64</v>
      </c>
      <c r="F166" s="21" t="s">
        <v>188</v>
      </c>
      <c r="G166" s="44" t="s">
        <v>189</v>
      </c>
      <c r="H166" s="42"/>
      <c r="I166" s="42" t="s">
        <v>1023</v>
      </c>
      <c r="J166" s="42" t="s">
        <v>1003</v>
      </c>
      <c r="K166" s="42"/>
      <c r="L166" s="42"/>
      <c r="M166" s="42"/>
      <c r="N166" t="str">
        <f>VLOOKUP(C166,CU_ARS_2025_WOF_F2!$A$2:$K$673,2,FALSE)</f>
        <v>CU_ARS_2025_WOF_F2_8_plant_64</v>
      </c>
      <c r="O166" t="str">
        <f>VLOOKUP(C166,CU_ARS_2025_WOF_F2!$A$2:$K$673,2,FALSE)</f>
        <v>CU_ARS_2025_WOF_F2_8_plant_64</v>
      </c>
      <c r="P166" t="str">
        <f>VLOOKUP(C166,CU_ARS_2025_WOF_F2!$A$2:$K$673,3,FALSE)</f>
        <v>CU_ARS_2025_WOF_F2_8</v>
      </c>
      <c r="Q166" t="str">
        <f>VLOOKUP(C166,CU_ARS_2025_WOF_F2!$A$2:$K$673,4,FALSE)</f>
        <v>CU_ARS_2025_WOF_cross_29</v>
      </c>
      <c r="R166">
        <f>VLOOKUP(C166,CU_ARS_2025_WOF_F2!$A$2:$K$673,5,FALSE)</f>
        <v>8</v>
      </c>
      <c r="S166">
        <f>VLOOKUP(C166,CU_ARS_2025_WOF_F2!$A$2:$K$673,6,FALSE)</f>
        <v>1</v>
      </c>
      <c r="T166">
        <f>VLOOKUP(C166,CU_ARS_2025_WOF_F2!$A$2:$K$673,7,FALSE)</f>
        <v>0</v>
      </c>
      <c r="U166">
        <f>VLOOKUP(C166,CU_ARS_2025_WOF_F2!$A$2:$K$673,8,FALSE)</f>
        <v>1</v>
      </c>
      <c r="V166">
        <f>VLOOKUP(C166,CU_ARS_2025_WOF_F2!$A$2:$K$673,9,FALSE)</f>
        <v>0</v>
      </c>
      <c r="W166">
        <f>VLOOKUP(C166,CU_ARS_2025_WOF_F2!$A$2:$K$673,10,FALSE)</f>
        <v>0</v>
      </c>
      <c r="X166">
        <f>VLOOKUP(C166,CU_ARS_2025_WOF_F2!$A$2:$K$673,11,FALSE)</f>
        <v>64</v>
      </c>
      <c r="Y166" t="str">
        <f>VLOOKUP(Q166,cross_pedigree!$A$2:$B$23,2,FALSE)</f>
        <v>NC21-6429/AURORA</v>
      </c>
    </row>
    <row r="167" spans="1:25" ht="18">
      <c r="A167" s="20" t="s">
        <v>15</v>
      </c>
      <c r="B167" s="21" t="s">
        <v>16</v>
      </c>
      <c r="C167" s="22">
        <v>753708</v>
      </c>
      <c r="D167" s="23">
        <v>2</v>
      </c>
      <c r="E167" s="24" t="str">
        <f t="shared" si="2"/>
        <v>CU_ARS_2025_WOF_F2_8_plant_71</v>
      </c>
      <c r="F167" s="21" t="s">
        <v>190</v>
      </c>
      <c r="G167" s="44" t="s">
        <v>191</v>
      </c>
      <c r="H167" s="42"/>
      <c r="I167" s="42" t="s">
        <v>1023</v>
      </c>
      <c r="J167" s="42" t="s">
        <v>1003</v>
      </c>
      <c r="K167" s="42"/>
      <c r="L167" s="42"/>
      <c r="M167" s="42"/>
      <c r="N167" t="str">
        <f>VLOOKUP(C167,CU_ARS_2025_WOF_F2!$A$2:$K$673,2,FALSE)</f>
        <v>CU_ARS_2025_WOF_F2_8_plant_71</v>
      </c>
      <c r="O167" t="str">
        <f>VLOOKUP(C167,CU_ARS_2025_WOF_F2!$A$2:$K$673,2,FALSE)</f>
        <v>CU_ARS_2025_WOF_F2_8_plant_71</v>
      </c>
      <c r="P167" t="str">
        <f>VLOOKUP(C167,CU_ARS_2025_WOF_F2!$A$2:$K$673,3,FALSE)</f>
        <v>CU_ARS_2025_WOF_F2_8</v>
      </c>
      <c r="Q167" t="str">
        <f>VLOOKUP(C167,CU_ARS_2025_WOF_F2!$A$2:$K$673,4,FALSE)</f>
        <v>CU_ARS_2025_WOF_cross_29</v>
      </c>
      <c r="R167">
        <f>VLOOKUP(C167,CU_ARS_2025_WOF_F2!$A$2:$K$673,5,FALSE)</f>
        <v>8</v>
      </c>
      <c r="S167">
        <f>VLOOKUP(C167,CU_ARS_2025_WOF_F2!$A$2:$K$673,6,FALSE)</f>
        <v>1</v>
      </c>
      <c r="T167">
        <f>VLOOKUP(C167,CU_ARS_2025_WOF_F2!$A$2:$K$673,7,FALSE)</f>
        <v>0</v>
      </c>
      <c r="U167">
        <f>VLOOKUP(C167,CU_ARS_2025_WOF_F2!$A$2:$K$673,8,FALSE)</f>
        <v>1</v>
      </c>
      <c r="V167">
        <f>VLOOKUP(C167,CU_ARS_2025_WOF_F2!$A$2:$K$673,9,FALSE)</f>
        <v>0</v>
      </c>
      <c r="W167">
        <f>VLOOKUP(C167,CU_ARS_2025_WOF_F2!$A$2:$K$673,10,FALSE)</f>
        <v>0</v>
      </c>
      <c r="X167">
        <f>VLOOKUP(C167,CU_ARS_2025_WOF_F2!$A$2:$K$673,11,FALSE)</f>
        <v>71</v>
      </c>
      <c r="Y167" t="str">
        <f>VLOOKUP(Q167,cross_pedigree!$A$2:$B$23,2,FALSE)</f>
        <v>NC21-6429/AURORA</v>
      </c>
    </row>
    <row r="168" spans="1:25" ht="18">
      <c r="A168" s="20" t="s">
        <v>15</v>
      </c>
      <c r="B168" s="21" t="s">
        <v>16</v>
      </c>
      <c r="C168" s="22">
        <v>753707</v>
      </c>
      <c r="D168" s="23">
        <v>2</v>
      </c>
      <c r="E168" s="24" t="str">
        <f t="shared" si="2"/>
        <v>CU_ARS_2025_WOF_F2_8_plant_70</v>
      </c>
      <c r="F168" s="21" t="s">
        <v>192</v>
      </c>
      <c r="G168" s="44" t="s">
        <v>193</v>
      </c>
      <c r="H168" s="42"/>
      <c r="I168" s="42" t="s">
        <v>1023</v>
      </c>
      <c r="J168" s="42" t="s">
        <v>1003</v>
      </c>
      <c r="K168" s="42"/>
      <c r="L168" s="42"/>
      <c r="M168" s="42"/>
      <c r="N168" t="str">
        <f>VLOOKUP(C168,CU_ARS_2025_WOF_F2!$A$2:$K$673,2,FALSE)</f>
        <v>CU_ARS_2025_WOF_F2_8_plant_70</v>
      </c>
      <c r="O168" t="str">
        <f>VLOOKUP(C168,CU_ARS_2025_WOF_F2!$A$2:$K$673,2,FALSE)</f>
        <v>CU_ARS_2025_WOF_F2_8_plant_70</v>
      </c>
      <c r="P168" t="str">
        <f>VLOOKUP(C168,CU_ARS_2025_WOF_F2!$A$2:$K$673,3,FALSE)</f>
        <v>CU_ARS_2025_WOF_F2_8</v>
      </c>
      <c r="Q168" t="str">
        <f>VLOOKUP(C168,CU_ARS_2025_WOF_F2!$A$2:$K$673,4,FALSE)</f>
        <v>CU_ARS_2025_WOF_cross_29</v>
      </c>
      <c r="R168">
        <f>VLOOKUP(C168,CU_ARS_2025_WOF_F2!$A$2:$K$673,5,FALSE)</f>
        <v>8</v>
      </c>
      <c r="S168">
        <f>VLOOKUP(C168,CU_ARS_2025_WOF_F2!$A$2:$K$673,6,FALSE)</f>
        <v>1</v>
      </c>
      <c r="T168">
        <f>VLOOKUP(C168,CU_ARS_2025_WOF_F2!$A$2:$K$673,7,FALSE)</f>
        <v>0</v>
      </c>
      <c r="U168">
        <f>VLOOKUP(C168,CU_ARS_2025_WOF_F2!$A$2:$K$673,8,FALSE)</f>
        <v>1</v>
      </c>
      <c r="V168">
        <f>VLOOKUP(C168,CU_ARS_2025_WOF_F2!$A$2:$K$673,9,FALSE)</f>
        <v>0</v>
      </c>
      <c r="W168">
        <f>VLOOKUP(C168,CU_ARS_2025_WOF_F2!$A$2:$K$673,10,FALSE)</f>
        <v>0</v>
      </c>
      <c r="X168">
        <f>VLOOKUP(C168,CU_ARS_2025_WOF_F2!$A$2:$K$673,11,FALSE)</f>
        <v>70</v>
      </c>
      <c r="Y168" t="str">
        <f>VLOOKUP(Q168,cross_pedigree!$A$2:$B$23,2,FALSE)</f>
        <v>NC21-6429/AURORA</v>
      </c>
    </row>
    <row r="169" spans="1:25" ht="18">
      <c r="A169" s="20" t="s">
        <v>15</v>
      </c>
      <c r="B169" s="21" t="s">
        <v>16</v>
      </c>
      <c r="C169" s="22">
        <v>753702</v>
      </c>
      <c r="D169" s="23">
        <v>2</v>
      </c>
      <c r="E169" s="24" t="str">
        <f t="shared" si="2"/>
        <v>CU_ARS_2025_WOF_F2_8_plant_65</v>
      </c>
      <c r="F169" s="21" t="s">
        <v>194</v>
      </c>
      <c r="G169" s="44" t="s">
        <v>195</v>
      </c>
      <c r="H169" s="42"/>
      <c r="I169" s="42" t="s">
        <v>1023</v>
      </c>
      <c r="J169" s="42" t="s">
        <v>1003</v>
      </c>
      <c r="K169" s="42"/>
      <c r="L169" s="42"/>
      <c r="M169" s="42"/>
      <c r="N169" t="str">
        <f>VLOOKUP(C169,CU_ARS_2025_WOF_F2!$A$2:$K$673,2,FALSE)</f>
        <v>CU_ARS_2025_WOF_F2_8_plant_65</v>
      </c>
      <c r="O169" t="str">
        <f>VLOOKUP(C169,CU_ARS_2025_WOF_F2!$A$2:$K$673,2,FALSE)</f>
        <v>CU_ARS_2025_WOF_F2_8_plant_65</v>
      </c>
      <c r="P169" t="str">
        <f>VLOOKUP(C169,CU_ARS_2025_WOF_F2!$A$2:$K$673,3,FALSE)</f>
        <v>CU_ARS_2025_WOF_F2_8</v>
      </c>
      <c r="Q169" t="str">
        <f>VLOOKUP(C169,CU_ARS_2025_WOF_F2!$A$2:$K$673,4,FALSE)</f>
        <v>CU_ARS_2025_WOF_cross_29</v>
      </c>
      <c r="R169">
        <f>VLOOKUP(C169,CU_ARS_2025_WOF_F2!$A$2:$K$673,5,FALSE)</f>
        <v>8</v>
      </c>
      <c r="S169">
        <f>VLOOKUP(C169,CU_ARS_2025_WOF_F2!$A$2:$K$673,6,FALSE)</f>
        <v>1</v>
      </c>
      <c r="T169">
        <f>VLOOKUP(C169,CU_ARS_2025_WOF_F2!$A$2:$K$673,7,FALSE)</f>
        <v>0</v>
      </c>
      <c r="U169">
        <f>VLOOKUP(C169,CU_ARS_2025_WOF_F2!$A$2:$K$673,8,FALSE)</f>
        <v>1</v>
      </c>
      <c r="V169">
        <f>VLOOKUP(C169,CU_ARS_2025_WOF_F2!$A$2:$K$673,9,FALSE)</f>
        <v>0</v>
      </c>
      <c r="W169">
        <f>VLOOKUP(C169,CU_ARS_2025_WOF_F2!$A$2:$K$673,10,FALSE)</f>
        <v>0</v>
      </c>
      <c r="X169">
        <f>VLOOKUP(C169,CU_ARS_2025_WOF_F2!$A$2:$K$673,11,FALSE)</f>
        <v>65</v>
      </c>
      <c r="Y169" t="str">
        <f>VLOOKUP(Q169,cross_pedigree!$A$2:$B$23,2,FALSE)</f>
        <v>NC21-6429/AURORA</v>
      </c>
    </row>
    <row r="170" spans="1:25" ht="18">
      <c r="A170" s="20" t="s">
        <v>15</v>
      </c>
      <c r="B170" s="21" t="s">
        <v>16</v>
      </c>
      <c r="C170" s="22">
        <v>753703</v>
      </c>
      <c r="D170" s="23">
        <v>2</v>
      </c>
      <c r="E170" s="24" t="str">
        <f t="shared" si="2"/>
        <v>CU_ARS_2025_WOF_F2_8_plant_66</v>
      </c>
      <c r="F170" s="21" t="s">
        <v>196</v>
      </c>
      <c r="G170" s="44" t="s">
        <v>197</v>
      </c>
      <c r="H170" s="42"/>
      <c r="I170" s="42" t="s">
        <v>1023</v>
      </c>
      <c r="J170" s="42" t="s">
        <v>1003</v>
      </c>
      <c r="K170" s="42"/>
      <c r="L170" s="42"/>
      <c r="M170" s="42"/>
      <c r="N170" t="str">
        <f>VLOOKUP(C170,CU_ARS_2025_WOF_F2!$A$2:$K$673,2,FALSE)</f>
        <v>CU_ARS_2025_WOF_F2_8_plant_66</v>
      </c>
      <c r="O170" t="str">
        <f>VLOOKUP(C170,CU_ARS_2025_WOF_F2!$A$2:$K$673,2,FALSE)</f>
        <v>CU_ARS_2025_WOF_F2_8_plant_66</v>
      </c>
      <c r="P170" t="str">
        <f>VLOOKUP(C170,CU_ARS_2025_WOF_F2!$A$2:$K$673,3,FALSE)</f>
        <v>CU_ARS_2025_WOF_F2_8</v>
      </c>
      <c r="Q170" t="str">
        <f>VLOOKUP(C170,CU_ARS_2025_WOF_F2!$A$2:$K$673,4,FALSE)</f>
        <v>CU_ARS_2025_WOF_cross_29</v>
      </c>
      <c r="R170">
        <f>VLOOKUP(C170,CU_ARS_2025_WOF_F2!$A$2:$K$673,5,FALSE)</f>
        <v>8</v>
      </c>
      <c r="S170">
        <f>VLOOKUP(C170,CU_ARS_2025_WOF_F2!$A$2:$K$673,6,FALSE)</f>
        <v>1</v>
      </c>
      <c r="T170">
        <f>VLOOKUP(C170,CU_ARS_2025_WOF_F2!$A$2:$K$673,7,FALSE)</f>
        <v>0</v>
      </c>
      <c r="U170">
        <f>VLOOKUP(C170,CU_ARS_2025_WOF_F2!$A$2:$K$673,8,FALSE)</f>
        <v>1</v>
      </c>
      <c r="V170">
        <f>VLOOKUP(C170,CU_ARS_2025_WOF_F2!$A$2:$K$673,9,FALSE)</f>
        <v>0</v>
      </c>
      <c r="W170">
        <f>VLOOKUP(C170,CU_ARS_2025_WOF_F2!$A$2:$K$673,10,FALSE)</f>
        <v>0</v>
      </c>
      <c r="X170">
        <f>VLOOKUP(C170,CU_ARS_2025_WOF_F2!$A$2:$K$673,11,FALSE)</f>
        <v>66</v>
      </c>
      <c r="Y170" t="str">
        <f>VLOOKUP(Q170,cross_pedigree!$A$2:$B$23,2,FALSE)</f>
        <v>NC21-6429/AURORA</v>
      </c>
    </row>
    <row r="171" spans="1:25" ht="18">
      <c r="A171" s="20" t="s">
        <v>15</v>
      </c>
      <c r="B171" s="21" t="s">
        <v>16</v>
      </c>
      <c r="C171" s="22">
        <v>753704</v>
      </c>
      <c r="D171" s="23">
        <v>2</v>
      </c>
      <c r="E171" s="24" t="str">
        <f t="shared" si="2"/>
        <v>CU_ARS_2025_WOF_F2_8_plant_67</v>
      </c>
      <c r="F171" s="21" t="s">
        <v>198</v>
      </c>
      <c r="G171" s="44" t="s">
        <v>199</v>
      </c>
      <c r="H171" s="42"/>
      <c r="I171" s="42" t="s">
        <v>1023</v>
      </c>
      <c r="J171" s="42" t="s">
        <v>1003</v>
      </c>
      <c r="K171" s="42"/>
      <c r="L171" s="42"/>
      <c r="M171" s="42"/>
      <c r="N171" t="str">
        <f>VLOOKUP(C171,CU_ARS_2025_WOF_F2!$A$2:$K$673,2,FALSE)</f>
        <v>CU_ARS_2025_WOF_F2_8_plant_67</v>
      </c>
      <c r="O171" t="str">
        <f>VLOOKUP(C171,CU_ARS_2025_WOF_F2!$A$2:$K$673,2,FALSE)</f>
        <v>CU_ARS_2025_WOF_F2_8_plant_67</v>
      </c>
      <c r="P171" t="str">
        <f>VLOOKUP(C171,CU_ARS_2025_WOF_F2!$A$2:$K$673,3,FALSE)</f>
        <v>CU_ARS_2025_WOF_F2_8</v>
      </c>
      <c r="Q171" t="str">
        <f>VLOOKUP(C171,CU_ARS_2025_WOF_F2!$A$2:$K$673,4,FALSE)</f>
        <v>CU_ARS_2025_WOF_cross_29</v>
      </c>
      <c r="R171">
        <f>VLOOKUP(C171,CU_ARS_2025_WOF_F2!$A$2:$K$673,5,FALSE)</f>
        <v>8</v>
      </c>
      <c r="S171">
        <f>VLOOKUP(C171,CU_ARS_2025_WOF_F2!$A$2:$K$673,6,FALSE)</f>
        <v>1</v>
      </c>
      <c r="T171">
        <f>VLOOKUP(C171,CU_ARS_2025_WOF_F2!$A$2:$K$673,7,FALSE)</f>
        <v>0</v>
      </c>
      <c r="U171">
        <f>VLOOKUP(C171,CU_ARS_2025_WOF_F2!$A$2:$K$673,8,FALSE)</f>
        <v>1</v>
      </c>
      <c r="V171">
        <f>VLOOKUP(C171,CU_ARS_2025_WOF_F2!$A$2:$K$673,9,FALSE)</f>
        <v>0</v>
      </c>
      <c r="W171">
        <f>VLOOKUP(C171,CU_ARS_2025_WOF_F2!$A$2:$K$673,10,FALSE)</f>
        <v>0</v>
      </c>
      <c r="X171">
        <f>VLOOKUP(C171,CU_ARS_2025_WOF_F2!$A$2:$K$673,11,FALSE)</f>
        <v>67</v>
      </c>
      <c r="Y171" t="str">
        <f>VLOOKUP(Q171,cross_pedigree!$A$2:$B$23,2,FALSE)</f>
        <v>NC21-6429/AURORA</v>
      </c>
    </row>
    <row r="172" spans="1:25" ht="18">
      <c r="A172" s="20" t="s">
        <v>15</v>
      </c>
      <c r="B172" s="21" t="s">
        <v>16</v>
      </c>
      <c r="C172" s="22">
        <v>753705</v>
      </c>
      <c r="D172" s="23">
        <v>2</v>
      </c>
      <c r="E172" s="24" t="str">
        <f t="shared" si="2"/>
        <v>CU_ARS_2025_WOF_F2_8_plant_68</v>
      </c>
      <c r="F172" s="21" t="s">
        <v>200</v>
      </c>
      <c r="G172" s="44" t="s">
        <v>201</v>
      </c>
      <c r="H172" s="42"/>
      <c r="I172" s="42" t="s">
        <v>1023</v>
      </c>
      <c r="J172" s="42" t="s">
        <v>1003</v>
      </c>
      <c r="K172" s="42"/>
      <c r="L172" s="42"/>
      <c r="M172" s="42"/>
      <c r="N172" t="str">
        <f>VLOOKUP(C172,CU_ARS_2025_WOF_F2!$A$2:$K$673,2,FALSE)</f>
        <v>CU_ARS_2025_WOF_F2_8_plant_68</v>
      </c>
      <c r="O172" t="str">
        <f>VLOOKUP(C172,CU_ARS_2025_WOF_F2!$A$2:$K$673,2,FALSE)</f>
        <v>CU_ARS_2025_WOF_F2_8_plant_68</v>
      </c>
      <c r="P172" t="str">
        <f>VLOOKUP(C172,CU_ARS_2025_WOF_F2!$A$2:$K$673,3,FALSE)</f>
        <v>CU_ARS_2025_WOF_F2_8</v>
      </c>
      <c r="Q172" t="str">
        <f>VLOOKUP(C172,CU_ARS_2025_WOF_F2!$A$2:$K$673,4,FALSE)</f>
        <v>CU_ARS_2025_WOF_cross_29</v>
      </c>
      <c r="R172">
        <f>VLOOKUP(C172,CU_ARS_2025_WOF_F2!$A$2:$K$673,5,FALSE)</f>
        <v>8</v>
      </c>
      <c r="S172">
        <f>VLOOKUP(C172,CU_ARS_2025_WOF_F2!$A$2:$K$673,6,FALSE)</f>
        <v>1</v>
      </c>
      <c r="T172">
        <f>VLOOKUP(C172,CU_ARS_2025_WOF_F2!$A$2:$K$673,7,FALSE)</f>
        <v>0</v>
      </c>
      <c r="U172">
        <f>VLOOKUP(C172,CU_ARS_2025_WOF_F2!$A$2:$K$673,8,FALSE)</f>
        <v>1</v>
      </c>
      <c r="V172">
        <f>VLOOKUP(C172,CU_ARS_2025_WOF_F2!$A$2:$K$673,9,FALSE)</f>
        <v>0</v>
      </c>
      <c r="W172">
        <f>VLOOKUP(C172,CU_ARS_2025_WOF_F2!$A$2:$K$673,10,FALSE)</f>
        <v>0</v>
      </c>
      <c r="X172">
        <f>VLOOKUP(C172,CU_ARS_2025_WOF_F2!$A$2:$K$673,11,FALSE)</f>
        <v>68</v>
      </c>
      <c r="Y172" t="str">
        <f>VLOOKUP(Q172,cross_pedigree!$A$2:$B$23,2,FALSE)</f>
        <v>NC21-6429/AURORA</v>
      </c>
    </row>
    <row r="173" spans="1:25" ht="18">
      <c r="A173" s="20" t="s">
        <v>15</v>
      </c>
      <c r="B173" s="21" t="s">
        <v>16</v>
      </c>
      <c r="C173" s="22">
        <v>753706</v>
      </c>
      <c r="D173" s="23">
        <v>2</v>
      </c>
      <c r="E173" s="24" t="str">
        <f t="shared" si="2"/>
        <v>CU_ARS_2025_WOF_F2_8_plant_69</v>
      </c>
      <c r="F173" s="21" t="s">
        <v>202</v>
      </c>
      <c r="G173" s="44" t="s">
        <v>203</v>
      </c>
      <c r="H173" s="42"/>
      <c r="I173" s="42" t="s">
        <v>1023</v>
      </c>
      <c r="J173" s="42" t="s">
        <v>1003</v>
      </c>
      <c r="K173" s="42"/>
      <c r="L173" s="42"/>
      <c r="M173" s="42"/>
      <c r="N173" t="str">
        <f>VLOOKUP(C173,CU_ARS_2025_WOF_F2!$A$2:$K$673,2,FALSE)</f>
        <v>CU_ARS_2025_WOF_F2_8_plant_69</v>
      </c>
      <c r="O173" t="str">
        <f>VLOOKUP(C173,CU_ARS_2025_WOF_F2!$A$2:$K$673,2,FALSE)</f>
        <v>CU_ARS_2025_WOF_F2_8_plant_69</v>
      </c>
      <c r="P173" t="str">
        <f>VLOOKUP(C173,CU_ARS_2025_WOF_F2!$A$2:$K$673,3,FALSE)</f>
        <v>CU_ARS_2025_WOF_F2_8</v>
      </c>
      <c r="Q173" t="str">
        <f>VLOOKUP(C173,CU_ARS_2025_WOF_F2!$A$2:$K$673,4,FALSE)</f>
        <v>CU_ARS_2025_WOF_cross_29</v>
      </c>
      <c r="R173">
        <f>VLOOKUP(C173,CU_ARS_2025_WOF_F2!$A$2:$K$673,5,FALSE)</f>
        <v>8</v>
      </c>
      <c r="S173">
        <f>VLOOKUP(C173,CU_ARS_2025_WOF_F2!$A$2:$K$673,6,FALSE)</f>
        <v>1</v>
      </c>
      <c r="T173">
        <f>VLOOKUP(C173,CU_ARS_2025_WOF_F2!$A$2:$K$673,7,FALSE)</f>
        <v>0</v>
      </c>
      <c r="U173">
        <f>VLOOKUP(C173,CU_ARS_2025_WOF_F2!$A$2:$K$673,8,FALSE)</f>
        <v>1</v>
      </c>
      <c r="V173">
        <f>VLOOKUP(C173,CU_ARS_2025_WOF_F2!$A$2:$K$673,9,FALSE)</f>
        <v>0</v>
      </c>
      <c r="W173">
        <f>VLOOKUP(C173,CU_ARS_2025_WOF_F2!$A$2:$K$673,10,FALSE)</f>
        <v>0</v>
      </c>
      <c r="X173">
        <f>VLOOKUP(C173,CU_ARS_2025_WOF_F2!$A$2:$K$673,11,FALSE)</f>
        <v>69</v>
      </c>
      <c r="Y173" t="str">
        <f>VLOOKUP(Q173,cross_pedigree!$A$2:$B$23,2,FALSE)</f>
        <v>NC21-6429/AURORA</v>
      </c>
    </row>
    <row r="174" spans="1:25" ht="18">
      <c r="A174" s="20" t="s">
        <v>15</v>
      </c>
      <c r="B174" s="21" t="s">
        <v>16</v>
      </c>
      <c r="C174" s="22">
        <v>753861</v>
      </c>
      <c r="D174" s="23">
        <v>2</v>
      </c>
      <c r="E174" s="24" t="str">
        <f t="shared" si="2"/>
        <v>CU_ARS_2025_WOF_F2_6_plant_1</v>
      </c>
      <c r="F174" s="21" t="s">
        <v>204</v>
      </c>
      <c r="G174" s="44" t="s">
        <v>205</v>
      </c>
      <c r="H174" s="42"/>
      <c r="I174" s="42" t="s">
        <v>1015</v>
      </c>
      <c r="J174" s="42" t="s">
        <v>1003</v>
      </c>
      <c r="K174" s="42"/>
      <c r="L174" s="42"/>
      <c r="M174" s="42"/>
      <c r="N174" t="str">
        <f>VLOOKUP(C174,CU_ARS_2025_WOF_F2!$A$2:$K$673,2,FALSE)</f>
        <v>CU_ARS_2025_WOF_F2_6_plant_1</v>
      </c>
      <c r="O174" t="str">
        <f>VLOOKUP(C174,CU_ARS_2025_WOF_F2!$A$2:$K$673,2,FALSE)</f>
        <v>CU_ARS_2025_WOF_F2_6_plant_1</v>
      </c>
      <c r="P174" t="str">
        <f>VLOOKUP(C174,CU_ARS_2025_WOF_F2!$A$2:$K$673,3,FALSE)</f>
        <v>CU_ARS_2025_WOF_F2_6</v>
      </c>
      <c r="Q174" t="str">
        <f>VLOOKUP(C174,CU_ARS_2025_WOF_F2!$A$2:$K$673,4,FALSE)</f>
        <v>CU_ARS_2025_WOF_cross_4</v>
      </c>
      <c r="R174">
        <f>VLOOKUP(C174,CU_ARS_2025_WOF_F2!$A$2:$K$673,5,FALSE)</f>
        <v>6</v>
      </c>
      <c r="S174">
        <f>VLOOKUP(C174,CU_ARS_2025_WOF_F2!$A$2:$K$673,6,FALSE)</f>
        <v>1</v>
      </c>
      <c r="T174">
        <f>VLOOKUP(C174,CU_ARS_2025_WOF_F2!$A$2:$K$673,7,FALSE)</f>
        <v>0</v>
      </c>
      <c r="U174">
        <f>VLOOKUP(C174,CU_ARS_2025_WOF_F2!$A$2:$K$673,8,FALSE)</f>
        <v>1</v>
      </c>
      <c r="V174">
        <f>VLOOKUP(C174,CU_ARS_2025_WOF_F2!$A$2:$K$673,9,FALSE)</f>
        <v>0</v>
      </c>
      <c r="W174">
        <f>VLOOKUP(C174,CU_ARS_2025_WOF_F2!$A$2:$K$673,10,FALSE)</f>
        <v>0</v>
      </c>
      <c r="X174">
        <f>VLOOKUP(C174,CU_ARS_2025_WOF_F2!$A$2:$K$673,11,FALSE)</f>
        <v>1</v>
      </c>
      <c r="Y174" t="str">
        <f>VLOOKUP(Q174,cross_pedigree!$A$2:$B$23,2,FALSE)</f>
        <v>NF01404A/PA8014-840</v>
      </c>
    </row>
    <row r="175" spans="1:25" ht="18">
      <c r="A175" s="20" t="s">
        <v>15</v>
      </c>
      <c r="B175" s="21" t="s">
        <v>16</v>
      </c>
      <c r="C175" s="22">
        <v>753862</v>
      </c>
      <c r="D175" s="23">
        <v>2</v>
      </c>
      <c r="E175" s="24" t="str">
        <f t="shared" si="2"/>
        <v>CU_ARS_2025_WOF_F2_6_plant_2</v>
      </c>
      <c r="F175" s="21" t="s">
        <v>206</v>
      </c>
      <c r="G175" s="44" t="s">
        <v>207</v>
      </c>
      <c r="H175" s="42"/>
      <c r="I175" s="42" t="s">
        <v>1015</v>
      </c>
      <c r="J175" s="42" t="s">
        <v>1003</v>
      </c>
      <c r="K175" s="42"/>
      <c r="L175" s="42"/>
      <c r="M175" s="42"/>
      <c r="N175" t="str">
        <f>VLOOKUP(C175,CU_ARS_2025_WOF_F2!$A$2:$K$673,2,FALSE)</f>
        <v>CU_ARS_2025_WOF_F2_6_plant_2</v>
      </c>
      <c r="O175" t="str">
        <f>VLOOKUP(C175,CU_ARS_2025_WOF_F2!$A$2:$K$673,2,FALSE)</f>
        <v>CU_ARS_2025_WOF_F2_6_plant_2</v>
      </c>
      <c r="P175" t="str">
        <f>VLOOKUP(C175,CU_ARS_2025_WOF_F2!$A$2:$K$673,3,FALSE)</f>
        <v>CU_ARS_2025_WOF_F2_6</v>
      </c>
      <c r="Q175" t="str">
        <f>VLOOKUP(C175,CU_ARS_2025_WOF_F2!$A$2:$K$673,4,FALSE)</f>
        <v>CU_ARS_2025_WOF_cross_4</v>
      </c>
      <c r="R175">
        <f>VLOOKUP(C175,CU_ARS_2025_WOF_F2!$A$2:$K$673,5,FALSE)</f>
        <v>6</v>
      </c>
      <c r="S175">
        <f>VLOOKUP(C175,CU_ARS_2025_WOF_F2!$A$2:$K$673,6,FALSE)</f>
        <v>1</v>
      </c>
      <c r="T175">
        <f>VLOOKUP(C175,CU_ARS_2025_WOF_F2!$A$2:$K$673,7,FALSE)</f>
        <v>0</v>
      </c>
      <c r="U175">
        <f>VLOOKUP(C175,CU_ARS_2025_WOF_F2!$A$2:$K$673,8,FALSE)</f>
        <v>1</v>
      </c>
      <c r="V175">
        <f>VLOOKUP(C175,CU_ARS_2025_WOF_F2!$A$2:$K$673,9,FALSE)</f>
        <v>0</v>
      </c>
      <c r="W175">
        <f>VLOOKUP(C175,CU_ARS_2025_WOF_F2!$A$2:$K$673,10,FALSE)</f>
        <v>0</v>
      </c>
      <c r="X175">
        <f>VLOOKUP(C175,CU_ARS_2025_WOF_F2!$A$2:$K$673,11,FALSE)</f>
        <v>2</v>
      </c>
      <c r="Y175" t="str">
        <f>VLOOKUP(Q175,cross_pedigree!$A$2:$B$23,2,FALSE)</f>
        <v>NF01404A/PA8014-840</v>
      </c>
    </row>
    <row r="176" spans="1:25" ht="18">
      <c r="A176" s="20" t="s">
        <v>15</v>
      </c>
      <c r="B176" s="21" t="s">
        <v>16</v>
      </c>
      <c r="C176" s="22">
        <v>753863</v>
      </c>
      <c r="D176" s="23">
        <v>2</v>
      </c>
      <c r="E176" s="24" t="str">
        <f t="shared" si="2"/>
        <v>CU_ARS_2025_WOF_F2_6_plant_3</v>
      </c>
      <c r="F176" s="21" t="s">
        <v>91</v>
      </c>
      <c r="G176" s="44" t="s">
        <v>208</v>
      </c>
      <c r="H176" s="42"/>
      <c r="I176" s="42" t="s">
        <v>1015</v>
      </c>
      <c r="J176" s="42" t="s">
        <v>1003</v>
      </c>
      <c r="K176" s="42"/>
      <c r="L176" s="42"/>
      <c r="M176" s="42"/>
      <c r="N176" t="str">
        <f>VLOOKUP(C176,CU_ARS_2025_WOF_F2!$A$2:$K$673,2,FALSE)</f>
        <v>CU_ARS_2025_WOF_F2_6_plant_3</v>
      </c>
      <c r="O176" t="str">
        <f>VLOOKUP(C176,CU_ARS_2025_WOF_F2!$A$2:$K$673,2,FALSE)</f>
        <v>CU_ARS_2025_WOF_F2_6_plant_3</v>
      </c>
      <c r="P176" t="str">
        <f>VLOOKUP(C176,CU_ARS_2025_WOF_F2!$A$2:$K$673,3,FALSE)</f>
        <v>CU_ARS_2025_WOF_F2_6</v>
      </c>
      <c r="Q176" t="str">
        <f>VLOOKUP(C176,CU_ARS_2025_WOF_F2!$A$2:$K$673,4,FALSE)</f>
        <v>CU_ARS_2025_WOF_cross_4</v>
      </c>
      <c r="R176">
        <f>VLOOKUP(C176,CU_ARS_2025_WOF_F2!$A$2:$K$673,5,FALSE)</f>
        <v>6</v>
      </c>
      <c r="S176">
        <f>VLOOKUP(C176,CU_ARS_2025_WOF_F2!$A$2:$K$673,6,FALSE)</f>
        <v>1</v>
      </c>
      <c r="T176">
        <f>VLOOKUP(C176,CU_ARS_2025_WOF_F2!$A$2:$K$673,7,FALSE)</f>
        <v>0</v>
      </c>
      <c r="U176">
        <f>VLOOKUP(C176,CU_ARS_2025_WOF_F2!$A$2:$K$673,8,FALSE)</f>
        <v>1</v>
      </c>
      <c r="V176">
        <f>VLOOKUP(C176,CU_ARS_2025_WOF_F2!$A$2:$K$673,9,FALSE)</f>
        <v>0</v>
      </c>
      <c r="W176">
        <f>VLOOKUP(C176,CU_ARS_2025_WOF_F2!$A$2:$K$673,10,FALSE)</f>
        <v>0</v>
      </c>
      <c r="X176">
        <f>VLOOKUP(C176,CU_ARS_2025_WOF_F2!$A$2:$K$673,11,FALSE)</f>
        <v>3</v>
      </c>
      <c r="Y176" t="str">
        <f>VLOOKUP(Q176,cross_pedigree!$A$2:$B$23,2,FALSE)</f>
        <v>NF01404A/PA8014-840</v>
      </c>
    </row>
    <row r="177" spans="1:25" ht="18">
      <c r="A177" s="20" t="s">
        <v>15</v>
      </c>
      <c r="B177" s="21" t="s">
        <v>16</v>
      </c>
      <c r="C177" s="22">
        <v>753864</v>
      </c>
      <c r="D177" s="23">
        <v>2</v>
      </c>
      <c r="E177" s="24" t="str">
        <f t="shared" si="2"/>
        <v>CU_ARS_2025_WOF_F2_6_plant_4</v>
      </c>
      <c r="F177" s="21" t="s">
        <v>92</v>
      </c>
      <c r="G177" s="44" t="s">
        <v>209</v>
      </c>
      <c r="H177" s="42"/>
      <c r="I177" s="42" t="s">
        <v>1015</v>
      </c>
      <c r="J177" s="42" t="s">
        <v>1003</v>
      </c>
      <c r="K177" s="42"/>
      <c r="L177" s="42"/>
      <c r="M177" s="42"/>
      <c r="N177" t="str">
        <f>VLOOKUP(C177,CU_ARS_2025_WOF_F2!$A$2:$K$673,2,FALSE)</f>
        <v>CU_ARS_2025_WOF_F2_6_plant_4</v>
      </c>
      <c r="O177" t="str">
        <f>VLOOKUP(C177,CU_ARS_2025_WOF_F2!$A$2:$K$673,2,FALSE)</f>
        <v>CU_ARS_2025_WOF_F2_6_plant_4</v>
      </c>
      <c r="P177" t="str">
        <f>VLOOKUP(C177,CU_ARS_2025_WOF_F2!$A$2:$K$673,3,FALSE)</f>
        <v>CU_ARS_2025_WOF_F2_6</v>
      </c>
      <c r="Q177" t="str">
        <f>VLOOKUP(C177,CU_ARS_2025_WOF_F2!$A$2:$K$673,4,FALSE)</f>
        <v>CU_ARS_2025_WOF_cross_4</v>
      </c>
      <c r="R177">
        <f>VLOOKUP(C177,CU_ARS_2025_WOF_F2!$A$2:$K$673,5,FALSE)</f>
        <v>6</v>
      </c>
      <c r="S177">
        <f>VLOOKUP(C177,CU_ARS_2025_WOF_F2!$A$2:$K$673,6,FALSE)</f>
        <v>1</v>
      </c>
      <c r="T177">
        <f>VLOOKUP(C177,CU_ARS_2025_WOF_F2!$A$2:$K$673,7,FALSE)</f>
        <v>0</v>
      </c>
      <c r="U177">
        <f>VLOOKUP(C177,CU_ARS_2025_WOF_F2!$A$2:$K$673,8,FALSE)</f>
        <v>1</v>
      </c>
      <c r="V177">
        <f>VLOOKUP(C177,CU_ARS_2025_WOF_F2!$A$2:$K$673,9,FALSE)</f>
        <v>0</v>
      </c>
      <c r="W177">
        <f>VLOOKUP(C177,CU_ARS_2025_WOF_F2!$A$2:$K$673,10,FALSE)</f>
        <v>0</v>
      </c>
      <c r="X177">
        <f>VLOOKUP(C177,CU_ARS_2025_WOF_F2!$A$2:$K$673,11,FALSE)</f>
        <v>4</v>
      </c>
      <c r="Y177" t="str">
        <f>VLOOKUP(Q177,cross_pedigree!$A$2:$B$23,2,FALSE)</f>
        <v>NF01404A/PA8014-840</v>
      </c>
    </row>
    <row r="178" spans="1:25" ht="18">
      <c r="A178" s="20" t="s">
        <v>15</v>
      </c>
      <c r="B178" s="21" t="s">
        <v>16</v>
      </c>
      <c r="C178" s="22">
        <v>753865</v>
      </c>
      <c r="D178" s="23">
        <v>2</v>
      </c>
      <c r="E178" s="24" t="str">
        <f t="shared" si="2"/>
        <v>CU_ARS_2025_WOF_F2_6_plant_5</v>
      </c>
      <c r="F178" s="21" t="s">
        <v>93</v>
      </c>
      <c r="G178" s="44" t="s">
        <v>210</v>
      </c>
      <c r="H178" s="42"/>
      <c r="I178" s="42" t="s">
        <v>1015</v>
      </c>
      <c r="J178" s="42" t="s">
        <v>1003</v>
      </c>
      <c r="K178" s="42"/>
      <c r="L178" s="42"/>
      <c r="M178" s="42"/>
      <c r="N178" t="str">
        <f>VLOOKUP(C178,CU_ARS_2025_WOF_F2!$A$2:$K$673,2,FALSE)</f>
        <v>CU_ARS_2025_WOF_F2_6_plant_5</v>
      </c>
      <c r="O178" t="str">
        <f>VLOOKUP(C178,CU_ARS_2025_WOF_F2!$A$2:$K$673,2,FALSE)</f>
        <v>CU_ARS_2025_WOF_F2_6_plant_5</v>
      </c>
      <c r="P178" t="str">
        <f>VLOOKUP(C178,CU_ARS_2025_WOF_F2!$A$2:$K$673,3,FALSE)</f>
        <v>CU_ARS_2025_WOF_F2_6</v>
      </c>
      <c r="Q178" t="str">
        <f>VLOOKUP(C178,CU_ARS_2025_WOF_F2!$A$2:$K$673,4,FALSE)</f>
        <v>CU_ARS_2025_WOF_cross_4</v>
      </c>
      <c r="R178">
        <f>VLOOKUP(C178,CU_ARS_2025_WOF_F2!$A$2:$K$673,5,FALSE)</f>
        <v>6</v>
      </c>
      <c r="S178">
        <f>VLOOKUP(C178,CU_ARS_2025_WOF_F2!$A$2:$K$673,6,FALSE)</f>
        <v>1</v>
      </c>
      <c r="T178">
        <f>VLOOKUP(C178,CU_ARS_2025_WOF_F2!$A$2:$K$673,7,FALSE)</f>
        <v>0</v>
      </c>
      <c r="U178">
        <f>VLOOKUP(C178,CU_ARS_2025_WOF_F2!$A$2:$K$673,8,FALSE)</f>
        <v>1</v>
      </c>
      <c r="V178">
        <f>VLOOKUP(C178,CU_ARS_2025_WOF_F2!$A$2:$K$673,9,FALSE)</f>
        <v>0</v>
      </c>
      <c r="W178">
        <f>VLOOKUP(C178,CU_ARS_2025_WOF_F2!$A$2:$K$673,10,FALSE)</f>
        <v>0</v>
      </c>
      <c r="X178">
        <f>VLOOKUP(C178,CU_ARS_2025_WOF_F2!$A$2:$K$673,11,FALSE)</f>
        <v>5</v>
      </c>
      <c r="Y178" t="str">
        <f>VLOOKUP(Q178,cross_pedigree!$A$2:$B$23,2,FALSE)</f>
        <v>NF01404A/PA8014-840</v>
      </c>
    </row>
    <row r="179" spans="1:25" ht="18">
      <c r="A179" s="20" t="s">
        <v>15</v>
      </c>
      <c r="B179" s="21" t="s">
        <v>16</v>
      </c>
      <c r="C179" s="22">
        <v>753873</v>
      </c>
      <c r="D179" s="23">
        <v>2</v>
      </c>
      <c r="E179" s="24" t="str">
        <f t="shared" si="2"/>
        <v>CU_ARS_2025_WOF_F2_6_plant_13</v>
      </c>
      <c r="F179" s="21" t="s">
        <v>94</v>
      </c>
      <c r="G179" s="44" t="s">
        <v>211</v>
      </c>
      <c r="H179" s="42"/>
      <c r="I179" s="42" t="s">
        <v>1015</v>
      </c>
      <c r="J179" s="42" t="s">
        <v>1003</v>
      </c>
      <c r="K179" s="42"/>
      <c r="L179" s="42"/>
      <c r="M179" s="42"/>
      <c r="N179" t="str">
        <f>VLOOKUP(C179,CU_ARS_2025_WOF_F2!$A$2:$K$673,2,FALSE)</f>
        <v>CU_ARS_2025_WOF_F2_6_plant_13</v>
      </c>
      <c r="O179" t="str">
        <f>VLOOKUP(C179,CU_ARS_2025_WOF_F2!$A$2:$K$673,2,FALSE)</f>
        <v>CU_ARS_2025_WOF_F2_6_plant_13</v>
      </c>
      <c r="P179" t="str">
        <f>VLOOKUP(C179,CU_ARS_2025_WOF_F2!$A$2:$K$673,3,FALSE)</f>
        <v>CU_ARS_2025_WOF_F2_6</v>
      </c>
      <c r="Q179" t="str">
        <f>VLOOKUP(C179,CU_ARS_2025_WOF_F2!$A$2:$K$673,4,FALSE)</f>
        <v>CU_ARS_2025_WOF_cross_4</v>
      </c>
      <c r="R179">
        <f>VLOOKUP(C179,CU_ARS_2025_WOF_F2!$A$2:$K$673,5,FALSE)</f>
        <v>6</v>
      </c>
      <c r="S179">
        <f>VLOOKUP(C179,CU_ARS_2025_WOF_F2!$A$2:$K$673,6,FALSE)</f>
        <v>1</v>
      </c>
      <c r="T179">
        <f>VLOOKUP(C179,CU_ARS_2025_WOF_F2!$A$2:$K$673,7,FALSE)</f>
        <v>0</v>
      </c>
      <c r="U179">
        <f>VLOOKUP(C179,CU_ARS_2025_WOF_F2!$A$2:$K$673,8,FALSE)</f>
        <v>1</v>
      </c>
      <c r="V179">
        <f>VLOOKUP(C179,CU_ARS_2025_WOF_F2!$A$2:$K$673,9,FALSE)</f>
        <v>0</v>
      </c>
      <c r="W179">
        <f>VLOOKUP(C179,CU_ARS_2025_WOF_F2!$A$2:$K$673,10,FALSE)</f>
        <v>0</v>
      </c>
      <c r="X179">
        <f>VLOOKUP(C179,CU_ARS_2025_WOF_F2!$A$2:$K$673,11,FALSE)</f>
        <v>13</v>
      </c>
      <c r="Y179" t="str">
        <f>VLOOKUP(Q179,cross_pedigree!$A$2:$B$23,2,FALSE)</f>
        <v>NF01404A/PA8014-840</v>
      </c>
    </row>
    <row r="180" spans="1:25" ht="18">
      <c r="A180" s="20" t="s">
        <v>15</v>
      </c>
      <c r="B180" s="21" t="s">
        <v>16</v>
      </c>
      <c r="C180" s="22">
        <v>753872</v>
      </c>
      <c r="D180" s="23">
        <v>2</v>
      </c>
      <c r="E180" s="24" t="str">
        <f t="shared" si="2"/>
        <v>CU_ARS_2025_WOF_F2_6_plant_12</v>
      </c>
      <c r="F180" s="21" t="s">
        <v>49</v>
      </c>
      <c r="G180" s="44" t="s">
        <v>50</v>
      </c>
      <c r="H180" s="42"/>
      <c r="I180" s="42" t="s">
        <v>1015</v>
      </c>
      <c r="J180" s="42" t="s">
        <v>1003</v>
      </c>
      <c r="K180" s="42"/>
      <c r="L180" s="42"/>
      <c r="M180" s="42"/>
      <c r="N180" t="str">
        <f>VLOOKUP(C180,CU_ARS_2025_WOF_F2!$A$2:$K$673,2,FALSE)</f>
        <v>CU_ARS_2025_WOF_F2_6_plant_12</v>
      </c>
      <c r="O180" t="str">
        <f>VLOOKUP(C180,CU_ARS_2025_WOF_F2!$A$2:$K$673,2,FALSE)</f>
        <v>CU_ARS_2025_WOF_F2_6_plant_12</v>
      </c>
      <c r="P180" t="str">
        <f>VLOOKUP(C180,CU_ARS_2025_WOF_F2!$A$2:$K$673,3,FALSE)</f>
        <v>CU_ARS_2025_WOF_F2_6</v>
      </c>
      <c r="Q180" t="str">
        <f>VLOOKUP(C180,CU_ARS_2025_WOF_F2!$A$2:$K$673,4,FALSE)</f>
        <v>CU_ARS_2025_WOF_cross_4</v>
      </c>
      <c r="R180">
        <f>VLOOKUP(C180,CU_ARS_2025_WOF_F2!$A$2:$K$673,5,FALSE)</f>
        <v>6</v>
      </c>
      <c r="S180">
        <f>VLOOKUP(C180,CU_ARS_2025_WOF_F2!$A$2:$K$673,6,FALSE)</f>
        <v>1</v>
      </c>
      <c r="T180">
        <f>VLOOKUP(C180,CU_ARS_2025_WOF_F2!$A$2:$K$673,7,FALSE)</f>
        <v>0</v>
      </c>
      <c r="U180">
        <f>VLOOKUP(C180,CU_ARS_2025_WOF_F2!$A$2:$K$673,8,FALSE)</f>
        <v>1</v>
      </c>
      <c r="V180">
        <f>VLOOKUP(C180,CU_ARS_2025_WOF_F2!$A$2:$K$673,9,FALSE)</f>
        <v>0</v>
      </c>
      <c r="W180">
        <f>VLOOKUP(C180,CU_ARS_2025_WOF_F2!$A$2:$K$673,10,FALSE)</f>
        <v>0</v>
      </c>
      <c r="X180">
        <f>VLOOKUP(C180,CU_ARS_2025_WOF_F2!$A$2:$K$673,11,FALSE)</f>
        <v>12</v>
      </c>
      <c r="Y180" t="str">
        <f>VLOOKUP(Q180,cross_pedigree!$A$2:$B$23,2,FALSE)</f>
        <v>NF01404A/PA8014-840</v>
      </c>
    </row>
    <row r="181" spans="1:25" ht="18">
      <c r="A181" s="20" t="s">
        <v>15</v>
      </c>
      <c r="B181" s="21" t="s">
        <v>16</v>
      </c>
      <c r="C181" s="22">
        <v>753871</v>
      </c>
      <c r="D181" s="23">
        <v>2</v>
      </c>
      <c r="E181" s="24" t="str">
        <f t="shared" si="2"/>
        <v>CU_ARS_2025_WOF_F2_6_plant_11</v>
      </c>
      <c r="F181" s="21" t="s">
        <v>51</v>
      </c>
      <c r="G181" s="44" t="s">
        <v>52</v>
      </c>
      <c r="H181" s="42"/>
      <c r="I181" s="42" t="s">
        <v>1015</v>
      </c>
      <c r="J181" s="42" t="s">
        <v>1003</v>
      </c>
      <c r="K181" s="42"/>
      <c r="L181" s="42"/>
      <c r="M181" s="42"/>
      <c r="N181" t="str">
        <f>VLOOKUP(C181,CU_ARS_2025_WOF_F2!$A$2:$K$673,2,FALSE)</f>
        <v>CU_ARS_2025_WOF_F2_6_plant_11</v>
      </c>
      <c r="O181" t="str">
        <f>VLOOKUP(C181,CU_ARS_2025_WOF_F2!$A$2:$K$673,2,FALSE)</f>
        <v>CU_ARS_2025_WOF_F2_6_plant_11</v>
      </c>
      <c r="P181" t="str">
        <f>VLOOKUP(C181,CU_ARS_2025_WOF_F2!$A$2:$K$673,3,FALSE)</f>
        <v>CU_ARS_2025_WOF_F2_6</v>
      </c>
      <c r="Q181" t="str">
        <f>VLOOKUP(C181,CU_ARS_2025_WOF_F2!$A$2:$K$673,4,FALSE)</f>
        <v>CU_ARS_2025_WOF_cross_4</v>
      </c>
      <c r="R181">
        <f>VLOOKUP(C181,CU_ARS_2025_WOF_F2!$A$2:$K$673,5,FALSE)</f>
        <v>6</v>
      </c>
      <c r="S181">
        <f>VLOOKUP(C181,CU_ARS_2025_WOF_F2!$A$2:$K$673,6,FALSE)</f>
        <v>1</v>
      </c>
      <c r="T181">
        <f>VLOOKUP(C181,CU_ARS_2025_WOF_F2!$A$2:$K$673,7,FALSE)</f>
        <v>0</v>
      </c>
      <c r="U181">
        <f>VLOOKUP(C181,CU_ARS_2025_WOF_F2!$A$2:$K$673,8,FALSE)</f>
        <v>1</v>
      </c>
      <c r="V181">
        <f>VLOOKUP(C181,CU_ARS_2025_WOF_F2!$A$2:$K$673,9,FALSE)</f>
        <v>0</v>
      </c>
      <c r="W181">
        <f>VLOOKUP(C181,CU_ARS_2025_WOF_F2!$A$2:$K$673,10,FALSE)</f>
        <v>0</v>
      </c>
      <c r="X181">
        <f>VLOOKUP(C181,CU_ARS_2025_WOF_F2!$A$2:$K$673,11,FALSE)</f>
        <v>11</v>
      </c>
      <c r="Y181" t="str">
        <f>VLOOKUP(Q181,cross_pedigree!$A$2:$B$23,2,FALSE)</f>
        <v>NF01404A/PA8014-840</v>
      </c>
    </row>
    <row r="182" spans="1:25" ht="18">
      <c r="A182" s="20" t="s">
        <v>15</v>
      </c>
      <c r="B182" s="21" t="s">
        <v>16</v>
      </c>
      <c r="C182" s="22">
        <v>753870</v>
      </c>
      <c r="D182" s="23">
        <v>2</v>
      </c>
      <c r="E182" s="24" t="str">
        <f t="shared" si="2"/>
        <v>CU_ARS_2025_WOF_F2_6_plant_10</v>
      </c>
      <c r="F182" s="21" t="s">
        <v>95</v>
      </c>
      <c r="G182" s="44" t="s">
        <v>212</v>
      </c>
      <c r="H182" s="42"/>
      <c r="I182" s="42" t="s">
        <v>1015</v>
      </c>
      <c r="J182" s="42" t="s">
        <v>1003</v>
      </c>
      <c r="K182" s="42"/>
      <c r="L182" s="42"/>
      <c r="M182" s="42"/>
      <c r="N182" t="str">
        <f>VLOOKUP(C182,CU_ARS_2025_WOF_F2!$A$2:$K$673,2,FALSE)</f>
        <v>CU_ARS_2025_WOF_F2_6_plant_10</v>
      </c>
      <c r="O182" t="str">
        <f>VLOOKUP(C182,CU_ARS_2025_WOF_F2!$A$2:$K$673,2,FALSE)</f>
        <v>CU_ARS_2025_WOF_F2_6_plant_10</v>
      </c>
      <c r="P182" t="str">
        <f>VLOOKUP(C182,CU_ARS_2025_WOF_F2!$A$2:$K$673,3,FALSE)</f>
        <v>CU_ARS_2025_WOF_F2_6</v>
      </c>
      <c r="Q182" t="str">
        <f>VLOOKUP(C182,CU_ARS_2025_WOF_F2!$A$2:$K$673,4,FALSE)</f>
        <v>CU_ARS_2025_WOF_cross_4</v>
      </c>
      <c r="R182">
        <f>VLOOKUP(C182,CU_ARS_2025_WOF_F2!$A$2:$K$673,5,FALSE)</f>
        <v>6</v>
      </c>
      <c r="S182">
        <f>VLOOKUP(C182,CU_ARS_2025_WOF_F2!$A$2:$K$673,6,FALSE)</f>
        <v>1</v>
      </c>
      <c r="T182">
        <f>VLOOKUP(C182,CU_ARS_2025_WOF_F2!$A$2:$K$673,7,FALSE)</f>
        <v>0</v>
      </c>
      <c r="U182">
        <f>VLOOKUP(C182,CU_ARS_2025_WOF_F2!$A$2:$K$673,8,FALSE)</f>
        <v>1</v>
      </c>
      <c r="V182">
        <f>VLOOKUP(C182,CU_ARS_2025_WOF_F2!$A$2:$K$673,9,FALSE)</f>
        <v>0</v>
      </c>
      <c r="W182">
        <f>VLOOKUP(C182,CU_ARS_2025_WOF_F2!$A$2:$K$673,10,FALSE)</f>
        <v>0</v>
      </c>
      <c r="X182">
        <f>VLOOKUP(C182,CU_ARS_2025_WOF_F2!$A$2:$K$673,11,FALSE)</f>
        <v>10</v>
      </c>
      <c r="Y182" t="str">
        <f>VLOOKUP(Q182,cross_pedigree!$A$2:$B$23,2,FALSE)</f>
        <v>NF01404A/PA8014-840</v>
      </c>
    </row>
    <row r="183" spans="1:25" ht="18">
      <c r="A183" s="20" t="s">
        <v>15</v>
      </c>
      <c r="B183" s="21" t="s">
        <v>16</v>
      </c>
      <c r="C183" s="22">
        <v>753869</v>
      </c>
      <c r="D183" s="23">
        <v>2</v>
      </c>
      <c r="E183" s="24" t="str">
        <f t="shared" si="2"/>
        <v>CU_ARS_2025_WOF_F2_6_plant_9</v>
      </c>
      <c r="F183" s="21" t="s">
        <v>53</v>
      </c>
      <c r="G183" s="44" t="s">
        <v>54</v>
      </c>
      <c r="H183" s="42"/>
      <c r="I183" s="42" t="s">
        <v>1015</v>
      </c>
      <c r="J183" s="42" t="s">
        <v>1003</v>
      </c>
      <c r="K183" s="42"/>
      <c r="L183" s="42"/>
      <c r="M183" s="42"/>
      <c r="N183" t="str">
        <f>VLOOKUP(C183,CU_ARS_2025_WOF_F2!$A$2:$K$673,2,FALSE)</f>
        <v>CU_ARS_2025_WOF_F2_6_plant_9</v>
      </c>
      <c r="O183" t="str">
        <f>VLOOKUP(C183,CU_ARS_2025_WOF_F2!$A$2:$K$673,2,FALSE)</f>
        <v>CU_ARS_2025_WOF_F2_6_plant_9</v>
      </c>
      <c r="P183" t="str">
        <f>VLOOKUP(C183,CU_ARS_2025_WOF_F2!$A$2:$K$673,3,FALSE)</f>
        <v>CU_ARS_2025_WOF_F2_6</v>
      </c>
      <c r="Q183" t="str">
        <f>VLOOKUP(C183,CU_ARS_2025_WOF_F2!$A$2:$K$673,4,FALSE)</f>
        <v>CU_ARS_2025_WOF_cross_4</v>
      </c>
      <c r="R183">
        <f>VLOOKUP(C183,CU_ARS_2025_WOF_F2!$A$2:$K$673,5,FALSE)</f>
        <v>6</v>
      </c>
      <c r="S183">
        <f>VLOOKUP(C183,CU_ARS_2025_WOF_F2!$A$2:$K$673,6,FALSE)</f>
        <v>1</v>
      </c>
      <c r="T183">
        <f>VLOOKUP(C183,CU_ARS_2025_WOF_F2!$A$2:$K$673,7,FALSE)</f>
        <v>0</v>
      </c>
      <c r="U183">
        <f>VLOOKUP(C183,CU_ARS_2025_WOF_F2!$A$2:$K$673,8,FALSE)</f>
        <v>1</v>
      </c>
      <c r="V183">
        <f>VLOOKUP(C183,CU_ARS_2025_WOF_F2!$A$2:$K$673,9,FALSE)</f>
        <v>0</v>
      </c>
      <c r="W183">
        <f>VLOOKUP(C183,CU_ARS_2025_WOF_F2!$A$2:$K$673,10,FALSE)</f>
        <v>0</v>
      </c>
      <c r="X183">
        <f>VLOOKUP(C183,CU_ARS_2025_WOF_F2!$A$2:$K$673,11,FALSE)</f>
        <v>9</v>
      </c>
      <c r="Y183" t="str">
        <f>VLOOKUP(Q183,cross_pedigree!$A$2:$B$23,2,FALSE)</f>
        <v>NF01404A/PA8014-840</v>
      </c>
    </row>
    <row r="184" spans="1:25" ht="18">
      <c r="A184" s="20" t="s">
        <v>15</v>
      </c>
      <c r="B184" s="21" t="s">
        <v>16</v>
      </c>
      <c r="C184" s="22">
        <v>753866</v>
      </c>
      <c r="D184" s="23">
        <v>2</v>
      </c>
      <c r="E184" s="24" t="str">
        <f t="shared" si="2"/>
        <v>CU_ARS_2025_WOF_F2_6_plant_6</v>
      </c>
      <c r="F184" s="21" t="s">
        <v>55</v>
      </c>
      <c r="G184" s="44" t="s">
        <v>56</v>
      </c>
      <c r="H184" s="42"/>
      <c r="I184" s="42" t="s">
        <v>1015</v>
      </c>
      <c r="J184" s="42" t="s">
        <v>1003</v>
      </c>
      <c r="K184" s="42"/>
      <c r="L184" s="42"/>
      <c r="M184" s="42"/>
      <c r="N184" t="str">
        <f>VLOOKUP(C184,CU_ARS_2025_WOF_F2!$A$2:$K$673,2,FALSE)</f>
        <v>CU_ARS_2025_WOF_F2_6_plant_6</v>
      </c>
      <c r="O184" t="str">
        <f>VLOOKUP(C184,CU_ARS_2025_WOF_F2!$A$2:$K$673,2,FALSE)</f>
        <v>CU_ARS_2025_WOF_F2_6_plant_6</v>
      </c>
      <c r="P184" t="str">
        <f>VLOOKUP(C184,CU_ARS_2025_WOF_F2!$A$2:$K$673,3,FALSE)</f>
        <v>CU_ARS_2025_WOF_F2_6</v>
      </c>
      <c r="Q184" t="str">
        <f>VLOOKUP(C184,CU_ARS_2025_WOF_F2!$A$2:$K$673,4,FALSE)</f>
        <v>CU_ARS_2025_WOF_cross_4</v>
      </c>
      <c r="R184">
        <f>VLOOKUP(C184,CU_ARS_2025_WOF_F2!$A$2:$K$673,5,FALSE)</f>
        <v>6</v>
      </c>
      <c r="S184">
        <f>VLOOKUP(C184,CU_ARS_2025_WOF_F2!$A$2:$K$673,6,FALSE)</f>
        <v>1</v>
      </c>
      <c r="T184">
        <f>VLOOKUP(C184,CU_ARS_2025_WOF_F2!$A$2:$K$673,7,FALSE)</f>
        <v>0</v>
      </c>
      <c r="U184">
        <f>VLOOKUP(C184,CU_ARS_2025_WOF_F2!$A$2:$K$673,8,FALSE)</f>
        <v>1</v>
      </c>
      <c r="V184">
        <f>VLOOKUP(C184,CU_ARS_2025_WOF_F2!$A$2:$K$673,9,FALSE)</f>
        <v>0</v>
      </c>
      <c r="W184">
        <f>VLOOKUP(C184,CU_ARS_2025_WOF_F2!$A$2:$K$673,10,FALSE)</f>
        <v>0</v>
      </c>
      <c r="X184">
        <f>VLOOKUP(C184,CU_ARS_2025_WOF_F2!$A$2:$K$673,11,FALSE)</f>
        <v>6</v>
      </c>
      <c r="Y184" t="str">
        <f>VLOOKUP(Q184,cross_pedigree!$A$2:$B$23,2,FALSE)</f>
        <v>NF01404A/PA8014-840</v>
      </c>
    </row>
    <row r="185" spans="1:25" ht="18">
      <c r="A185" s="20" t="s">
        <v>15</v>
      </c>
      <c r="B185" s="21" t="s">
        <v>16</v>
      </c>
      <c r="C185" s="22">
        <v>753867</v>
      </c>
      <c r="D185" s="23">
        <v>2</v>
      </c>
      <c r="E185" s="24" t="str">
        <f t="shared" si="2"/>
        <v>CU_ARS_2025_WOF_F2_6_plant_7</v>
      </c>
      <c r="F185" s="21" t="s">
        <v>57</v>
      </c>
      <c r="G185" s="44" t="s">
        <v>58</v>
      </c>
      <c r="H185" s="42"/>
      <c r="I185" s="42" t="s">
        <v>1015</v>
      </c>
      <c r="J185" s="42" t="s">
        <v>1003</v>
      </c>
      <c r="K185" s="42"/>
      <c r="L185" s="42"/>
      <c r="M185" s="42"/>
      <c r="N185" t="str">
        <f>VLOOKUP(C185,CU_ARS_2025_WOF_F2!$A$2:$K$673,2,FALSE)</f>
        <v>CU_ARS_2025_WOF_F2_6_plant_7</v>
      </c>
      <c r="O185" t="str">
        <f>VLOOKUP(C185,CU_ARS_2025_WOF_F2!$A$2:$K$673,2,FALSE)</f>
        <v>CU_ARS_2025_WOF_F2_6_plant_7</v>
      </c>
      <c r="P185" t="str">
        <f>VLOOKUP(C185,CU_ARS_2025_WOF_F2!$A$2:$K$673,3,FALSE)</f>
        <v>CU_ARS_2025_WOF_F2_6</v>
      </c>
      <c r="Q185" t="str">
        <f>VLOOKUP(C185,CU_ARS_2025_WOF_F2!$A$2:$K$673,4,FALSE)</f>
        <v>CU_ARS_2025_WOF_cross_4</v>
      </c>
      <c r="R185">
        <f>VLOOKUP(C185,CU_ARS_2025_WOF_F2!$A$2:$K$673,5,FALSE)</f>
        <v>6</v>
      </c>
      <c r="S185">
        <f>VLOOKUP(C185,CU_ARS_2025_WOF_F2!$A$2:$K$673,6,FALSE)</f>
        <v>1</v>
      </c>
      <c r="T185">
        <f>VLOOKUP(C185,CU_ARS_2025_WOF_F2!$A$2:$K$673,7,FALSE)</f>
        <v>0</v>
      </c>
      <c r="U185">
        <f>VLOOKUP(C185,CU_ARS_2025_WOF_F2!$A$2:$K$673,8,FALSE)</f>
        <v>1</v>
      </c>
      <c r="V185">
        <f>VLOOKUP(C185,CU_ARS_2025_WOF_F2!$A$2:$K$673,9,FALSE)</f>
        <v>0</v>
      </c>
      <c r="W185">
        <f>VLOOKUP(C185,CU_ARS_2025_WOF_F2!$A$2:$K$673,10,FALSE)</f>
        <v>0</v>
      </c>
      <c r="X185">
        <f>VLOOKUP(C185,CU_ARS_2025_WOF_F2!$A$2:$K$673,11,FALSE)</f>
        <v>7</v>
      </c>
      <c r="Y185" t="str">
        <f>VLOOKUP(Q185,cross_pedigree!$A$2:$B$23,2,FALSE)</f>
        <v>NF01404A/PA8014-840</v>
      </c>
    </row>
    <row r="186" spans="1:25" ht="18">
      <c r="A186" s="20" t="s">
        <v>15</v>
      </c>
      <c r="B186" s="21" t="s">
        <v>16</v>
      </c>
      <c r="C186" s="22">
        <v>753868</v>
      </c>
      <c r="D186" s="23">
        <v>2</v>
      </c>
      <c r="E186" s="24" t="str">
        <f t="shared" si="2"/>
        <v>CU_ARS_2025_WOF_F2_6_plant_8</v>
      </c>
      <c r="F186" s="21" t="s">
        <v>59</v>
      </c>
      <c r="G186" s="44" t="s">
        <v>60</v>
      </c>
      <c r="H186" s="42"/>
      <c r="I186" s="42" t="s">
        <v>1015</v>
      </c>
      <c r="J186" s="42" t="s">
        <v>1003</v>
      </c>
      <c r="K186" s="42"/>
      <c r="L186" s="42"/>
      <c r="M186" s="42"/>
      <c r="N186" t="str">
        <f>VLOOKUP(C186,CU_ARS_2025_WOF_F2!$A$2:$K$673,2,FALSE)</f>
        <v>CU_ARS_2025_WOF_F2_6_plant_8</v>
      </c>
      <c r="O186" t="str">
        <f>VLOOKUP(C186,CU_ARS_2025_WOF_F2!$A$2:$K$673,2,FALSE)</f>
        <v>CU_ARS_2025_WOF_F2_6_plant_8</v>
      </c>
      <c r="P186" t="str">
        <f>VLOOKUP(C186,CU_ARS_2025_WOF_F2!$A$2:$K$673,3,FALSE)</f>
        <v>CU_ARS_2025_WOF_F2_6</v>
      </c>
      <c r="Q186" t="str">
        <f>VLOOKUP(C186,CU_ARS_2025_WOF_F2!$A$2:$K$673,4,FALSE)</f>
        <v>CU_ARS_2025_WOF_cross_4</v>
      </c>
      <c r="R186">
        <f>VLOOKUP(C186,CU_ARS_2025_WOF_F2!$A$2:$K$673,5,FALSE)</f>
        <v>6</v>
      </c>
      <c r="S186">
        <f>VLOOKUP(C186,CU_ARS_2025_WOF_F2!$A$2:$K$673,6,FALSE)</f>
        <v>1</v>
      </c>
      <c r="T186">
        <f>VLOOKUP(C186,CU_ARS_2025_WOF_F2!$A$2:$K$673,7,FALSE)</f>
        <v>0</v>
      </c>
      <c r="U186">
        <f>VLOOKUP(C186,CU_ARS_2025_WOF_F2!$A$2:$K$673,8,FALSE)</f>
        <v>1</v>
      </c>
      <c r="V186">
        <f>VLOOKUP(C186,CU_ARS_2025_WOF_F2!$A$2:$K$673,9,FALSE)</f>
        <v>0</v>
      </c>
      <c r="W186">
        <f>VLOOKUP(C186,CU_ARS_2025_WOF_F2!$A$2:$K$673,10,FALSE)</f>
        <v>0</v>
      </c>
      <c r="X186">
        <f>VLOOKUP(C186,CU_ARS_2025_WOF_F2!$A$2:$K$673,11,FALSE)</f>
        <v>8</v>
      </c>
      <c r="Y186" t="str">
        <f>VLOOKUP(Q186,cross_pedigree!$A$2:$B$23,2,FALSE)</f>
        <v>NF01404A/PA8014-840</v>
      </c>
    </row>
    <row r="187" spans="1:25" ht="18">
      <c r="A187" s="20" t="s">
        <v>15</v>
      </c>
      <c r="B187" s="21" t="s">
        <v>16</v>
      </c>
      <c r="C187" s="22">
        <v>753874</v>
      </c>
      <c r="D187" s="23">
        <v>2</v>
      </c>
      <c r="E187" s="24" t="str">
        <f t="shared" si="2"/>
        <v>CU_ARS_2025_WOF_F2_6_plant_14</v>
      </c>
      <c r="F187" s="21" t="s">
        <v>61</v>
      </c>
      <c r="G187" s="44" t="s">
        <v>62</v>
      </c>
      <c r="H187" s="42"/>
      <c r="I187" s="42" t="s">
        <v>1015</v>
      </c>
      <c r="J187" s="42" t="s">
        <v>1003</v>
      </c>
      <c r="K187" s="42"/>
      <c r="L187" s="42"/>
      <c r="M187" s="42"/>
      <c r="N187" t="str">
        <f>VLOOKUP(C187,CU_ARS_2025_WOF_F2!$A$2:$K$673,2,FALSE)</f>
        <v>CU_ARS_2025_WOF_F2_6_plant_14</v>
      </c>
      <c r="O187" t="str">
        <f>VLOOKUP(C187,CU_ARS_2025_WOF_F2!$A$2:$K$673,2,FALSE)</f>
        <v>CU_ARS_2025_WOF_F2_6_plant_14</v>
      </c>
      <c r="P187" t="str">
        <f>VLOOKUP(C187,CU_ARS_2025_WOF_F2!$A$2:$K$673,3,FALSE)</f>
        <v>CU_ARS_2025_WOF_F2_6</v>
      </c>
      <c r="Q187" t="str">
        <f>VLOOKUP(C187,CU_ARS_2025_WOF_F2!$A$2:$K$673,4,FALSE)</f>
        <v>CU_ARS_2025_WOF_cross_4</v>
      </c>
      <c r="R187">
        <f>VLOOKUP(C187,CU_ARS_2025_WOF_F2!$A$2:$K$673,5,FALSE)</f>
        <v>6</v>
      </c>
      <c r="S187">
        <f>VLOOKUP(C187,CU_ARS_2025_WOF_F2!$A$2:$K$673,6,FALSE)</f>
        <v>1</v>
      </c>
      <c r="T187">
        <f>VLOOKUP(C187,CU_ARS_2025_WOF_F2!$A$2:$K$673,7,FALSE)</f>
        <v>0</v>
      </c>
      <c r="U187">
        <f>VLOOKUP(C187,CU_ARS_2025_WOF_F2!$A$2:$K$673,8,FALSE)</f>
        <v>1</v>
      </c>
      <c r="V187">
        <f>VLOOKUP(C187,CU_ARS_2025_WOF_F2!$A$2:$K$673,9,FALSE)</f>
        <v>0</v>
      </c>
      <c r="W187">
        <f>VLOOKUP(C187,CU_ARS_2025_WOF_F2!$A$2:$K$673,10,FALSE)</f>
        <v>0</v>
      </c>
      <c r="X187">
        <f>VLOOKUP(C187,CU_ARS_2025_WOF_F2!$A$2:$K$673,11,FALSE)</f>
        <v>14</v>
      </c>
      <c r="Y187" t="str">
        <f>VLOOKUP(Q187,cross_pedigree!$A$2:$B$23,2,FALSE)</f>
        <v>NF01404A/PA8014-840</v>
      </c>
    </row>
    <row r="188" spans="1:25" ht="18">
      <c r="A188" s="20" t="s">
        <v>15</v>
      </c>
      <c r="B188" s="21" t="s">
        <v>16</v>
      </c>
      <c r="C188" s="22">
        <v>753876</v>
      </c>
      <c r="D188" s="23">
        <v>2</v>
      </c>
      <c r="E188" s="24" t="str">
        <f t="shared" si="2"/>
        <v>CU_ARS_2025_WOF_F2_6_plant_16</v>
      </c>
      <c r="F188" s="21" t="s">
        <v>63</v>
      </c>
      <c r="G188" s="44" t="s">
        <v>64</v>
      </c>
      <c r="H188" s="42"/>
      <c r="I188" s="42" t="s">
        <v>1015</v>
      </c>
      <c r="J188" s="42" t="s">
        <v>1003</v>
      </c>
      <c r="K188" s="42"/>
      <c r="L188" s="42"/>
      <c r="M188" s="42"/>
      <c r="N188" t="str">
        <f>VLOOKUP(C188,CU_ARS_2025_WOF_F2!$A$2:$K$673,2,FALSE)</f>
        <v>CU_ARS_2025_WOF_F2_6_plant_16</v>
      </c>
      <c r="O188" t="str">
        <f>VLOOKUP(C188,CU_ARS_2025_WOF_F2!$A$2:$K$673,2,FALSE)</f>
        <v>CU_ARS_2025_WOF_F2_6_plant_16</v>
      </c>
      <c r="P188" t="str">
        <f>VLOOKUP(C188,CU_ARS_2025_WOF_F2!$A$2:$K$673,3,FALSE)</f>
        <v>CU_ARS_2025_WOF_F2_6</v>
      </c>
      <c r="Q188" t="str">
        <f>VLOOKUP(C188,CU_ARS_2025_WOF_F2!$A$2:$K$673,4,FALSE)</f>
        <v>CU_ARS_2025_WOF_cross_4</v>
      </c>
      <c r="R188">
        <f>VLOOKUP(C188,CU_ARS_2025_WOF_F2!$A$2:$K$673,5,FALSE)</f>
        <v>6</v>
      </c>
      <c r="S188">
        <f>VLOOKUP(C188,CU_ARS_2025_WOF_F2!$A$2:$K$673,6,FALSE)</f>
        <v>1</v>
      </c>
      <c r="T188">
        <f>VLOOKUP(C188,CU_ARS_2025_WOF_F2!$A$2:$K$673,7,FALSE)</f>
        <v>0</v>
      </c>
      <c r="U188">
        <f>VLOOKUP(C188,CU_ARS_2025_WOF_F2!$A$2:$K$673,8,FALSE)</f>
        <v>1</v>
      </c>
      <c r="V188">
        <f>VLOOKUP(C188,CU_ARS_2025_WOF_F2!$A$2:$K$673,9,FALSE)</f>
        <v>0</v>
      </c>
      <c r="W188">
        <f>VLOOKUP(C188,CU_ARS_2025_WOF_F2!$A$2:$K$673,10,FALSE)</f>
        <v>0</v>
      </c>
      <c r="X188">
        <f>VLOOKUP(C188,CU_ARS_2025_WOF_F2!$A$2:$K$673,11,FALSE)</f>
        <v>16</v>
      </c>
      <c r="Y188" t="str">
        <f>VLOOKUP(Q188,cross_pedigree!$A$2:$B$23,2,FALSE)</f>
        <v>NF01404A/PA8014-840</v>
      </c>
    </row>
    <row r="189" spans="1:25" ht="18">
      <c r="A189" s="20" t="s">
        <v>15</v>
      </c>
      <c r="B189" s="21" t="s">
        <v>16</v>
      </c>
      <c r="C189" s="22">
        <v>753875</v>
      </c>
      <c r="D189" s="23">
        <v>2</v>
      </c>
      <c r="E189" s="24" t="str">
        <f t="shared" si="2"/>
        <v>CU_ARS_2025_WOF_F2_6_plant_15</v>
      </c>
      <c r="F189" s="21" t="s">
        <v>65</v>
      </c>
      <c r="G189" s="44" t="s">
        <v>66</v>
      </c>
      <c r="H189" s="42"/>
      <c r="I189" s="42" t="s">
        <v>1015</v>
      </c>
      <c r="J189" s="42" t="s">
        <v>1003</v>
      </c>
      <c r="K189" s="42"/>
      <c r="L189" s="42"/>
      <c r="M189" s="42"/>
      <c r="N189" t="str">
        <f>VLOOKUP(C189,CU_ARS_2025_WOF_F2!$A$2:$K$673,2,FALSE)</f>
        <v>CU_ARS_2025_WOF_F2_6_plant_15</v>
      </c>
      <c r="O189" t="str">
        <f>VLOOKUP(C189,CU_ARS_2025_WOF_F2!$A$2:$K$673,2,FALSE)</f>
        <v>CU_ARS_2025_WOF_F2_6_plant_15</v>
      </c>
      <c r="P189" t="str">
        <f>VLOOKUP(C189,CU_ARS_2025_WOF_F2!$A$2:$K$673,3,FALSE)</f>
        <v>CU_ARS_2025_WOF_F2_6</v>
      </c>
      <c r="Q189" t="str">
        <f>VLOOKUP(C189,CU_ARS_2025_WOF_F2!$A$2:$K$673,4,FALSE)</f>
        <v>CU_ARS_2025_WOF_cross_4</v>
      </c>
      <c r="R189">
        <f>VLOOKUP(C189,CU_ARS_2025_WOF_F2!$A$2:$K$673,5,FALSE)</f>
        <v>6</v>
      </c>
      <c r="S189">
        <f>VLOOKUP(C189,CU_ARS_2025_WOF_F2!$A$2:$K$673,6,FALSE)</f>
        <v>1</v>
      </c>
      <c r="T189">
        <f>VLOOKUP(C189,CU_ARS_2025_WOF_F2!$A$2:$K$673,7,FALSE)</f>
        <v>0</v>
      </c>
      <c r="U189">
        <f>VLOOKUP(C189,CU_ARS_2025_WOF_F2!$A$2:$K$673,8,FALSE)</f>
        <v>1</v>
      </c>
      <c r="V189">
        <f>VLOOKUP(C189,CU_ARS_2025_WOF_F2!$A$2:$K$673,9,FALSE)</f>
        <v>0</v>
      </c>
      <c r="W189">
        <f>VLOOKUP(C189,CU_ARS_2025_WOF_F2!$A$2:$K$673,10,FALSE)</f>
        <v>0</v>
      </c>
      <c r="X189">
        <f>VLOOKUP(C189,CU_ARS_2025_WOF_F2!$A$2:$K$673,11,FALSE)</f>
        <v>15</v>
      </c>
      <c r="Y189" t="str">
        <f>VLOOKUP(Q189,cross_pedigree!$A$2:$B$23,2,FALSE)</f>
        <v>NF01404A/PA8014-840</v>
      </c>
    </row>
    <row r="190" spans="1:25" ht="18">
      <c r="A190" s="20" t="s">
        <v>15</v>
      </c>
      <c r="B190" s="21" t="s">
        <v>16</v>
      </c>
      <c r="C190" s="22">
        <v>753892</v>
      </c>
      <c r="D190" s="23">
        <v>2</v>
      </c>
      <c r="E190" s="24" t="str">
        <f t="shared" si="2"/>
        <v>CU_ARS_2025_WOF_F2_6_plant_32</v>
      </c>
      <c r="F190" s="21" t="s">
        <v>67</v>
      </c>
      <c r="G190" s="44" t="s">
        <v>68</v>
      </c>
      <c r="H190" s="42"/>
      <c r="I190" s="42" t="s">
        <v>1015</v>
      </c>
      <c r="J190" s="42" t="s">
        <v>1003</v>
      </c>
      <c r="K190" s="42"/>
      <c r="L190" s="42"/>
      <c r="M190" s="42"/>
      <c r="N190" t="str">
        <f>VLOOKUP(C190,CU_ARS_2025_WOF_F2!$A$2:$K$673,2,FALSE)</f>
        <v>CU_ARS_2025_WOF_F2_6_plant_32</v>
      </c>
      <c r="O190" t="str">
        <f>VLOOKUP(C190,CU_ARS_2025_WOF_F2!$A$2:$K$673,2,FALSE)</f>
        <v>CU_ARS_2025_WOF_F2_6_plant_32</v>
      </c>
      <c r="P190" t="str">
        <f>VLOOKUP(C190,CU_ARS_2025_WOF_F2!$A$2:$K$673,3,FALSE)</f>
        <v>CU_ARS_2025_WOF_F2_6</v>
      </c>
      <c r="Q190" t="str">
        <f>VLOOKUP(C190,CU_ARS_2025_WOF_F2!$A$2:$K$673,4,FALSE)</f>
        <v>CU_ARS_2025_WOF_cross_4</v>
      </c>
      <c r="R190">
        <f>VLOOKUP(C190,CU_ARS_2025_WOF_F2!$A$2:$K$673,5,FALSE)</f>
        <v>6</v>
      </c>
      <c r="S190">
        <f>VLOOKUP(C190,CU_ARS_2025_WOF_F2!$A$2:$K$673,6,FALSE)</f>
        <v>1</v>
      </c>
      <c r="T190">
        <f>VLOOKUP(C190,CU_ARS_2025_WOF_F2!$A$2:$K$673,7,FALSE)</f>
        <v>0</v>
      </c>
      <c r="U190">
        <f>VLOOKUP(C190,CU_ARS_2025_WOF_F2!$A$2:$K$673,8,FALSE)</f>
        <v>1</v>
      </c>
      <c r="V190">
        <f>VLOOKUP(C190,CU_ARS_2025_WOF_F2!$A$2:$K$673,9,FALSE)</f>
        <v>0</v>
      </c>
      <c r="W190">
        <f>VLOOKUP(C190,CU_ARS_2025_WOF_F2!$A$2:$K$673,10,FALSE)</f>
        <v>0</v>
      </c>
      <c r="X190">
        <f>VLOOKUP(C190,CU_ARS_2025_WOF_F2!$A$2:$K$673,11,FALSE)</f>
        <v>32</v>
      </c>
      <c r="Y190" t="str">
        <f>VLOOKUP(Q190,cross_pedigree!$A$2:$B$23,2,FALSE)</f>
        <v>NF01404A/PA8014-840</v>
      </c>
    </row>
    <row r="191" spans="1:25" ht="18">
      <c r="A191" s="20" t="s">
        <v>15</v>
      </c>
      <c r="B191" s="21" t="s">
        <v>16</v>
      </c>
      <c r="C191" s="22">
        <v>753891</v>
      </c>
      <c r="D191" s="23">
        <v>2</v>
      </c>
      <c r="E191" s="24" t="str">
        <f t="shared" si="2"/>
        <v>CU_ARS_2025_WOF_F2_6_plant_31</v>
      </c>
      <c r="F191" s="21" t="s">
        <v>96</v>
      </c>
      <c r="G191" s="44" t="s">
        <v>213</v>
      </c>
      <c r="H191" s="42"/>
      <c r="I191" s="42" t="s">
        <v>1015</v>
      </c>
      <c r="J191" s="42" t="s">
        <v>1003</v>
      </c>
      <c r="K191" s="42"/>
      <c r="L191" s="42"/>
      <c r="M191" s="42"/>
      <c r="N191" t="str">
        <f>VLOOKUP(C191,CU_ARS_2025_WOF_F2!$A$2:$K$673,2,FALSE)</f>
        <v>CU_ARS_2025_WOF_F2_6_plant_31</v>
      </c>
      <c r="O191" t="str">
        <f>VLOOKUP(C191,CU_ARS_2025_WOF_F2!$A$2:$K$673,2,FALSE)</f>
        <v>CU_ARS_2025_WOF_F2_6_plant_31</v>
      </c>
      <c r="P191" t="str">
        <f>VLOOKUP(C191,CU_ARS_2025_WOF_F2!$A$2:$K$673,3,FALSE)</f>
        <v>CU_ARS_2025_WOF_F2_6</v>
      </c>
      <c r="Q191" t="str">
        <f>VLOOKUP(C191,CU_ARS_2025_WOF_F2!$A$2:$K$673,4,FALSE)</f>
        <v>CU_ARS_2025_WOF_cross_4</v>
      </c>
      <c r="R191">
        <f>VLOOKUP(C191,CU_ARS_2025_WOF_F2!$A$2:$K$673,5,FALSE)</f>
        <v>6</v>
      </c>
      <c r="S191">
        <f>VLOOKUP(C191,CU_ARS_2025_WOF_F2!$A$2:$K$673,6,FALSE)</f>
        <v>1</v>
      </c>
      <c r="T191">
        <f>VLOOKUP(C191,CU_ARS_2025_WOF_F2!$A$2:$K$673,7,FALSE)</f>
        <v>0</v>
      </c>
      <c r="U191">
        <f>VLOOKUP(C191,CU_ARS_2025_WOF_F2!$A$2:$K$673,8,FALSE)</f>
        <v>1</v>
      </c>
      <c r="V191">
        <f>VLOOKUP(C191,CU_ARS_2025_WOF_F2!$A$2:$K$673,9,FALSE)</f>
        <v>0</v>
      </c>
      <c r="W191">
        <f>VLOOKUP(C191,CU_ARS_2025_WOF_F2!$A$2:$K$673,10,FALSE)</f>
        <v>0</v>
      </c>
      <c r="X191">
        <f>VLOOKUP(C191,CU_ARS_2025_WOF_F2!$A$2:$K$673,11,FALSE)</f>
        <v>31</v>
      </c>
      <c r="Y191" t="str">
        <f>VLOOKUP(Q191,cross_pedigree!$A$2:$B$23,2,FALSE)</f>
        <v>NF01404A/PA8014-840</v>
      </c>
    </row>
    <row r="192" spans="1:25" ht="18">
      <c r="A192" s="20" t="s">
        <v>15</v>
      </c>
      <c r="B192" s="21" t="s">
        <v>16</v>
      </c>
      <c r="C192" s="22">
        <v>753890</v>
      </c>
      <c r="D192" s="23">
        <v>2</v>
      </c>
      <c r="E192" s="24" t="str">
        <f t="shared" si="2"/>
        <v>CU_ARS_2025_WOF_F2_6_plant_30</v>
      </c>
      <c r="F192" s="21" t="s">
        <v>97</v>
      </c>
      <c r="G192" s="44" t="s">
        <v>214</v>
      </c>
      <c r="H192" s="42"/>
      <c r="I192" s="42" t="s">
        <v>1015</v>
      </c>
      <c r="J192" s="42" t="s">
        <v>1003</v>
      </c>
      <c r="K192" s="42"/>
      <c r="L192" s="42"/>
      <c r="M192" s="42"/>
      <c r="N192" t="str">
        <f>VLOOKUP(C192,CU_ARS_2025_WOF_F2!$A$2:$K$673,2,FALSE)</f>
        <v>CU_ARS_2025_WOF_F2_6_plant_30</v>
      </c>
      <c r="O192" t="str">
        <f>VLOOKUP(C192,CU_ARS_2025_WOF_F2!$A$2:$K$673,2,FALSE)</f>
        <v>CU_ARS_2025_WOF_F2_6_plant_30</v>
      </c>
      <c r="P192" t="str">
        <f>VLOOKUP(C192,CU_ARS_2025_WOF_F2!$A$2:$K$673,3,FALSE)</f>
        <v>CU_ARS_2025_WOF_F2_6</v>
      </c>
      <c r="Q192" t="str">
        <f>VLOOKUP(C192,CU_ARS_2025_WOF_F2!$A$2:$K$673,4,FALSE)</f>
        <v>CU_ARS_2025_WOF_cross_4</v>
      </c>
      <c r="R192">
        <f>VLOOKUP(C192,CU_ARS_2025_WOF_F2!$A$2:$K$673,5,FALSE)</f>
        <v>6</v>
      </c>
      <c r="S192">
        <f>VLOOKUP(C192,CU_ARS_2025_WOF_F2!$A$2:$K$673,6,FALSE)</f>
        <v>1</v>
      </c>
      <c r="T192">
        <f>VLOOKUP(C192,CU_ARS_2025_WOF_F2!$A$2:$K$673,7,FALSE)</f>
        <v>0</v>
      </c>
      <c r="U192">
        <f>VLOOKUP(C192,CU_ARS_2025_WOF_F2!$A$2:$K$673,8,FALSE)</f>
        <v>1</v>
      </c>
      <c r="V192">
        <f>VLOOKUP(C192,CU_ARS_2025_WOF_F2!$A$2:$K$673,9,FALSE)</f>
        <v>0</v>
      </c>
      <c r="W192">
        <f>VLOOKUP(C192,CU_ARS_2025_WOF_F2!$A$2:$K$673,10,FALSE)</f>
        <v>0</v>
      </c>
      <c r="X192">
        <f>VLOOKUP(C192,CU_ARS_2025_WOF_F2!$A$2:$K$673,11,FALSE)</f>
        <v>30</v>
      </c>
      <c r="Y192" t="str">
        <f>VLOOKUP(Q192,cross_pedigree!$A$2:$B$23,2,FALSE)</f>
        <v>NF01404A/PA8014-840</v>
      </c>
    </row>
    <row r="193" spans="1:25" ht="18">
      <c r="A193" s="20" t="s">
        <v>15</v>
      </c>
      <c r="B193" s="21" t="s">
        <v>16</v>
      </c>
      <c r="C193" s="22">
        <v>753516</v>
      </c>
      <c r="D193" s="23">
        <v>2</v>
      </c>
      <c r="E193" s="24" t="str">
        <f t="shared" si="2"/>
        <v>CU_ARS_2025_WOF_F2_2_plant_28</v>
      </c>
      <c r="F193" s="21" t="s">
        <v>47</v>
      </c>
      <c r="G193" s="44" t="s">
        <v>48</v>
      </c>
      <c r="H193" s="42"/>
      <c r="I193" s="42" t="s">
        <v>1034</v>
      </c>
      <c r="J193" s="42" t="s">
        <v>1003</v>
      </c>
      <c r="K193" s="42"/>
      <c r="L193" s="42"/>
      <c r="M193" s="42"/>
      <c r="N193" t="str">
        <f>VLOOKUP(C193,CU_ARS_2025_WOF_F2!$A$2:$K$673,2,FALSE)</f>
        <v>CU_ARS_2025_WOF_F2_2_plant_28</v>
      </c>
      <c r="O193" t="str">
        <f>VLOOKUP(C193,CU_ARS_2025_WOF_F2!$A$2:$K$673,2,FALSE)</f>
        <v>CU_ARS_2025_WOF_F2_2_plant_28</v>
      </c>
      <c r="P193" t="str">
        <f>VLOOKUP(C193,CU_ARS_2025_WOF_F2!$A$2:$K$673,3,FALSE)</f>
        <v>CU_ARS_2025_WOF_F2_2</v>
      </c>
      <c r="Q193" t="str">
        <f>VLOOKUP(C193,CU_ARS_2025_WOF_F2!$A$2:$K$673,4,FALSE)</f>
        <v>CU_ARS_2025_WOF_cross_45</v>
      </c>
      <c r="R193">
        <f>VLOOKUP(C193,CU_ARS_2025_WOF_F2!$A$2:$K$673,5,FALSE)</f>
        <v>2</v>
      </c>
      <c r="S193">
        <f>VLOOKUP(C193,CU_ARS_2025_WOF_F2!$A$2:$K$673,6,FALSE)</f>
        <v>1</v>
      </c>
      <c r="T193">
        <f>VLOOKUP(C193,CU_ARS_2025_WOF_F2!$A$2:$K$673,7,FALSE)</f>
        <v>0</v>
      </c>
      <c r="U193">
        <f>VLOOKUP(C193,CU_ARS_2025_WOF_F2!$A$2:$K$673,8,FALSE)</f>
        <v>1</v>
      </c>
      <c r="V193">
        <f>VLOOKUP(C193,CU_ARS_2025_WOF_F2!$A$2:$K$673,9,FALSE)</f>
        <v>0</v>
      </c>
      <c r="W193">
        <f>VLOOKUP(C193,CU_ARS_2025_WOF_F2!$A$2:$K$673,10,FALSE)</f>
        <v>0</v>
      </c>
      <c r="X193">
        <f>VLOOKUP(C193,CU_ARS_2025_WOF_F2!$A$2:$K$673,11,FALSE)</f>
        <v>28</v>
      </c>
      <c r="Y193" t="str">
        <f>VLOOKUP(Q193,cross_pedigree!$A$2:$B$23,2,FALSE)</f>
        <v>NC20-4526/AURORA</v>
      </c>
    </row>
    <row r="194" spans="1:25" ht="18">
      <c r="A194" s="21" t="s">
        <v>15</v>
      </c>
      <c r="B194" s="21" t="s">
        <v>16</v>
      </c>
      <c r="C194" s="22">
        <v>753882</v>
      </c>
      <c r="D194" s="23">
        <v>3</v>
      </c>
      <c r="E194" s="24" t="str">
        <f t="shared" si="2"/>
        <v>CU_ARS_2025_WOF_F2_6_plant_22</v>
      </c>
      <c r="F194" s="21" t="s">
        <v>100</v>
      </c>
      <c r="G194" s="44" t="s">
        <v>101</v>
      </c>
      <c r="H194" s="42"/>
      <c r="I194" s="42" t="s">
        <v>1015</v>
      </c>
      <c r="J194" s="42" t="s">
        <v>1003</v>
      </c>
      <c r="K194" s="42"/>
      <c r="L194" s="42"/>
      <c r="M194" s="42"/>
      <c r="N194" t="str">
        <f>VLOOKUP(C194,CU_ARS_2025_WOF_F2!$A$2:$K$673,2,FALSE)</f>
        <v>CU_ARS_2025_WOF_F2_6_plant_22</v>
      </c>
      <c r="O194" t="str">
        <f>VLOOKUP(C194,CU_ARS_2025_WOF_F2!$A$2:$K$673,2,FALSE)</f>
        <v>CU_ARS_2025_WOF_F2_6_plant_22</v>
      </c>
      <c r="P194" t="str">
        <f>VLOOKUP(C194,CU_ARS_2025_WOF_F2!$A$2:$K$673,3,FALSE)</f>
        <v>CU_ARS_2025_WOF_F2_6</v>
      </c>
      <c r="Q194" t="str">
        <f>VLOOKUP(C194,CU_ARS_2025_WOF_F2!$A$2:$K$673,4,FALSE)</f>
        <v>CU_ARS_2025_WOF_cross_4</v>
      </c>
      <c r="R194">
        <f>VLOOKUP(C194,CU_ARS_2025_WOF_F2!$A$2:$K$673,5,FALSE)</f>
        <v>6</v>
      </c>
      <c r="S194">
        <f>VLOOKUP(C194,CU_ARS_2025_WOF_F2!$A$2:$K$673,6,FALSE)</f>
        <v>1</v>
      </c>
      <c r="T194">
        <f>VLOOKUP(C194,CU_ARS_2025_WOF_F2!$A$2:$K$673,7,FALSE)</f>
        <v>0</v>
      </c>
      <c r="U194">
        <f>VLOOKUP(C194,CU_ARS_2025_WOF_F2!$A$2:$K$673,8,FALSE)</f>
        <v>1</v>
      </c>
      <c r="V194">
        <f>VLOOKUP(C194,CU_ARS_2025_WOF_F2!$A$2:$K$673,9,FALSE)</f>
        <v>0</v>
      </c>
      <c r="W194">
        <f>VLOOKUP(C194,CU_ARS_2025_WOF_F2!$A$2:$K$673,10,FALSE)</f>
        <v>0</v>
      </c>
      <c r="X194">
        <f>VLOOKUP(C194,CU_ARS_2025_WOF_F2!$A$2:$K$673,11,FALSE)</f>
        <v>22</v>
      </c>
      <c r="Y194" t="str">
        <f>VLOOKUP(Q194,cross_pedigree!$A$2:$B$23,2,FALSE)</f>
        <v>NF01404A/PA8014-840</v>
      </c>
    </row>
    <row r="195" spans="1:25" ht="18">
      <c r="A195" s="21" t="s">
        <v>15</v>
      </c>
      <c r="B195" s="21" t="s">
        <v>16</v>
      </c>
      <c r="C195" s="22">
        <v>753883</v>
      </c>
      <c r="D195" s="23">
        <v>3</v>
      </c>
      <c r="E195" s="24" t="str">
        <f t="shared" ref="E195:E258" si="3">O195</f>
        <v>CU_ARS_2025_WOF_F2_6_plant_23</v>
      </c>
      <c r="F195" s="21" t="s">
        <v>102</v>
      </c>
      <c r="G195" s="44" t="s">
        <v>103</v>
      </c>
      <c r="H195" s="42"/>
      <c r="I195" s="42" t="s">
        <v>1015</v>
      </c>
      <c r="J195" s="42" t="s">
        <v>1003</v>
      </c>
      <c r="K195" s="42"/>
      <c r="L195" s="42"/>
      <c r="M195" s="42"/>
      <c r="N195" t="str">
        <f>VLOOKUP(C195,CU_ARS_2025_WOF_F2!$A$2:$K$673,2,FALSE)</f>
        <v>CU_ARS_2025_WOF_F2_6_plant_23</v>
      </c>
      <c r="O195" t="str">
        <f>VLOOKUP(C195,CU_ARS_2025_WOF_F2!$A$2:$K$673,2,FALSE)</f>
        <v>CU_ARS_2025_WOF_F2_6_plant_23</v>
      </c>
      <c r="P195" t="str">
        <f>VLOOKUP(C195,CU_ARS_2025_WOF_F2!$A$2:$K$673,3,FALSE)</f>
        <v>CU_ARS_2025_WOF_F2_6</v>
      </c>
      <c r="Q195" t="str">
        <f>VLOOKUP(C195,CU_ARS_2025_WOF_F2!$A$2:$K$673,4,FALSE)</f>
        <v>CU_ARS_2025_WOF_cross_4</v>
      </c>
      <c r="R195">
        <f>VLOOKUP(C195,CU_ARS_2025_WOF_F2!$A$2:$K$673,5,FALSE)</f>
        <v>6</v>
      </c>
      <c r="S195">
        <f>VLOOKUP(C195,CU_ARS_2025_WOF_F2!$A$2:$K$673,6,FALSE)</f>
        <v>1</v>
      </c>
      <c r="T195">
        <f>VLOOKUP(C195,CU_ARS_2025_WOF_F2!$A$2:$K$673,7,FALSE)</f>
        <v>0</v>
      </c>
      <c r="U195">
        <f>VLOOKUP(C195,CU_ARS_2025_WOF_F2!$A$2:$K$673,8,FALSE)</f>
        <v>1</v>
      </c>
      <c r="V195">
        <f>VLOOKUP(C195,CU_ARS_2025_WOF_F2!$A$2:$K$673,9,FALSE)</f>
        <v>0</v>
      </c>
      <c r="W195">
        <f>VLOOKUP(C195,CU_ARS_2025_WOF_F2!$A$2:$K$673,10,FALSE)</f>
        <v>0</v>
      </c>
      <c r="X195">
        <f>VLOOKUP(C195,CU_ARS_2025_WOF_F2!$A$2:$K$673,11,FALSE)</f>
        <v>23</v>
      </c>
      <c r="Y195" t="str">
        <f>VLOOKUP(Q195,cross_pedigree!$A$2:$B$23,2,FALSE)</f>
        <v>NF01404A/PA8014-840</v>
      </c>
    </row>
    <row r="196" spans="1:25" ht="18">
      <c r="A196" s="21" t="s">
        <v>15</v>
      </c>
      <c r="B196" s="21" t="s">
        <v>16</v>
      </c>
      <c r="C196" s="22">
        <v>753877</v>
      </c>
      <c r="D196" s="23">
        <v>3</v>
      </c>
      <c r="E196" s="24" t="str">
        <f t="shared" si="3"/>
        <v>CU_ARS_2025_WOF_F2_6_plant_17</v>
      </c>
      <c r="F196" s="21" t="s">
        <v>104</v>
      </c>
      <c r="G196" s="44" t="s">
        <v>105</v>
      </c>
      <c r="H196" s="42"/>
      <c r="I196" s="42" t="s">
        <v>1015</v>
      </c>
      <c r="J196" s="42" t="s">
        <v>1003</v>
      </c>
      <c r="K196" s="42"/>
      <c r="L196" s="42"/>
      <c r="M196" s="42"/>
      <c r="N196" t="str">
        <f>VLOOKUP(C196,CU_ARS_2025_WOF_F2!$A$2:$K$673,2,FALSE)</f>
        <v>CU_ARS_2025_WOF_F2_6_plant_17</v>
      </c>
      <c r="O196" t="str">
        <f>VLOOKUP(C196,CU_ARS_2025_WOF_F2!$A$2:$K$673,2,FALSE)</f>
        <v>CU_ARS_2025_WOF_F2_6_plant_17</v>
      </c>
      <c r="P196" t="str">
        <f>VLOOKUP(C196,CU_ARS_2025_WOF_F2!$A$2:$K$673,3,FALSE)</f>
        <v>CU_ARS_2025_WOF_F2_6</v>
      </c>
      <c r="Q196" t="str">
        <f>VLOOKUP(C196,CU_ARS_2025_WOF_F2!$A$2:$K$673,4,FALSE)</f>
        <v>CU_ARS_2025_WOF_cross_4</v>
      </c>
      <c r="R196">
        <f>VLOOKUP(C196,CU_ARS_2025_WOF_F2!$A$2:$K$673,5,FALSE)</f>
        <v>6</v>
      </c>
      <c r="S196">
        <f>VLOOKUP(C196,CU_ARS_2025_WOF_F2!$A$2:$K$673,6,FALSE)</f>
        <v>1</v>
      </c>
      <c r="T196">
        <f>VLOOKUP(C196,CU_ARS_2025_WOF_F2!$A$2:$K$673,7,FALSE)</f>
        <v>0</v>
      </c>
      <c r="U196">
        <f>VLOOKUP(C196,CU_ARS_2025_WOF_F2!$A$2:$K$673,8,FALSE)</f>
        <v>1</v>
      </c>
      <c r="V196">
        <f>VLOOKUP(C196,CU_ARS_2025_WOF_F2!$A$2:$K$673,9,FALSE)</f>
        <v>0</v>
      </c>
      <c r="W196">
        <f>VLOOKUP(C196,CU_ARS_2025_WOF_F2!$A$2:$K$673,10,FALSE)</f>
        <v>0</v>
      </c>
      <c r="X196">
        <f>VLOOKUP(C196,CU_ARS_2025_WOF_F2!$A$2:$K$673,11,FALSE)</f>
        <v>17</v>
      </c>
      <c r="Y196" t="str">
        <f>VLOOKUP(Q196,cross_pedigree!$A$2:$B$23,2,FALSE)</f>
        <v>NF01404A/PA8014-840</v>
      </c>
    </row>
    <row r="197" spans="1:25" ht="18">
      <c r="A197" s="21" t="s">
        <v>15</v>
      </c>
      <c r="B197" s="21" t="s">
        <v>16</v>
      </c>
      <c r="C197" s="22">
        <v>753878</v>
      </c>
      <c r="D197" s="23">
        <v>3</v>
      </c>
      <c r="E197" s="24" t="str">
        <f t="shared" si="3"/>
        <v>CU_ARS_2025_WOF_F2_6_plant_18</v>
      </c>
      <c r="F197" s="21" t="s">
        <v>69</v>
      </c>
      <c r="G197" s="44" t="s">
        <v>106</v>
      </c>
      <c r="H197" s="42"/>
      <c r="I197" s="42" t="s">
        <v>1015</v>
      </c>
      <c r="J197" s="42" t="s">
        <v>1003</v>
      </c>
      <c r="K197" s="42"/>
      <c r="L197" s="42"/>
      <c r="M197" s="42"/>
      <c r="N197" t="str">
        <f>VLOOKUP(C197,CU_ARS_2025_WOF_F2!$A$2:$K$673,2,FALSE)</f>
        <v>CU_ARS_2025_WOF_F2_6_plant_18</v>
      </c>
      <c r="O197" t="str">
        <f>VLOOKUP(C197,CU_ARS_2025_WOF_F2!$A$2:$K$673,2,FALSE)</f>
        <v>CU_ARS_2025_WOF_F2_6_plant_18</v>
      </c>
      <c r="P197" t="str">
        <f>VLOOKUP(C197,CU_ARS_2025_WOF_F2!$A$2:$K$673,3,FALSE)</f>
        <v>CU_ARS_2025_WOF_F2_6</v>
      </c>
      <c r="Q197" t="str">
        <f>VLOOKUP(C197,CU_ARS_2025_WOF_F2!$A$2:$K$673,4,FALSE)</f>
        <v>CU_ARS_2025_WOF_cross_4</v>
      </c>
      <c r="R197">
        <f>VLOOKUP(C197,CU_ARS_2025_WOF_F2!$A$2:$K$673,5,FALSE)</f>
        <v>6</v>
      </c>
      <c r="S197">
        <f>VLOOKUP(C197,CU_ARS_2025_WOF_F2!$A$2:$K$673,6,FALSE)</f>
        <v>1</v>
      </c>
      <c r="T197">
        <f>VLOOKUP(C197,CU_ARS_2025_WOF_F2!$A$2:$K$673,7,FALSE)</f>
        <v>0</v>
      </c>
      <c r="U197">
        <f>VLOOKUP(C197,CU_ARS_2025_WOF_F2!$A$2:$K$673,8,FALSE)</f>
        <v>1</v>
      </c>
      <c r="V197">
        <f>VLOOKUP(C197,CU_ARS_2025_WOF_F2!$A$2:$K$673,9,FALSE)</f>
        <v>0</v>
      </c>
      <c r="W197">
        <f>VLOOKUP(C197,CU_ARS_2025_WOF_F2!$A$2:$K$673,10,FALSE)</f>
        <v>0</v>
      </c>
      <c r="X197">
        <f>VLOOKUP(C197,CU_ARS_2025_WOF_F2!$A$2:$K$673,11,FALSE)</f>
        <v>18</v>
      </c>
      <c r="Y197" t="str">
        <f>VLOOKUP(Q197,cross_pedigree!$A$2:$B$23,2,FALSE)</f>
        <v>NF01404A/PA8014-840</v>
      </c>
    </row>
    <row r="198" spans="1:25" ht="18">
      <c r="A198" s="21" t="s">
        <v>15</v>
      </c>
      <c r="B198" s="21" t="s">
        <v>16</v>
      </c>
      <c r="C198" s="22">
        <v>753879</v>
      </c>
      <c r="D198" s="23">
        <v>3</v>
      </c>
      <c r="E198" s="24" t="str">
        <f t="shared" si="3"/>
        <v>CU_ARS_2025_WOF_F2_6_plant_19</v>
      </c>
      <c r="F198" s="21" t="s">
        <v>71</v>
      </c>
      <c r="G198" s="44" t="s">
        <v>107</v>
      </c>
      <c r="H198" s="42"/>
      <c r="I198" s="42" t="s">
        <v>1015</v>
      </c>
      <c r="J198" s="42" t="s">
        <v>1003</v>
      </c>
      <c r="K198" s="42"/>
      <c r="L198" s="42"/>
      <c r="M198" s="42"/>
      <c r="N198" t="str">
        <f>VLOOKUP(C198,CU_ARS_2025_WOF_F2!$A$2:$K$673,2,FALSE)</f>
        <v>CU_ARS_2025_WOF_F2_6_plant_19</v>
      </c>
      <c r="O198" t="str">
        <f>VLOOKUP(C198,CU_ARS_2025_WOF_F2!$A$2:$K$673,2,FALSE)</f>
        <v>CU_ARS_2025_WOF_F2_6_plant_19</v>
      </c>
      <c r="P198" t="str">
        <f>VLOOKUP(C198,CU_ARS_2025_WOF_F2!$A$2:$K$673,3,FALSE)</f>
        <v>CU_ARS_2025_WOF_F2_6</v>
      </c>
      <c r="Q198" t="str">
        <f>VLOOKUP(C198,CU_ARS_2025_WOF_F2!$A$2:$K$673,4,FALSE)</f>
        <v>CU_ARS_2025_WOF_cross_4</v>
      </c>
      <c r="R198">
        <f>VLOOKUP(C198,CU_ARS_2025_WOF_F2!$A$2:$K$673,5,FALSE)</f>
        <v>6</v>
      </c>
      <c r="S198">
        <f>VLOOKUP(C198,CU_ARS_2025_WOF_F2!$A$2:$K$673,6,FALSE)</f>
        <v>1</v>
      </c>
      <c r="T198">
        <f>VLOOKUP(C198,CU_ARS_2025_WOF_F2!$A$2:$K$673,7,FALSE)</f>
        <v>0</v>
      </c>
      <c r="U198">
        <f>VLOOKUP(C198,CU_ARS_2025_WOF_F2!$A$2:$K$673,8,FALSE)</f>
        <v>1</v>
      </c>
      <c r="V198">
        <f>VLOOKUP(C198,CU_ARS_2025_WOF_F2!$A$2:$K$673,9,FALSE)</f>
        <v>0</v>
      </c>
      <c r="W198">
        <f>VLOOKUP(C198,CU_ARS_2025_WOF_F2!$A$2:$K$673,10,FALSE)</f>
        <v>0</v>
      </c>
      <c r="X198">
        <f>VLOOKUP(C198,CU_ARS_2025_WOF_F2!$A$2:$K$673,11,FALSE)</f>
        <v>19</v>
      </c>
      <c r="Y198" t="str">
        <f>VLOOKUP(Q198,cross_pedigree!$A$2:$B$23,2,FALSE)</f>
        <v>NF01404A/PA8014-840</v>
      </c>
    </row>
    <row r="199" spans="1:25" ht="18">
      <c r="A199" s="21" t="s">
        <v>15</v>
      </c>
      <c r="B199" s="21" t="s">
        <v>16</v>
      </c>
      <c r="C199" s="22">
        <v>753880</v>
      </c>
      <c r="D199" s="23">
        <v>3</v>
      </c>
      <c r="E199" s="24" t="str">
        <f t="shared" si="3"/>
        <v>CU_ARS_2025_WOF_F2_6_plant_20</v>
      </c>
      <c r="F199" s="21" t="s">
        <v>73</v>
      </c>
      <c r="G199" s="44" t="s">
        <v>108</v>
      </c>
      <c r="H199" s="42"/>
      <c r="I199" s="42" t="s">
        <v>1015</v>
      </c>
      <c r="J199" s="42" t="s">
        <v>1003</v>
      </c>
      <c r="K199" s="42"/>
      <c r="L199" s="42"/>
      <c r="M199" s="42"/>
      <c r="N199" t="str">
        <f>VLOOKUP(C199,CU_ARS_2025_WOF_F2!$A$2:$K$673,2,FALSE)</f>
        <v>CU_ARS_2025_WOF_F2_6_plant_20</v>
      </c>
      <c r="O199" t="str">
        <f>VLOOKUP(C199,CU_ARS_2025_WOF_F2!$A$2:$K$673,2,FALSE)</f>
        <v>CU_ARS_2025_WOF_F2_6_plant_20</v>
      </c>
      <c r="P199" t="str">
        <f>VLOOKUP(C199,CU_ARS_2025_WOF_F2!$A$2:$K$673,3,FALSE)</f>
        <v>CU_ARS_2025_WOF_F2_6</v>
      </c>
      <c r="Q199" t="str">
        <f>VLOOKUP(C199,CU_ARS_2025_WOF_F2!$A$2:$K$673,4,FALSE)</f>
        <v>CU_ARS_2025_WOF_cross_4</v>
      </c>
      <c r="R199">
        <f>VLOOKUP(C199,CU_ARS_2025_WOF_F2!$A$2:$K$673,5,FALSE)</f>
        <v>6</v>
      </c>
      <c r="S199">
        <f>VLOOKUP(C199,CU_ARS_2025_WOF_F2!$A$2:$K$673,6,FALSE)</f>
        <v>1</v>
      </c>
      <c r="T199">
        <f>VLOOKUP(C199,CU_ARS_2025_WOF_F2!$A$2:$K$673,7,FALSE)</f>
        <v>0</v>
      </c>
      <c r="U199">
        <f>VLOOKUP(C199,CU_ARS_2025_WOF_F2!$A$2:$K$673,8,FALSE)</f>
        <v>1</v>
      </c>
      <c r="V199">
        <f>VLOOKUP(C199,CU_ARS_2025_WOF_F2!$A$2:$K$673,9,FALSE)</f>
        <v>0</v>
      </c>
      <c r="W199">
        <f>VLOOKUP(C199,CU_ARS_2025_WOF_F2!$A$2:$K$673,10,FALSE)</f>
        <v>0</v>
      </c>
      <c r="X199">
        <f>VLOOKUP(C199,CU_ARS_2025_WOF_F2!$A$2:$K$673,11,FALSE)</f>
        <v>20</v>
      </c>
      <c r="Y199" t="str">
        <f>VLOOKUP(Q199,cross_pedigree!$A$2:$B$23,2,FALSE)</f>
        <v>NF01404A/PA8014-840</v>
      </c>
    </row>
    <row r="200" spans="1:25" ht="18">
      <c r="A200" s="21" t="s">
        <v>15</v>
      </c>
      <c r="B200" s="21" t="s">
        <v>16</v>
      </c>
      <c r="C200" s="22">
        <v>753881</v>
      </c>
      <c r="D200" s="23">
        <v>3</v>
      </c>
      <c r="E200" s="24" t="str">
        <f t="shared" si="3"/>
        <v>CU_ARS_2025_WOF_F2_6_plant_21</v>
      </c>
      <c r="F200" s="21" t="s">
        <v>75</v>
      </c>
      <c r="G200" s="44" t="s">
        <v>109</v>
      </c>
      <c r="H200" s="42"/>
      <c r="I200" s="42" t="s">
        <v>1015</v>
      </c>
      <c r="J200" s="42" t="s">
        <v>1003</v>
      </c>
      <c r="K200" s="42"/>
      <c r="L200" s="42"/>
      <c r="M200" s="42"/>
      <c r="N200" t="str">
        <f>VLOOKUP(C200,CU_ARS_2025_WOF_F2!$A$2:$K$673,2,FALSE)</f>
        <v>CU_ARS_2025_WOF_F2_6_plant_21</v>
      </c>
      <c r="O200" t="str">
        <f>VLOOKUP(C200,CU_ARS_2025_WOF_F2!$A$2:$K$673,2,FALSE)</f>
        <v>CU_ARS_2025_WOF_F2_6_plant_21</v>
      </c>
      <c r="P200" t="str">
        <f>VLOOKUP(C200,CU_ARS_2025_WOF_F2!$A$2:$K$673,3,FALSE)</f>
        <v>CU_ARS_2025_WOF_F2_6</v>
      </c>
      <c r="Q200" t="str">
        <f>VLOOKUP(C200,CU_ARS_2025_WOF_F2!$A$2:$K$673,4,FALSE)</f>
        <v>CU_ARS_2025_WOF_cross_4</v>
      </c>
      <c r="R200">
        <f>VLOOKUP(C200,CU_ARS_2025_WOF_F2!$A$2:$K$673,5,FALSE)</f>
        <v>6</v>
      </c>
      <c r="S200">
        <f>VLOOKUP(C200,CU_ARS_2025_WOF_F2!$A$2:$K$673,6,FALSE)</f>
        <v>1</v>
      </c>
      <c r="T200">
        <f>VLOOKUP(C200,CU_ARS_2025_WOF_F2!$A$2:$K$673,7,FALSE)</f>
        <v>0</v>
      </c>
      <c r="U200">
        <f>VLOOKUP(C200,CU_ARS_2025_WOF_F2!$A$2:$K$673,8,FALSE)</f>
        <v>1</v>
      </c>
      <c r="V200">
        <f>VLOOKUP(C200,CU_ARS_2025_WOF_F2!$A$2:$K$673,9,FALSE)</f>
        <v>0</v>
      </c>
      <c r="W200">
        <f>VLOOKUP(C200,CU_ARS_2025_WOF_F2!$A$2:$K$673,10,FALSE)</f>
        <v>0</v>
      </c>
      <c r="X200">
        <f>VLOOKUP(C200,CU_ARS_2025_WOF_F2!$A$2:$K$673,11,FALSE)</f>
        <v>21</v>
      </c>
      <c r="Y200" t="str">
        <f>VLOOKUP(Q200,cross_pedigree!$A$2:$B$23,2,FALSE)</f>
        <v>NF01404A/PA8014-840</v>
      </c>
    </row>
    <row r="201" spans="1:25" ht="18">
      <c r="A201" s="21" t="s">
        <v>15</v>
      </c>
      <c r="B201" s="21" t="s">
        <v>16</v>
      </c>
      <c r="C201" s="22">
        <v>753885</v>
      </c>
      <c r="D201" s="23">
        <v>3</v>
      </c>
      <c r="E201" s="24" t="str">
        <f t="shared" si="3"/>
        <v>CU_ARS_2025_WOF_F2_6_plant_25</v>
      </c>
      <c r="F201" s="21" t="s">
        <v>77</v>
      </c>
      <c r="G201" s="44" t="s">
        <v>110</v>
      </c>
      <c r="H201" s="42"/>
      <c r="I201" s="42" t="s">
        <v>1015</v>
      </c>
      <c r="J201" s="42" t="s">
        <v>1003</v>
      </c>
      <c r="K201" s="42"/>
      <c r="L201" s="42"/>
      <c r="M201" s="42"/>
      <c r="N201" t="str">
        <f>VLOOKUP(C201,CU_ARS_2025_WOF_F2!$A$2:$K$673,2,FALSE)</f>
        <v>CU_ARS_2025_WOF_F2_6_plant_25</v>
      </c>
      <c r="O201" t="str">
        <f>VLOOKUP(C201,CU_ARS_2025_WOF_F2!$A$2:$K$673,2,FALSE)</f>
        <v>CU_ARS_2025_WOF_F2_6_plant_25</v>
      </c>
      <c r="P201" t="str">
        <f>VLOOKUP(C201,CU_ARS_2025_WOF_F2!$A$2:$K$673,3,FALSE)</f>
        <v>CU_ARS_2025_WOF_F2_6</v>
      </c>
      <c r="Q201" t="str">
        <f>VLOOKUP(C201,CU_ARS_2025_WOF_F2!$A$2:$K$673,4,FALSE)</f>
        <v>CU_ARS_2025_WOF_cross_4</v>
      </c>
      <c r="R201">
        <f>VLOOKUP(C201,CU_ARS_2025_WOF_F2!$A$2:$K$673,5,FALSE)</f>
        <v>6</v>
      </c>
      <c r="S201">
        <f>VLOOKUP(C201,CU_ARS_2025_WOF_F2!$A$2:$K$673,6,FALSE)</f>
        <v>1</v>
      </c>
      <c r="T201">
        <f>VLOOKUP(C201,CU_ARS_2025_WOF_F2!$A$2:$K$673,7,FALSE)</f>
        <v>0</v>
      </c>
      <c r="U201">
        <f>VLOOKUP(C201,CU_ARS_2025_WOF_F2!$A$2:$K$673,8,FALSE)</f>
        <v>1</v>
      </c>
      <c r="V201">
        <f>VLOOKUP(C201,CU_ARS_2025_WOF_F2!$A$2:$K$673,9,FALSE)</f>
        <v>0</v>
      </c>
      <c r="W201">
        <f>VLOOKUP(C201,CU_ARS_2025_WOF_F2!$A$2:$K$673,10,FALSE)</f>
        <v>0</v>
      </c>
      <c r="X201">
        <f>VLOOKUP(C201,CU_ARS_2025_WOF_F2!$A$2:$K$673,11,FALSE)</f>
        <v>25</v>
      </c>
      <c r="Y201" t="str">
        <f>VLOOKUP(Q201,cross_pedigree!$A$2:$B$23,2,FALSE)</f>
        <v>NF01404A/PA8014-840</v>
      </c>
    </row>
    <row r="202" spans="1:25" ht="18">
      <c r="A202" s="21" t="s">
        <v>15</v>
      </c>
      <c r="B202" s="21" t="s">
        <v>16</v>
      </c>
      <c r="C202" s="22">
        <v>753886</v>
      </c>
      <c r="D202" s="23">
        <v>3</v>
      </c>
      <c r="E202" s="24" t="str">
        <f t="shared" si="3"/>
        <v>CU_ARS_2025_WOF_F2_6_plant_26</v>
      </c>
      <c r="F202" s="21" t="s">
        <v>79</v>
      </c>
      <c r="G202" s="44" t="s">
        <v>111</v>
      </c>
      <c r="H202" s="42"/>
      <c r="I202" s="42" t="s">
        <v>1015</v>
      </c>
      <c r="J202" s="42" t="s">
        <v>1003</v>
      </c>
      <c r="K202" s="42"/>
      <c r="L202" s="42"/>
      <c r="M202" s="42"/>
      <c r="N202" t="str">
        <f>VLOOKUP(C202,CU_ARS_2025_WOF_F2!$A$2:$K$673,2,FALSE)</f>
        <v>CU_ARS_2025_WOF_F2_6_plant_26</v>
      </c>
      <c r="O202" t="str">
        <f>VLOOKUP(C202,CU_ARS_2025_WOF_F2!$A$2:$K$673,2,FALSE)</f>
        <v>CU_ARS_2025_WOF_F2_6_plant_26</v>
      </c>
      <c r="P202" t="str">
        <f>VLOOKUP(C202,CU_ARS_2025_WOF_F2!$A$2:$K$673,3,FALSE)</f>
        <v>CU_ARS_2025_WOF_F2_6</v>
      </c>
      <c r="Q202" t="str">
        <f>VLOOKUP(C202,CU_ARS_2025_WOF_F2!$A$2:$K$673,4,FALSE)</f>
        <v>CU_ARS_2025_WOF_cross_4</v>
      </c>
      <c r="R202">
        <f>VLOOKUP(C202,CU_ARS_2025_WOF_F2!$A$2:$K$673,5,FALSE)</f>
        <v>6</v>
      </c>
      <c r="S202">
        <f>VLOOKUP(C202,CU_ARS_2025_WOF_F2!$A$2:$K$673,6,FALSE)</f>
        <v>1</v>
      </c>
      <c r="T202">
        <f>VLOOKUP(C202,CU_ARS_2025_WOF_F2!$A$2:$K$673,7,FALSE)</f>
        <v>0</v>
      </c>
      <c r="U202">
        <f>VLOOKUP(C202,CU_ARS_2025_WOF_F2!$A$2:$K$673,8,FALSE)</f>
        <v>1</v>
      </c>
      <c r="V202">
        <f>VLOOKUP(C202,CU_ARS_2025_WOF_F2!$A$2:$K$673,9,FALSE)</f>
        <v>0</v>
      </c>
      <c r="W202">
        <f>VLOOKUP(C202,CU_ARS_2025_WOF_F2!$A$2:$K$673,10,FALSE)</f>
        <v>0</v>
      </c>
      <c r="X202">
        <f>VLOOKUP(C202,CU_ARS_2025_WOF_F2!$A$2:$K$673,11,FALSE)</f>
        <v>26</v>
      </c>
      <c r="Y202" t="str">
        <f>VLOOKUP(Q202,cross_pedigree!$A$2:$B$23,2,FALSE)</f>
        <v>NF01404A/PA8014-840</v>
      </c>
    </row>
    <row r="203" spans="1:25" ht="18">
      <c r="A203" s="21" t="s">
        <v>15</v>
      </c>
      <c r="B203" s="21" t="s">
        <v>16</v>
      </c>
      <c r="C203" s="22">
        <v>753887</v>
      </c>
      <c r="D203" s="23">
        <v>3</v>
      </c>
      <c r="E203" s="24" t="str">
        <f t="shared" si="3"/>
        <v>CU_ARS_2025_WOF_F2_6_plant_27</v>
      </c>
      <c r="F203" s="21" t="s">
        <v>81</v>
      </c>
      <c r="G203" s="44" t="s">
        <v>112</v>
      </c>
      <c r="H203" s="42"/>
      <c r="I203" s="42" t="s">
        <v>1015</v>
      </c>
      <c r="J203" s="42" t="s">
        <v>1003</v>
      </c>
      <c r="K203" s="42"/>
      <c r="L203" s="42"/>
      <c r="M203" s="42"/>
      <c r="N203" t="str">
        <f>VLOOKUP(C203,CU_ARS_2025_WOF_F2!$A$2:$K$673,2,FALSE)</f>
        <v>CU_ARS_2025_WOF_F2_6_plant_27</v>
      </c>
      <c r="O203" t="str">
        <f>VLOOKUP(C203,CU_ARS_2025_WOF_F2!$A$2:$K$673,2,FALSE)</f>
        <v>CU_ARS_2025_WOF_F2_6_plant_27</v>
      </c>
      <c r="P203" t="str">
        <f>VLOOKUP(C203,CU_ARS_2025_WOF_F2!$A$2:$K$673,3,FALSE)</f>
        <v>CU_ARS_2025_WOF_F2_6</v>
      </c>
      <c r="Q203" t="str">
        <f>VLOOKUP(C203,CU_ARS_2025_WOF_F2!$A$2:$K$673,4,FALSE)</f>
        <v>CU_ARS_2025_WOF_cross_4</v>
      </c>
      <c r="R203">
        <f>VLOOKUP(C203,CU_ARS_2025_WOF_F2!$A$2:$K$673,5,FALSE)</f>
        <v>6</v>
      </c>
      <c r="S203">
        <f>VLOOKUP(C203,CU_ARS_2025_WOF_F2!$A$2:$K$673,6,FALSE)</f>
        <v>1</v>
      </c>
      <c r="T203">
        <f>VLOOKUP(C203,CU_ARS_2025_WOF_F2!$A$2:$K$673,7,FALSE)</f>
        <v>0</v>
      </c>
      <c r="U203">
        <f>VLOOKUP(C203,CU_ARS_2025_WOF_F2!$A$2:$K$673,8,FALSE)</f>
        <v>1</v>
      </c>
      <c r="V203">
        <f>VLOOKUP(C203,CU_ARS_2025_WOF_F2!$A$2:$K$673,9,FALSE)</f>
        <v>0</v>
      </c>
      <c r="W203">
        <f>VLOOKUP(C203,CU_ARS_2025_WOF_F2!$A$2:$K$673,10,FALSE)</f>
        <v>0</v>
      </c>
      <c r="X203">
        <f>VLOOKUP(C203,CU_ARS_2025_WOF_F2!$A$2:$K$673,11,FALSE)</f>
        <v>27</v>
      </c>
      <c r="Y203" t="str">
        <f>VLOOKUP(Q203,cross_pedigree!$A$2:$B$23,2,FALSE)</f>
        <v>NF01404A/PA8014-840</v>
      </c>
    </row>
    <row r="204" spans="1:25" ht="18">
      <c r="A204" s="21" t="s">
        <v>15</v>
      </c>
      <c r="B204" s="21" t="s">
        <v>16</v>
      </c>
      <c r="C204" s="22">
        <v>753888</v>
      </c>
      <c r="D204" s="23">
        <v>3</v>
      </c>
      <c r="E204" s="24" t="str">
        <f t="shared" si="3"/>
        <v>CU_ARS_2025_WOF_F2_6_plant_28</v>
      </c>
      <c r="F204" s="21" t="s">
        <v>82</v>
      </c>
      <c r="G204" s="44" t="s">
        <v>113</v>
      </c>
      <c r="H204" s="42"/>
      <c r="I204" s="42" t="s">
        <v>1015</v>
      </c>
      <c r="J204" s="42" t="s">
        <v>1003</v>
      </c>
      <c r="K204" s="42"/>
      <c r="L204" s="42"/>
      <c r="M204" s="42"/>
      <c r="N204" t="str">
        <f>VLOOKUP(C204,CU_ARS_2025_WOF_F2!$A$2:$K$673,2,FALSE)</f>
        <v>CU_ARS_2025_WOF_F2_6_plant_28</v>
      </c>
      <c r="O204" t="str">
        <f>VLOOKUP(C204,CU_ARS_2025_WOF_F2!$A$2:$K$673,2,FALSE)</f>
        <v>CU_ARS_2025_WOF_F2_6_plant_28</v>
      </c>
      <c r="P204" t="str">
        <f>VLOOKUP(C204,CU_ARS_2025_WOF_F2!$A$2:$K$673,3,FALSE)</f>
        <v>CU_ARS_2025_WOF_F2_6</v>
      </c>
      <c r="Q204" t="str">
        <f>VLOOKUP(C204,CU_ARS_2025_WOF_F2!$A$2:$K$673,4,FALSE)</f>
        <v>CU_ARS_2025_WOF_cross_4</v>
      </c>
      <c r="R204">
        <f>VLOOKUP(C204,CU_ARS_2025_WOF_F2!$A$2:$K$673,5,FALSE)</f>
        <v>6</v>
      </c>
      <c r="S204">
        <f>VLOOKUP(C204,CU_ARS_2025_WOF_F2!$A$2:$K$673,6,FALSE)</f>
        <v>1</v>
      </c>
      <c r="T204">
        <f>VLOOKUP(C204,CU_ARS_2025_WOF_F2!$A$2:$K$673,7,FALSE)</f>
        <v>0</v>
      </c>
      <c r="U204">
        <f>VLOOKUP(C204,CU_ARS_2025_WOF_F2!$A$2:$K$673,8,FALSE)</f>
        <v>1</v>
      </c>
      <c r="V204">
        <f>VLOOKUP(C204,CU_ARS_2025_WOF_F2!$A$2:$K$673,9,FALSE)</f>
        <v>0</v>
      </c>
      <c r="W204">
        <f>VLOOKUP(C204,CU_ARS_2025_WOF_F2!$A$2:$K$673,10,FALSE)</f>
        <v>0</v>
      </c>
      <c r="X204">
        <f>VLOOKUP(C204,CU_ARS_2025_WOF_F2!$A$2:$K$673,11,FALSE)</f>
        <v>28</v>
      </c>
      <c r="Y204" t="str">
        <f>VLOOKUP(Q204,cross_pedigree!$A$2:$B$23,2,FALSE)</f>
        <v>NF01404A/PA8014-840</v>
      </c>
    </row>
    <row r="205" spans="1:25" ht="18">
      <c r="A205" s="21" t="s">
        <v>15</v>
      </c>
      <c r="B205" s="21" t="s">
        <v>16</v>
      </c>
      <c r="C205" s="22">
        <v>753889</v>
      </c>
      <c r="D205" s="23">
        <v>3</v>
      </c>
      <c r="E205" s="24" t="str">
        <f t="shared" si="3"/>
        <v>CU_ARS_2025_WOF_F2_6_plant_29</v>
      </c>
      <c r="F205" s="21" t="s">
        <v>83</v>
      </c>
      <c r="G205" s="44" t="s">
        <v>114</v>
      </c>
      <c r="H205" s="42"/>
      <c r="I205" s="42" t="s">
        <v>1015</v>
      </c>
      <c r="J205" s="42" t="s">
        <v>1003</v>
      </c>
      <c r="K205" s="42"/>
      <c r="L205" s="42"/>
      <c r="M205" s="42"/>
      <c r="N205" t="str">
        <f>VLOOKUP(C205,CU_ARS_2025_WOF_F2!$A$2:$K$673,2,FALSE)</f>
        <v>CU_ARS_2025_WOF_F2_6_plant_29</v>
      </c>
      <c r="O205" t="str">
        <f>VLOOKUP(C205,CU_ARS_2025_WOF_F2!$A$2:$K$673,2,FALSE)</f>
        <v>CU_ARS_2025_WOF_F2_6_plant_29</v>
      </c>
      <c r="P205" t="str">
        <f>VLOOKUP(C205,CU_ARS_2025_WOF_F2!$A$2:$K$673,3,FALSE)</f>
        <v>CU_ARS_2025_WOF_F2_6</v>
      </c>
      <c r="Q205" t="str">
        <f>VLOOKUP(C205,CU_ARS_2025_WOF_F2!$A$2:$K$673,4,FALSE)</f>
        <v>CU_ARS_2025_WOF_cross_4</v>
      </c>
      <c r="R205">
        <f>VLOOKUP(C205,CU_ARS_2025_WOF_F2!$A$2:$K$673,5,FALSE)</f>
        <v>6</v>
      </c>
      <c r="S205">
        <f>VLOOKUP(C205,CU_ARS_2025_WOF_F2!$A$2:$K$673,6,FALSE)</f>
        <v>1</v>
      </c>
      <c r="T205">
        <f>VLOOKUP(C205,CU_ARS_2025_WOF_F2!$A$2:$K$673,7,FALSE)</f>
        <v>0</v>
      </c>
      <c r="U205">
        <f>VLOOKUP(C205,CU_ARS_2025_WOF_F2!$A$2:$K$673,8,FALSE)</f>
        <v>1</v>
      </c>
      <c r="V205">
        <f>VLOOKUP(C205,CU_ARS_2025_WOF_F2!$A$2:$K$673,9,FALSE)</f>
        <v>0</v>
      </c>
      <c r="W205">
        <f>VLOOKUP(C205,CU_ARS_2025_WOF_F2!$A$2:$K$673,10,FALSE)</f>
        <v>0</v>
      </c>
      <c r="X205">
        <f>VLOOKUP(C205,CU_ARS_2025_WOF_F2!$A$2:$K$673,11,FALSE)</f>
        <v>29</v>
      </c>
      <c r="Y205" t="str">
        <f>VLOOKUP(Q205,cross_pedigree!$A$2:$B$23,2,FALSE)</f>
        <v>NF01404A/PA8014-840</v>
      </c>
    </row>
    <row r="206" spans="1:25" ht="18">
      <c r="A206" s="21" t="s">
        <v>15</v>
      </c>
      <c r="B206" s="21" t="s">
        <v>16</v>
      </c>
      <c r="C206" s="22">
        <v>753914</v>
      </c>
      <c r="D206" s="23">
        <v>3</v>
      </c>
      <c r="E206" s="24" t="str">
        <f t="shared" si="3"/>
        <v>CU_ARS_2025_WOF_F2_6_plant_54</v>
      </c>
      <c r="F206" s="21" t="s">
        <v>84</v>
      </c>
      <c r="G206" s="44" t="s">
        <v>115</v>
      </c>
      <c r="H206" s="42"/>
      <c r="I206" s="42" t="s">
        <v>1015</v>
      </c>
      <c r="J206" s="42" t="s">
        <v>1003</v>
      </c>
      <c r="K206" s="42"/>
      <c r="L206" s="42"/>
      <c r="M206" s="42"/>
      <c r="N206" t="str">
        <f>VLOOKUP(C206,CU_ARS_2025_WOF_F2!$A$2:$K$673,2,FALSE)</f>
        <v>CU_ARS_2025_WOF_F2_6_plant_54</v>
      </c>
      <c r="O206" t="str">
        <f>VLOOKUP(C206,CU_ARS_2025_WOF_F2!$A$2:$K$673,2,FALSE)</f>
        <v>CU_ARS_2025_WOF_F2_6_plant_54</v>
      </c>
      <c r="P206" t="str">
        <f>VLOOKUP(C206,CU_ARS_2025_WOF_F2!$A$2:$K$673,3,FALSE)</f>
        <v>CU_ARS_2025_WOF_F2_6</v>
      </c>
      <c r="Q206" t="str">
        <f>VLOOKUP(C206,CU_ARS_2025_WOF_F2!$A$2:$K$673,4,FALSE)</f>
        <v>CU_ARS_2025_WOF_cross_4</v>
      </c>
      <c r="R206">
        <f>VLOOKUP(C206,CU_ARS_2025_WOF_F2!$A$2:$K$673,5,FALSE)</f>
        <v>6</v>
      </c>
      <c r="S206">
        <f>VLOOKUP(C206,CU_ARS_2025_WOF_F2!$A$2:$K$673,6,FALSE)</f>
        <v>1</v>
      </c>
      <c r="T206">
        <f>VLOOKUP(C206,CU_ARS_2025_WOF_F2!$A$2:$K$673,7,FALSE)</f>
        <v>0</v>
      </c>
      <c r="U206">
        <f>VLOOKUP(C206,CU_ARS_2025_WOF_F2!$A$2:$K$673,8,FALSE)</f>
        <v>1</v>
      </c>
      <c r="V206">
        <f>VLOOKUP(C206,CU_ARS_2025_WOF_F2!$A$2:$K$673,9,FALSE)</f>
        <v>0</v>
      </c>
      <c r="W206">
        <f>VLOOKUP(C206,CU_ARS_2025_WOF_F2!$A$2:$K$673,10,FALSE)</f>
        <v>0</v>
      </c>
      <c r="X206">
        <f>VLOOKUP(C206,CU_ARS_2025_WOF_F2!$A$2:$K$673,11,FALSE)</f>
        <v>54</v>
      </c>
      <c r="Y206" t="str">
        <f>VLOOKUP(Q206,cross_pedigree!$A$2:$B$23,2,FALSE)</f>
        <v>NF01404A/PA8014-840</v>
      </c>
    </row>
    <row r="207" spans="1:25" ht="18">
      <c r="A207" s="21" t="s">
        <v>15</v>
      </c>
      <c r="B207" s="21" t="s">
        <v>16</v>
      </c>
      <c r="C207" s="22">
        <v>753915</v>
      </c>
      <c r="D207" s="23">
        <v>3</v>
      </c>
      <c r="E207" s="24" t="str">
        <f t="shared" si="3"/>
        <v>CU_ARS_2025_WOF_F2_6_plant_55</v>
      </c>
      <c r="F207" s="21" t="s">
        <v>85</v>
      </c>
      <c r="G207" s="44" t="s">
        <v>116</v>
      </c>
      <c r="H207" s="42"/>
      <c r="I207" s="42" t="s">
        <v>1015</v>
      </c>
      <c r="J207" s="42" t="s">
        <v>1003</v>
      </c>
      <c r="K207" s="42"/>
      <c r="L207" s="42"/>
      <c r="M207" s="42"/>
      <c r="N207" t="str">
        <f>VLOOKUP(C207,CU_ARS_2025_WOF_F2!$A$2:$K$673,2,FALSE)</f>
        <v>CU_ARS_2025_WOF_F2_6_plant_55</v>
      </c>
      <c r="O207" t="str">
        <f>VLOOKUP(C207,CU_ARS_2025_WOF_F2!$A$2:$K$673,2,FALSE)</f>
        <v>CU_ARS_2025_WOF_F2_6_plant_55</v>
      </c>
      <c r="P207" t="str">
        <f>VLOOKUP(C207,CU_ARS_2025_WOF_F2!$A$2:$K$673,3,FALSE)</f>
        <v>CU_ARS_2025_WOF_F2_6</v>
      </c>
      <c r="Q207" t="str">
        <f>VLOOKUP(C207,CU_ARS_2025_WOF_F2!$A$2:$K$673,4,FALSE)</f>
        <v>CU_ARS_2025_WOF_cross_4</v>
      </c>
      <c r="R207">
        <f>VLOOKUP(C207,CU_ARS_2025_WOF_F2!$A$2:$K$673,5,FALSE)</f>
        <v>6</v>
      </c>
      <c r="S207">
        <f>VLOOKUP(C207,CU_ARS_2025_WOF_F2!$A$2:$K$673,6,FALSE)</f>
        <v>1</v>
      </c>
      <c r="T207">
        <f>VLOOKUP(C207,CU_ARS_2025_WOF_F2!$A$2:$K$673,7,FALSE)</f>
        <v>0</v>
      </c>
      <c r="U207">
        <f>VLOOKUP(C207,CU_ARS_2025_WOF_F2!$A$2:$K$673,8,FALSE)</f>
        <v>1</v>
      </c>
      <c r="V207">
        <f>VLOOKUP(C207,CU_ARS_2025_WOF_F2!$A$2:$K$673,9,FALSE)</f>
        <v>0</v>
      </c>
      <c r="W207">
        <f>VLOOKUP(C207,CU_ARS_2025_WOF_F2!$A$2:$K$673,10,FALSE)</f>
        <v>0</v>
      </c>
      <c r="X207">
        <f>VLOOKUP(C207,CU_ARS_2025_WOF_F2!$A$2:$K$673,11,FALSE)</f>
        <v>55</v>
      </c>
      <c r="Y207" t="str">
        <f>VLOOKUP(Q207,cross_pedigree!$A$2:$B$23,2,FALSE)</f>
        <v>NF01404A/PA8014-840</v>
      </c>
    </row>
    <row r="208" spans="1:25" ht="18">
      <c r="A208" s="21" t="s">
        <v>15</v>
      </c>
      <c r="B208" s="21" t="s">
        <v>16</v>
      </c>
      <c r="C208" s="22">
        <v>753916</v>
      </c>
      <c r="D208" s="23">
        <v>3</v>
      </c>
      <c r="E208" s="24" t="str">
        <f t="shared" si="3"/>
        <v>CU_ARS_2025_WOF_F2_6_plant_56</v>
      </c>
      <c r="F208" s="21" t="s">
        <v>117</v>
      </c>
      <c r="G208" s="44" t="s">
        <v>118</v>
      </c>
      <c r="H208" s="42"/>
      <c r="I208" s="42" t="s">
        <v>1015</v>
      </c>
      <c r="J208" s="42" t="s">
        <v>1003</v>
      </c>
      <c r="K208" s="42"/>
      <c r="L208" s="42"/>
      <c r="M208" s="42"/>
      <c r="N208" t="str">
        <f>VLOOKUP(C208,CU_ARS_2025_WOF_F2!$A$2:$K$673,2,FALSE)</f>
        <v>CU_ARS_2025_WOF_F2_6_plant_56</v>
      </c>
      <c r="O208" t="str">
        <f>VLOOKUP(C208,CU_ARS_2025_WOF_F2!$A$2:$K$673,2,FALSE)</f>
        <v>CU_ARS_2025_WOF_F2_6_plant_56</v>
      </c>
      <c r="P208" t="str">
        <f>VLOOKUP(C208,CU_ARS_2025_WOF_F2!$A$2:$K$673,3,FALSE)</f>
        <v>CU_ARS_2025_WOF_F2_6</v>
      </c>
      <c r="Q208" t="str">
        <f>VLOOKUP(C208,CU_ARS_2025_WOF_F2!$A$2:$K$673,4,FALSE)</f>
        <v>CU_ARS_2025_WOF_cross_4</v>
      </c>
      <c r="R208">
        <f>VLOOKUP(C208,CU_ARS_2025_WOF_F2!$A$2:$K$673,5,FALSE)</f>
        <v>6</v>
      </c>
      <c r="S208">
        <f>VLOOKUP(C208,CU_ARS_2025_WOF_F2!$A$2:$K$673,6,FALSE)</f>
        <v>1</v>
      </c>
      <c r="T208">
        <f>VLOOKUP(C208,CU_ARS_2025_WOF_F2!$A$2:$K$673,7,FALSE)</f>
        <v>0</v>
      </c>
      <c r="U208">
        <f>VLOOKUP(C208,CU_ARS_2025_WOF_F2!$A$2:$K$673,8,FALSE)</f>
        <v>1</v>
      </c>
      <c r="V208">
        <f>VLOOKUP(C208,CU_ARS_2025_WOF_F2!$A$2:$K$673,9,FALSE)</f>
        <v>0</v>
      </c>
      <c r="W208">
        <f>VLOOKUP(C208,CU_ARS_2025_WOF_F2!$A$2:$K$673,10,FALSE)</f>
        <v>0</v>
      </c>
      <c r="X208">
        <f>VLOOKUP(C208,CU_ARS_2025_WOF_F2!$A$2:$K$673,11,FALSE)</f>
        <v>56</v>
      </c>
      <c r="Y208" t="str">
        <f>VLOOKUP(Q208,cross_pedigree!$A$2:$B$23,2,FALSE)</f>
        <v>NF01404A/PA8014-840</v>
      </c>
    </row>
    <row r="209" spans="1:25" ht="18">
      <c r="A209" s="21" t="s">
        <v>15</v>
      </c>
      <c r="B209" s="21" t="s">
        <v>16</v>
      </c>
      <c r="C209" s="22">
        <v>753898</v>
      </c>
      <c r="D209" s="23">
        <v>3</v>
      </c>
      <c r="E209" s="24" t="str">
        <f t="shared" si="3"/>
        <v>CU_ARS_2025_WOF_F2_6_plant_38</v>
      </c>
      <c r="F209" s="21" t="s">
        <v>119</v>
      </c>
      <c r="G209" s="44" t="s">
        <v>120</v>
      </c>
      <c r="H209" s="42"/>
      <c r="I209" s="42" t="s">
        <v>1015</v>
      </c>
      <c r="J209" s="42" t="s">
        <v>1003</v>
      </c>
      <c r="K209" s="42"/>
      <c r="L209" s="42"/>
      <c r="M209" s="42"/>
      <c r="N209" t="str">
        <f>VLOOKUP(C209,CU_ARS_2025_WOF_F2!$A$2:$K$673,2,FALSE)</f>
        <v>CU_ARS_2025_WOF_F2_6_plant_38</v>
      </c>
      <c r="O209" t="str">
        <f>VLOOKUP(C209,CU_ARS_2025_WOF_F2!$A$2:$K$673,2,FALSE)</f>
        <v>CU_ARS_2025_WOF_F2_6_plant_38</v>
      </c>
      <c r="P209" t="str">
        <f>VLOOKUP(C209,CU_ARS_2025_WOF_F2!$A$2:$K$673,3,FALSE)</f>
        <v>CU_ARS_2025_WOF_F2_6</v>
      </c>
      <c r="Q209" t="str">
        <f>VLOOKUP(C209,CU_ARS_2025_WOF_F2!$A$2:$K$673,4,FALSE)</f>
        <v>CU_ARS_2025_WOF_cross_4</v>
      </c>
      <c r="R209">
        <f>VLOOKUP(C209,CU_ARS_2025_WOF_F2!$A$2:$K$673,5,FALSE)</f>
        <v>6</v>
      </c>
      <c r="S209">
        <f>VLOOKUP(C209,CU_ARS_2025_WOF_F2!$A$2:$K$673,6,FALSE)</f>
        <v>1</v>
      </c>
      <c r="T209">
        <f>VLOOKUP(C209,CU_ARS_2025_WOF_F2!$A$2:$K$673,7,FALSE)</f>
        <v>0</v>
      </c>
      <c r="U209">
        <f>VLOOKUP(C209,CU_ARS_2025_WOF_F2!$A$2:$K$673,8,FALSE)</f>
        <v>1</v>
      </c>
      <c r="V209">
        <f>VLOOKUP(C209,CU_ARS_2025_WOF_F2!$A$2:$K$673,9,FALSE)</f>
        <v>0</v>
      </c>
      <c r="W209">
        <f>VLOOKUP(C209,CU_ARS_2025_WOF_F2!$A$2:$K$673,10,FALSE)</f>
        <v>0</v>
      </c>
      <c r="X209">
        <f>VLOOKUP(C209,CU_ARS_2025_WOF_F2!$A$2:$K$673,11,FALSE)</f>
        <v>38</v>
      </c>
      <c r="Y209" t="str">
        <f>VLOOKUP(Q209,cross_pedigree!$A$2:$B$23,2,FALSE)</f>
        <v>NF01404A/PA8014-840</v>
      </c>
    </row>
    <row r="210" spans="1:25" ht="18">
      <c r="A210" s="21" t="s">
        <v>15</v>
      </c>
      <c r="B210" s="21" t="s">
        <v>16</v>
      </c>
      <c r="C210" s="22">
        <v>753899</v>
      </c>
      <c r="D210" s="23">
        <v>3</v>
      </c>
      <c r="E210" s="24" t="str">
        <f t="shared" si="3"/>
        <v>CU_ARS_2025_WOF_F2_6_plant_39</v>
      </c>
      <c r="F210" s="21" t="s">
        <v>121</v>
      </c>
      <c r="G210" s="44" t="s">
        <v>122</v>
      </c>
      <c r="H210" s="42"/>
      <c r="I210" s="42" t="s">
        <v>1015</v>
      </c>
      <c r="J210" s="42" t="s">
        <v>1003</v>
      </c>
      <c r="K210" s="42"/>
      <c r="L210" s="42"/>
      <c r="M210" s="42"/>
      <c r="N210" t="str">
        <f>VLOOKUP(C210,CU_ARS_2025_WOF_F2!$A$2:$K$673,2,FALSE)</f>
        <v>CU_ARS_2025_WOF_F2_6_plant_39</v>
      </c>
      <c r="O210" t="str">
        <f>VLOOKUP(C210,CU_ARS_2025_WOF_F2!$A$2:$K$673,2,FALSE)</f>
        <v>CU_ARS_2025_WOF_F2_6_plant_39</v>
      </c>
      <c r="P210" t="str">
        <f>VLOOKUP(C210,CU_ARS_2025_WOF_F2!$A$2:$K$673,3,FALSE)</f>
        <v>CU_ARS_2025_WOF_F2_6</v>
      </c>
      <c r="Q210" t="str">
        <f>VLOOKUP(C210,CU_ARS_2025_WOF_F2!$A$2:$K$673,4,FALSE)</f>
        <v>CU_ARS_2025_WOF_cross_4</v>
      </c>
      <c r="R210">
        <f>VLOOKUP(C210,CU_ARS_2025_WOF_F2!$A$2:$K$673,5,FALSE)</f>
        <v>6</v>
      </c>
      <c r="S210">
        <f>VLOOKUP(C210,CU_ARS_2025_WOF_F2!$A$2:$K$673,6,FALSE)</f>
        <v>1</v>
      </c>
      <c r="T210">
        <f>VLOOKUP(C210,CU_ARS_2025_WOF_F2!$A$2:$K$673,7,FALSE)</f>
        <v>0</v>
      </c>
      <c r="U210">
        <f>VLOOKUP(C210,CU_ARS_2025_WOF_F2!$A$2:$K$673,8,FALSE)</f>
        <v>1</v>
      </c>
      <c r="V210">
        <f>VLOOKUP(C210,CU_ARS_2025_WOF_F2!$A$2:$K$673,9,FALSE)</f>
        <v>0</v>
      </c>
      <c r="W210">
        <f>VLOOKUP(C210,CU_ARS_2025_WOF_F2!$A$2:$K$673,10,FALSE)</f>
        <v>0</v>
      </c>
      <c r="X210">
        <f>VLOOKUP(C210,CU_ARS_2025_WOF_F2!$A$2:$K$673,11,FALSE)</f>
        <v>39</v>
      </c>
      <c r="Y210" t="str">
        <f>VLOOKUP(Q210,cross_pedigree!$A$2:$B$23,2,FALSE)</f>
        <v>NF01404A/PA8014-840</v>
      </c>
    </row>
    <row r="211" spans="1:25" ht="18">
      <c r="A211" s="21" t="s">
        <v>15</v>
      </c>
      <c r="B211" s="21" t="s">
        <v>16</v>
      </c>
      <c r="C211" s="22">
        <v>753900</v>
      </c>
      <c r="D211" s="23">
        <v>3</v>
      </c>
      <c r="E211" s="24" t="str">
        <f t="shared" si="3"/>
        <v>CU_ARS_2025_WOF_F2_6_plant_40</v>
      </c>
      <c r="F211" s="21" t="s">
        <v>123</v>
      </c>
      <c r="G211" s="44" t="s">
        <v>124</v>
      </c>
      <c r="H211" s="42"/>
      <c r="I211" s="42" t="s">
        <v>1015</v>
      </c>
      <c r="J211" s="42" t="s">
        <v>1003</v>
      </c>
      <c r="K211" s="42"/>
      <c r="L211" s="42"/>
      <c r="M211" s="42"/>
      <c r="N211" t="str">
        <f>VLOOKUP(C211,CU_ARS_2025_WOF_F2!$A$2:$K$673,2,FALSE)</f>
        <v>CU_ARS_2025_WOF_F2_6_plant_40</v>
      </c>
      <c r="O211" t="str">
        <f>VLOOKUP(C211,CU_ARS_2025_WOF_F2!$A$2:$K$673,2,FALSE)</f>
        <v>CU_ARS_2025_WOF_F2_6_plant_40</v>
      </c>
      <c r="P211" t="str">
        <f>VLOOKUP(C211,CU_ARS_2025_WOF_F2!$A$2:$K$673,3,FALSE)</f>
        <v>CU_ARS_2025_WOF_F2_6</v>
      </c>
      <c r="Q211" t="str">
        <f>VLOOKUP(C211,CU_ARS_2025_WOF_F2!$A$2:$K$673,4,FALSE)</f>
        <v>CU_ARS_2025_WOF_cross_4</v>
      </c>
      <c r="R211">
        <f>VLOOKUP(C211,CU_ARS_2025_WOF_F2!$A$2:$K$673,5,FALSE)</f>
        <v>6</v>
      </c>
      <c r="S211">
        <f>VLOOKUP(C211,CU_ARS_2025_WOF_F2!$A$2:$K$673,6,FALSE)</f>
        <v>1</v>
      </c>
      <c r="T211">
        <f>VLOOKUP(C211,CU_ARS_2025_WOF_F2!$A$2:$K$673,7,FALSE)</f>
        <v>0</v>
      </c>
      <c r="U211">
        <f>VLOOKUP(C211,CU_ARS_2025_WOF_F2!$A$2:$K$673,8,FALSE)</f>
        <v>1</v>
      </c>
      <c r="V211">
        <f>VLOOKUP(C211,CU_ARS_2025_WOF_F2!$A$2:$K$673,9,FALSE)</f>
        <v>0</v>
      </c>
      <c r="W211">
        <f>VLOOKUP(C211,CU_ARS_2025_WOF_F2!$A$2:$K$673,10,FALSE)</f>
        <v>0</v>
      </c>
      <c r="X211">
        <f>VLOOKUP(C211,CU_ARS_2025_WOF_F2!$A$2:$K$673,11,FALSE)</f>
        <v>40</v>
      </c>
      <c r="Y211" t="str">
        <f>VLOOKUP(Q211,cross_pedigree!$A$2:$B$23,2,FALSE)</f>
        <v>NF01404A/PA8014-840</v>
      </c>
    </row>
    <row r="212" spans="1:25" ht="18">
      <c r="A212" s="21" t="s">
        <v>15</v>
      </c>
      <c r="B212" s="21" t="s">
        <v>16</v>
      </c>
      <c r="C212" s="22">
        <v>753906</v>
      </c>
      <c r="D212" s="23">
        <v>3</v>
      </c>
      <c r="E212" s="24" t="str">
        <f t="shared" si="3"/>
        <v>CU_ARS_2025_WOF_F2_6_plant_46</v>
      </c>
      <c r="F212" s="21" t="s">
        <v>125</v>
      </c>
      <c r="G212" s="44" t="s">
        <v>126</v>
      </c>
      <c r="H212" s="42"/>
      <c r="I212" s="42" t="s">
        <v>1015</v>
      </c>
      <c r="J212" s="42" t="s">
        <v>1003</v>
      </c>
      <c r="K212" s="42"/>
      <c r="L212" s="42"/>
      <c r="M212" s="42"/>
      <c r="N212" t="str">
        <f>VLOOKUP(C212,CU_ARS_2025_WOF_F2!$A$2:$K$673,2,FALSE)</f>
        <v>CU_ARS_2025_WOF_F2_6_plant_46</v>
      </c>
      <c r="O212" t="str">
        <f>VLOOKUP(C212,CU_ARS_2025_WOF_F2!$A$2:$K$673,2,FALSE)</f>
        <v>CU_ARS_2025_WOF_F2_6_plant_46</v>
      </c>
      <c r="P212" t="str">
        <f>VLOOKUP(C212,CU_ARS_2025_WOF_F2!$A$2:$K$673,3,FALSE)</f>
        <v>CU_ARS_2025_WOF_F2_6</v>
      </c>
      <c r="Q212" t="str">
        <f>VLOOKUP(C212,CU_ARS_2025_WOF_F2!$A$2:$K$673,4,FALSE)</f>
        <v>CU_ARS_2025_WOF_cross_4</v>
      </c>
      <c r="R212">
        <f>VLOOKUP(C212,CU_ARS_2025_WOF_F2!$A$2:$K$673,5,FALSE)</f>
        <v>6</v>
      </c>
      <c r="S212">
        <f>VLOOKUP(C212,CU_ARS_2025_WOF_F2!$A$2:$K$673,6,FALSE)</f>
        <v>1</v>
      </c>
      <c r="T212">
        <f>VLOOKUP(C212,CU_ARS_2025_WOF_F2!$A$2:$K$673,7,FALSE)</f>
        <v>0</v>
      </c>
      <c r="U212">
        <f>VLOOKUP(C212,CU_ARS_2025_WOF_F2!$A$2:$K$673,8,FALSE)</f>
        <v>1</v>
      </c>
      <c r="V212">
        <f>VLOOKUP(C212,CU_ARS_2025_WOF_F2!$A$2:$K$673,9,FALSE)</f>
        <v>0</v>
      </c>
      <c r="W212">
        <f>VLOOKUP(C212,CU_ARS_2025_WOF_F2!$A$2:$K$673,10,FALSE)</f>
        <v>0</v>
      </c>
      <c r="X212">
        <f>VLOOKUP(C212,CU_ARS_2025_WOF_F2!$A$2:$K$673,11,FALSE)</f>
        <v>46</v>
      </c>
      <c r="Y212" t="str">
        <f>VLOOKUP(Q212,cross_pedigree!$A$2:$B$23,2,FALSE)</f>
        <v>NF01404A/PA8014-840</v>
      </c>
    </row>
    <row r="213" spans="1:25" ht="18">
      <c r="A213" s="21" t="s">
        <v>15</v>
      </c>
      <c r="B213" s="21" t="s">
        <v>16</v>
      </c>
      <c r="C213" s="22">
        <v>753907</v>
      </c>
      <c r="D213" s="23">
        <v>3</v>
      </c>
      <c r="E213" s="24" t="str">
        <f t="shared" si="3"/>
        <v>CU_ARS_2025_WOF_F2_6_plant_47</v>
      </c>
      <c r="F213" s="21" t="s">
        <v>86</v>
      </c>
      <c r="G213" s="44" t="s">
        <v>127</v>
      </c>
      <c r="H213" s="42"/>
      <c r="I213" s="42" t="s">
        <v>1015</v>
      </c>
      <c r="J213" s="42" t="s">
        <v>1003</v>
      </c>
      <c r="K213" s="42"/>
      <c r="L213" s="42"/>
      <c r="M213" s="42"/>
      <c r="N213" t="str">
        <f>VLOOKUP(C213,CU_ARS_2025_WOF_F2!$A$2:$K$673,2,FALSE)</f>
        <v>CU_ARS_2025_WOF_F2_6_plant_47</v>
      </c>
      <c r="O213" t="str">
        <f>VLOOKUP(C213,CU_ARS_2025_WOF_F2!$A$2:$K$673,2,FALSE)</f>
        <v>CU_ARS_2025_WOF_F2_6_plant_47</v>
      </c>
      <c r="P213" t="str">
        <f>VLOOKUP(C213,CU_ARS_2025_WOF_F2!$A$2:$K$673,3,FALSE)</f>
        <v>CU_ARS_2025_WOF_F2_6</v>
      </c>
      <c r="Q213" t="str">
        <f>VLOOKUP(C213,CU_ARS_2025_WOF_F2!$A$2:$K$673,4,FALSE)</f>
        <v>CU_ARS_2025_WOF_cross_4</v>
      </c>
      <c r="R213">
        <f>VLOOKUP(C213,CU_ARS_2025_WOF_F2!$A$2:$K$673,5,FALSE)</f>
        <v>6</v>
      </c>
      <c r="S213">
        <f>VLOOKUP(C213,CU_ARS_2025_WOF_F2!$A$2:$K$673,6,FALSE)</f>
        <v>1</v>
      </c>
      <c r="T213">
        <f>VLOOKUP(C213,CU_ARS_2025_WOF_F2!$A$2:$K$673,7,FALSE)</f>
        <v>0</v>
      </c>
      <c r="U213">
        <f>VLOOKUP(C213,CU_ARS_2025_WOF_F2!$A$2:$K$673,8,FALSE)</f>
        <v>1</v>
      </c>
      <c r="V213">
        <f>VLOOKUP(C213,CU_ARS_2025_WOF_F2!$A$2:$K$673,9,FALSE)</f>
        <v>0</v>
      </c>
      <c r="W213">
        <f>VLOOKUP(C213,CU_ARS_2025_WOF_F2!$A$2:$K$673,10,FALSE)</f>
        <v>0</v>
      </c>
      <c r="X213">
        <f>VLOOKUP(C213,CU_ARS_2025_WOF_F2!$A$2:$K$673,11,FALSE)</f>
        <v>47</v>
      </c>
      <c r="Y213" t="str">
        <f>VLOOKUP(Q213,cross_pedigree!$A$2:$B$23,2,FALSE)</f>
        <v>NF01404A/PA8014-840</v>
      </c>
    </row>
    <row r="214" spans="1:25" ht="18">
      <c r="A214" s="21" t="s">
        <v>15</v>
      </c>
      <c r="B214" s="21" t="s">
        <v>16</v>
      </c>
      <c r="C214" s="22">
        <v>753908</v>
      </c>
      <c r="D214" s="23">
        <v>3</v>
      </c>
      <c r="E214" s="24" t="str">
        <f t="shared" si="3"/>
        <v>CU_ARS_2025_WOF_F2_6_plant_48</v>
      </c>
      <c r="F214" s="21" t="s">
        <v>87</v>
      </c>
      <c r="G214" s="44" t="s">
        <v>128</v>
      </c>
      <c r="H214" s="42"/>
      <c r="I214" s="42" t="s">
        <v>1015</v>
      </c>
      <c r="J214" s="42" t="s">
        <v>1003</v>
      </c>
      <c r="K214" s="42"/>
      <c r="L214" s="42"/>
      <c r="M214" s="42"/>
      <c r="N214" t="str">
        <f>VLOOKUP(C214,CU_ARS_2025_WOF_F2!$A$2:$K$673,2,FALSE)</f>
        <v>CU_ARS_2025_WOF_F2_6_plant_48</v>
      </c>
      <c r="O214" t="str">
        <f>VLOOKUP(C214,CU_ARS_2025_WOF_F2!$A$2:$K$673,2,FALSE)</f>
        <v>CU_ARS_2025_WOF_F2_6_plant_48</v>
      </c>
      <c r="P214" t="str">
        <f>VLOOKUP(C214,CU_ARS_2025_WOF_F2!$A$2:$K$673,3,FALSE)</f>
        <v>CU_ARS_2025_WOF_F2_6</v>
      </c>
      <c r="Q214" t="str">
        <f>VLOOKUP(C214,CU_ARS_2025_WOF_F2!$A$2:$K$673,4,FALSE)</f>
        <v>CU_ARS_2025_WOF_cross_4</v>
      </c>
      <c r="R214">
        <f>VLOOKUP(C214,CU_ARS_2025_WOF_F2!$A$2:$K$673,5,FALSE)</f>
        <v>6</v>
      </c>
      <c r="S214">
        <f>VLOOKUP(C214,CU_ARS_2025_WOF_F2!$A$2:$K$673,6,FALSE)</f>
        <v>1</v>
      </c>
      <c r="T214">
        <f>VLOOKUP(C214,CU_ARS_2025_WOF_F2!$A$2:$K$673,7,FALSE)</f>
        <v>0</v>
      </c>
      <c r="U214">
        <f>VLOOKUP(C214,CU_ARS_2025_WOF_F2!$A$2:$K$673,8,FALSE)</f>
        <v>1</v>
      </c>
      <c r="V214">
        <f>VLOOKUP(C214,CU_ARS_2025_WOF_F2!$A$2:$K$673,9,FALSE)</f>
        <v>0</v>
      </c>
      <c r="W214">
        <f>VLOOKUP(C214,CU_ARS_2025_WOF_F2!$A$2:$K$673,10,FALSE)</f>
        <v>0</v>
      </c>
      <c r="X214">
        <f>VLOOKUP(C214,CU_ARS_2025_WOF_F2!$A$2:$K$673,11,FALSE)</f>
        <v>48</v>
      </c>
      <c r="Y214" t="str">
        <f>VLOOKUP(Q214,cross_pedigree!$A$2:$B$23,2,FALSE)</f>
        <v>NF01404A/PA8014-840</v>
      </c>
    </row>
    <row r="215" spans="1:25" ht="18">
      <c r="A215" s="21" t="s">
        <v>15</v>
      </c>
      <c r="B215" s="21" t="s">
        <v>16</v>
      </c>
      <c r="C215" s="22">
        <v>753893</v>
      </c>
      <c r="D215" s="23">
        <v>3</v>
      </c>
      <c r="E215" s="24" t="str">
        <f t="shared" si="3"/>
        <v>CU_ARS_2025_WOF_F2_6_plant_33</v>
      </c>
      <c r="F215" s="21" t="s">
        <v>88</v>
      </c>
      <c r="G215" s="44" t="s">
        <v>129</v>
      </c>
      <c r="H215" s="42"/>
      <c r="I215" s="42" t="s">
        <v>1015</v>
      </c>
      <c r="J215" s="42" t="s">
        <v>1003</v>
      </c>
      <c r="K215" s="42"/>
      <c r="L215" s="42"/>
      <c r="M215" s="42"/>
      <c r="N215" t="str">
        <f>VLOOKUP(C215,CU_ARS_2025_WOF_F2!$A$2:$K$673,2,FALSE)</f>
        <v>CU_ARS_2025_WOF_F2_6_plant_33</v>
      </c>
      <c r="O215" t="str">
        <f>VLOOKUP(C215,CU_ARS_2025_WOF_F2!$A$2:$K$673,2,FALSE)</f>
        <v>CU_ARS_2025_WOF_F2_6_plant_33</v>
      </c>
      <c r="P215" t="str">
        <f>VLOOKUP(C215,CU_ARS_2025_WOF_F2!$A$2:$K$673,3,FALSE)</f>
        <v>CU_ARS_2025_WOF_F2_6</v>
      </c>
      <c r="Q215" t="str">
        <f>VLOOKUP(C215,CU_ARS_2025_WOF_F2!$A$2:$K$673,4,FALSE)</f>
        <v>CU_ARS_2025_WOF_cross_4</v>
      </c>
      <c r="R215">
        <f>VLOOKUP(C215,CU_ARS_2025_WOF_F2!$A$2:$K$673,5,FALSE)</f>
        <v>6</v>
      </c>
      <c r="S215">
        <f>VLOOKUP(C215,CU_ARS_2025_WOF_F2!$A$2:$K$673,6,FALSE)</f>
        <v>1</v>
      </c>
      <c r="T215">
        <f>VLOOKUP(C215,CU_ARS_2025_WOF_F2!$A$2:$K$673,7,FALSE)</f>
        <v>0</v>
      </c>
      <c r="U215">
        <f>VLOOKUP(C215,CU_ARS_2025_WOF_F2!$A$2:$K$673,8,FALSE)</f>
        <v>1</v>
      </c>
      <c r="V215">
        <f>VLOOKUP(C215,CU_ARS_2025_WOF_F2!$A$2:$K$673,9,FALSE)</f>
        <v>0</v>
      </c>
      <c r="W215">
        <f>VLOOKUP(C215,CU_ARS_2025_WOF_F2!$A$2:$K$673,10,FALSE)</f>
        <v>0</v>
      </c>
      <c r="X215">
        <f>VLOOKUP(C215,CU_ARS_2025_WOF_F2!$A$2:$K$673,11,FALSE)</f>
        <v>33</v>
      </c>
      <c r="Y215" t="str">
        <f>VLOOKUP(Q215,cross_pedigree!$A$2:$B$23,2,FALSE)</f>
        <v>NF01404A/PA8014-840</v>
      </c>
    </row>
    <row r="216" spans="1:25" ht="18">
      <c r="A216" s="21" t="s">
        <v>15</v>
      </c>
      <c r="B216" s="21" t="s">
        <v>16</v>
      </c>
      <c r="C216" s="22">
        <v>753894</v>
      </c>
      <c r="D216" s="23">
        <v>3</v>
      </c>
      <c r="E216" s="24" t="str">
        <f t="shared" si="3"/>
        <v>CU_ARS_2025_WOF_F2_6_plant_34</v>
      </c>
      <c r="F216" s="21" t="s">
        <v>89</v>
      </c>
      <c r="G216" s="44" t="s">
        <v>130</v>
      </c>
      <c r="H216" s="42"/>
      <c r="I216" s="42" t="s">
        <v>1015</v>
      </c>
      <c r="J216" s="42" t="s">
        <v>1003</v>
      </c>
      <c r="K216" s="42"/>
      <c r="L216" s="42"/>
      <c r="M216" s="42"/>
      <c r="N216" t="str">
        <f>VLOOKUP(C216,CU_ARS_2025_WOF_F2!$A$2:$K$673,2,FALSE)</f>
        <v>CU_ARS_2025_WOF_F2_6_plant_34</v>
      </c>
      <c r="O216" t="str">
        <f>VLOOKUP(C216,CU_ARS_2025_WOF_F2!$A$2:$K$673,2,FALSE)</f>
        <v>CU_ARS_2025_WOF_F2_6_plant_34</v>
      </c>
      <c r="P216" t="str">
        <f>VLOOKUP(C216,CU_ARS_2025_WOF_F2!$A$2:$K$673,3,FALSE)</f>
        <v>CU_ARS_2025_WOF_F2_6</v>
      </c>
      <c r="Q216" t="str">
        <f>VLOOKUP(C216,CU_ARS_2025_WOF_F2!$A$2:$K$673,4,FALSE)</f>
        <v>CU_ARS_2025_WOF_cross_4</v>
      </c>
      <c r="R216">
        <f>VLOOKUP(C216,CU_ARS_2025_WOF_F2!$A$2:$K$673,5,FALSE)</f>
        <v>6</v>
      </c>
      <c r="S216">
        <f>VLOOKUP(C216,CU_ARS_2025_WOF_F2!$A$2:$K$673,6,FALSE)</f>
        <v>1</v>
      </c>
      <c r="T216">
        <f>VLOOKUP(C216,CU_ARS_2025_WOF_F2!$A$2:$K$673,7,FALSE)</f>
        <v>0</v>
      </c>
      <c r="U216">
        <f>VLOOKUP(C216,CU_ARS_2025_WOF_F2!$A$2:$K$673,8,FALSE)</f>
        <v>1</v>
      </c>
      <c r="V216">
        <f>VLOOKUP(C216,CU_ARS_2025_WOF_F2!$A$2:$K$673,9,FALSE)</f>
        <v>0</v>
      </c>
      <c r="W216">
        <f>VLOOKUP(C216,CU_ARS_2025_WOF_F2!$A$2:$K$673,10,FALSE)</f>
        <v>0</v>
      </c>
      <c r="X216">
        <f>VLOOKUP(C216,CU_ARS_2025_WOF_F2!$A$2:$K$673,11,FALSE)</f>
        <v>34</v>
      </c>
      <c r="Y216" t="str">
        <f>VLOOKUP(Q216,cross_pedigree!$A$2:$B$23,2,FALSE)</f>
        <v>NF01404A/PA8014-840</v>
      </c>
    </row>
    <row r="217" spans="1:25" ht="18">
      <c r="A217" s="21" t="s">
        <v>15</v>
      </c>
      <c r="B217" s="21" t="s">
        <v>16</v>
      </c>
      <c r="C217" s="22">
        <v>753895</v>
      </c>
      <c r="D217" s="23">
        <v>3</v>
      </c>
      <c r="E217" s="24" t="str">
        <f t="shared" si="3"/>
        <v>CU_ARS_2025_WOF_F2_6_plant_35</v>
      </c>
      <c r="F217" s="21" t="s">
        <v>90</v>
      </c>
      <c r="G217" s="44" t="s">
        <v>131</v>
      </c>
      <c r="H217" s="42"/>
      <c r="I217" s="42" t="s">
        <v>1015</v>
      </c>
      <c r="J217" s="42" t="s">
        <v>1003</v>
      </c>
      <c r="K217" s="42"/>
      <c r="L217" s="42"/>
      <c r="M217" s="42"/>
      <c r="N217" t="str">
        <f>VLOOKUP(C217,CU_ARS_2025_WOF_F2!$A$2:$K$673,2,FALSE)</f>
        <v>CU_ARS_2025_WOF_F2_6_plant_35</v>
      </c>
      <c r="O217" t="str">
        <f>VLOOKUP(C217,CU_ARS_2025_WOF_F2!$A$2:$K$673,2,FALSE)</f>
        <v>CU_ARS_2025_WOF_F2_6_plant_35</v>
      </c>
      <c r="P217" t="str">
        <f>VLOOKUP(C217,CU_ARS_2025_WOF_F2!$A$2:$K$673,3,FALSE)</f>
        <v>CU_ARS_2025_WOF_F2_6</v>
      </c>
      <c r="Q217" t="str">
        <f>VLOOKUP(C217,CU_ARS_2025_WOF_F2!$A$2:$K$673,4,FALSE)</f>
        <v>CU_ARS_2025_WOF_cross_4</v>
      </c>
      <c r="R217">
        <f>VLOOKUP(C217,CU_ARS_2025_WOF_F2!$A$2:$K$673,5,FALSE)</f>
        <v>6</v>
      </c>
      <c r="S217">
        <f>VLOOKUP(C217,CU_ARS_2025_WOF_F2!$A$2:$K$673,6,FALSE)</f>
        <v>1</v>
      </c>
      <c r="T217">
        <f>VLOOKUP(C217,CU_ARS_2025_WOF_F2!$A$2:$K$673,7,FALSE)</f>
        <v>0</v>
      </c>
      <c r="U217">
        <f>VLOOKUP(C217,CU_ARS_2025_WOF_F2!$A$2:$K$673,8,FALSE)</f>
        <v>1</v>
      </c>
      <c r="V217">
        <f>VLOOKUP(C217,CU_ARS_2025_WOF_F2!$A$2:$K$673,9,FALSE)</f>
        <v>0</v>
      </c>
      <c r="W217">
        <f>VLOOKUP(C217,CU_ARS_2025_WOF_F2!$A$2:$K$673,10,FALSE)</f>
        <v>0</v>
      </c>
      <c r="X217">
        <f>VLOOKUP(C217,CU_ARS_2025_WOF_F2!$A$2:$K$673,11,FALSE)</f>
        <v>35</v>
      </c>
      <c r="Y217" t="str">
        <f>VLOOKUP(Q217,cross_pedigree!$A$2:$B$23,2,FALSE)</f>
        <v>NF01404A/PA8014-840</v>
      </c>
    </row>
    <row r="218" spans="1:25" ht="18">
      <c r="A218" s="21" t="s">
        <v>15</v>
      </c>
      <c r="B218" s="21" t="s">
        <v>16</v>
      </c>
      <c r="C218" s="22">
        <v>753896</v>
      </c>
      <c r="D218" s="23">
        <v>3</v>
      </c>
      <c r="E218" s="24" t="str">
        <f t="shared" si="3"/>
        <v>CU_ARS_2025_WOF_F2_6_plant_36</v>
      </c>
      <c r="F218" s="21" t="s">
        <v>132</v>
      </c>
      <c r="G218" s="44" t="s">
        <v>133</v>
      </c>
      <c r="H218" s="42"/>
      <c r="I218" s="42" t="s">
        <v>1015</v>
      </c>
      <c r="J218" s="42" t="s">
        <v>1003</v>
      </c>
      <c r="K218" s="42"/>
      <c r="L218" s="42"/>
      <c r="M218" s="42"/>
      <c r="N218" t="str">
        <f>VLOOKUP(C218,CU_ARS_2025_WOF_F2!$A$2:$K$673,2,FALSE)</f>
        <v>CU_ARS_2025_WOF_F2_6_plant_36</v>
      </c>
      <c r="O218" t="str">
        <f>VLOOKUP(C218,CU_ARS_2025_WOF_F2!$A$2:$K$673,2,FALSE)</f>
        <v>CU_ARS_2025_WOF_F2_6_plant_36</v>
      </c>
      <c r="P218" t="str">
        <f>VLOOKUP(C218,CU_ARS_2025_WOF_F2!$A$2:$K$673,3,FALSE)</f>
        <v>CU_ARS_2025_WOF_F2_6</v>
      </c>
      <c r="Q218" t="str">
        <f>VLOOKUP(C218,CU_ARS_2025_WOF_F2!$A$2:$K$673,4,FALSE)</f>
        <v>CU_ARS_2025_WOF_cross_4</v>
      </c>
      <c r="R218">
        <f>VLOOKUP(C218,CU_ARS_2025_WOF_F2!$A$2:$K$673,5,FALSE)</f>
        <v>6</v>
      </c>
      <c r="S218">
        <f>VLOOKUP(C218,CU_ARS_2025_WOF_F2!$A$2:$K$673,6,FALSE)</f>
        <v>1</v>
      </c>
      <c r="T218">
        <f>VLOOKUP(C218,CU_ARS_2025_WOF_F2!$A$2:$K$673,7,FALSE)</f>
        <v>0</v>
      </c>
      <c r="U218">
        <f>VLOOKUP(C218,CU_ARS_2025_WOF_F2!$A$2:$K$673,8,FALSE)</f>
        <v>1</v>
      </c>
      <c r="V218">
        <f>VLOOKUP(C218,CU_ARS_2025_WOF_F2!$A$2:$K$673,9,FALSE)</f>
        <v>0</v>
      </c>
      <c r="W218">
        <f>VLOOKUP(C218,CU_ARS_2025_WOF_F2!$A$2:$K$673,10,FALSE)</f>
        <v>0</v>
      </c>
      <c r="X218">
        <f>VLOOKUP(C218,CU_ARS_2025_WOF_F2!$A$2:$K$673,11,FALSE)</f>
        <v>36</v>
      </c>
      <c r="Y218" t="str">
        <f>VLOOKUP(Q218,cross_pedigree!$A$2:$B$23,2,FALSE)</f>
        <v>NF01404A/PA8014-840</v>
      </c>
    </row>
    <row r="219" spans="1:25" ht="18">
      <c r="A219" s="21" t="s">
        <v>15</v>
      </c>
      <c r="B219" s="21" t="s">
        <v>16</v>
      </c>
      <c r="C219" s="22">
        <v>753897</v>
      </c>
      <c r="D219" s="23">
        <v>3</v>
      </c>
      <c r="E219" s="24" t="str">
        <f t="shared" si="3"/>
        <v>CU_ARS_2025_WOF_F2_6_plant_37</v>
      </c>
      <c r="F219" s="21" t="s">
        <v>134</v>
      </c>
      <c r="G219" s="44" t="s">
        <v>135</v>
      </c>
      <c r="H219" s="42"/>
      <c r="I219" s="42" t="s">
        <v>1015</v>
      </c>
      <c r="J219" s="42" t="s">
        <v>1003</v>
      </c>
      <c r="K219" s="42"/>
      <c r="L219" s="42"/>
      <c r="M219" s="42"/>
      <c r="N219" t="str">
        <f>VLOOKUP(C219,CU_ARS_2025_WOF_F2!$A$2:$K$673,2,FALSE)</f>
        <v>CU_ARS_2025_WOF_F2_6_plant_37</v>
      </c>
      <c r="O219" t="str">
        <f>VLOOKUP(C219,CU_ARS_2025_WOF_F2!$A$2:$K$673,2,FALSE)</f>
        <v>CU_ARS_2025_WOF_F2_6_plant_37</v>
      </c>
      <c r="P219" t="str">
        <f>VLOOKUP(C219,CU_ARS_2025_WOF_F2!$A$2:$K$673,3,FALSE)</f>
        <v>CU_ARS_2025_WOF_F2_6</v>
      </c>
      <c r="Q219" t="str">
        <f>VLOOKUP(C219,CU_ARS_2025_WOF_F2!$A$2:$K$673,4,FALSE)</f>
        <v>CU_ARS_2025_WOF_cross_4</v>
      </c>
      <c r="R219">
        <f>VLOOKUP(C219,CU_ARS_2025_WOF_F2!$A$2:$K$673,5,FALSE)</f>
        <v>6</v>
      </c>
      <c r="S219">
        <f>VLOOKUP(C219,CU_ARS_2025_WOF_F2!$A$2:$K$673,6,FALSE)</f>
        <v>1</v>
      </c>
      <c r="T219">
        <f>VLOOKUP(C219,CU_ARS_2025_WOF_F2!$A$2:$K$673,7,FALSE)</f>
        <v>0</v>
      </c>
      <c r="U219">
        <f>VLOOKUP(C219,CU_ARS_2025_WOF_F2!$A$2:$K$673,8,FALSE)</f>
        <v>1</v>
      </c>
      <c r="V219">
        <f>VLOOKUP(C219,CU_ARS_2025_WOF_F2!$A$2:$K$673,9,FALSE)</f>
        <v>0</v>
      </c>
      <c r="W219">
        <f>VLOOKUP(C219,CU_ARS_2025_WOF_F2!$A$2:$K$673,10,FALSE)</f>
        <v>0</v>
      </c>
      <c r="X219">
        <f>VLOOKUP(C219,CU_ARS_2025_WOF_F2!$A$2:$K$673,11,FALSE)</f>
        <v>37</v>
      </c>
      <c r="Y219" t="str">
        <f>VLOOKUP(Q219,cross_pedigree!$A$2:$B$23,2,FALSE)</f>
        <v>NF01404A/PA8014-840</v>
      </c>
    </row>
    <row r="220" spans="1:25" ht="18">
      <c r="A220" s="21" t="s">
        <v>15</v>
      </c>
      <c r="B220" s="21" t="s">
        <v>16</v>
      </c>
      <c r="C220" s="22">
        <v>753901</v>
      </c>
      <c r="D220" s="23">
        <v>3</v>
      </c>
      <c r="E220" s="24" t="str">
        <f t="shared" si="3"/>
        <v>CU_ARS_2025_WOF_F2_6_plant_41</v>
      </c>
      <c r="F220" s="21" t="s">
        <v>136</v>
      </c>
      <c r="G220" s="44" t="s">
        <v>137</v>
      </c>
      <c r="H220" s="42"/>
      <c r="I220" s="42" t="s">
        <v>1015</v>
      </c>
      <c r="J220" s="42" t="s">
        <v>1003</v>
      </c>
      <c r="K220" s="42"/>
      <c r="L220" s="42"/>
      <c r="M220" s="42"/>
      <c r="N220" t="str">
        <f>VLOOKUP(C220,CU_ARS_2025_WOF_F2!$A$2:$K$673,2,FALSE)</f>
        <v>CU_ARS_2025_WOF_F2_6_plant_41</v>
      </c>
      <c r="O220" t="str">
        <f>VLOOKUP(C220,CU_ARS_2025_WOF_F2!$A$2:$K$673,2,FALSE)</f>
        <v>CU_ARS_2025_WOF_F2_6_plant_41</v>
      </c>
      <c r="P220" t="str">
        <f>VLOOKUP(C220,CU_ARS_2025_WOF_F2!$A$2:$K$673,3,FALSE)</f>
        <v>CU_ARS_2025_WOF_F2_6</v>
      </c>
      <c r="Q220" t="str">
        <f>VLOOKUP(C220,CU_ARS_2025_WOF_F2!$A$2:$K$673,4,FALSE)</f>
        <v>CU_ARS_2025_WOF_cross_4</v>
      </c>
      <c r="R220">
        <f>VLOOKUP(C220,CU_ARS_2025_WOF_F2!$A$2:$K$673,5,FALSE)</f>
        <v>6</v>
      </c>
      <c r="S220">
        <f>VLOOKUP(C220,CU_ARS_2025_WOF_F2!$A$2:$K$673,6,FALSE)</f>
        <v>1</v>
      </c>
      <c r="T220">
        <f>VLOOKUP(C220,CU_ARS_2025_WOF_F2!$A$2:$K$673,7,FALSE)</f>
        <v>0</v>
      </c>
      <c r="U220">
        <f>VLOOKUP(C220,CU_ARS_2025_WOF_F2!$A$2:$K$673,8,FALSE)</f>
        <v>1</v>
      </c>
      <c r="V220">
        <f>VLOOKUP(C220,CU_ARS_2025_WOF_F2!$A$2:$K$673,9,FALSE)</f>
        <v>0</v>
      </c>
      <c r="W220">
        <f>VLOOKUP(C220,CU_ARS_2025_WOF_F2!$A$2:$K$673,10,FALSE)</f>
        <v>0</v>
      </c>
      <c r="X220">
        <f>VLOOKUP(C220,CU_ARS_2025_WOF_F2!$A$2:$K$673,11,FALSE)</f>
        <v>41</v>
      </c>
      <c r="Y220" t="str">
        <f>VLOOKUP(Q220,cross_pedigree!$A$2:$B$23,2,FALSE)</f>
        <v>NF01404A/PA8014-840</v>
      </c>
    </row>
    <row r="221" spans="1:25" ht="18">
      <c r="A221" s="21" t="s">
        <v>15</v>
      </c>
      <c r="B221" s="21" t="s">
        <v>16</v>
      </c>
      <c r="C221" s="22">
        <v>753902</v>
      </c>
      <c r="D221" s="23">
        <v>3</v>
      </c>
      <c r="E221" s="24" t="str">
        <f t="shared" si="3"/>
        <v>CU_ARS_2025_WOF_F2_6_plant_42</v>
      </c>
      <c r="F221" s="21" t="s">
        <v>138</v>
      </c>
      <c r="G221" s="44" t="s">
        <v>139</v>
      </c>
      <c r="H221" s="42"/>
      <c r="I221" s="42" t="s">
        <v>1015</v>
      </c>
      <c r="J221" s="42" t="s">
        <v>1003</v>
      </c>
      <c r="K221" s="42"/>
      <c r="L221" s="42"/>
      <c r="M221" s="42"/>
      <c r="N221" t="str">
        <f>VLOOKUP(C221,CU_ARS_2025_WOF_F2!$A$2:$K$673,2,FALSE)</f>
        <v>CU_ARS_2025_WOF_F2_6_plant_42</v>
      </c>
      <c r="O221" t="str">
        <f>VLOOKUP(C221,CU_ARS_2025_WOF_F2!$A$2:$K$673,2,FALSE)</f>
        <v>CU_ARS_2025_WOF_F2_6_plant_42</v>
      </c>
      <c r="P221" t="str">
        <f>VLOOKUP(C221,CU_ARS_2025_WOF_F2!$A$2:$K$673,3,FALSE)</f>
        <v>CU_ARS_2025_WOF_F2_6</v>
      </c>
      <c r="Q221" t="str">
        <f>VLOOKUP(C221,CU_ARS_2025_WOF_F2!$A$2:$K$673,4,FALSE)</f>
        <v>CU_ARS_2025_WOF_cross_4</v>
      </c>
      <c r="R221">
        <f>VLOOKUP(C221,CU_ARS_2025_WOF_F2!$A$2:$K$673,5,FALSE)</f>
        <v>6</v>
      </c>
      <c r="S221">
        <f>VLOOKUP(C221,CU_ARS_2025_WOF_F2!$A$2:$K$673,6,FALSE)</f>
        <v>1</v>
      </c>
      <c r="T221">
        <f>VLOOKUP(C221,CU_ARS_2025_WOF_F2!$A$2:$K$673,7,FALSE)</f>
        <v>0</v>
      </c>
      <c r="U221">
        <f>VLOOKUP(C221,CU_ARS_2025_WOF_F2!$A$2:$K$673,8,FALSE)</f>
        <v>1</v>
      </c>
      <c r="V221">
        <f>VLOOKUP(C221,CU_ARS_2025_WOF_F2!$A$2:$K$673,9,FALSE)</f>
        <v>0</v>
      </c>
      <c r="W221">
        <f>VLOOKUP(C221,CU_ARS_2025_WOF_F2!$A$2:$K$673,10,FALSE)</f>
        <v>0</v>
      </c>
      <c r="X221">
        <f>VLOOKUP(C221,CU_ARS_2025_WOF_F2!$A$2:$K$673,11,FALSE)</f>
        <v>42</v>
      </c>
      <c r="Y221" t="str">
        <f>VLOOKUP(Q221,cross_pedigree!$A$2:$B$23,2,FALSE)</f>
        <v>NF01404A/PA8014-840</v>
      </c>
    </row>
    <row r="222" spans="1:25" ht="18">
      <c r="A222" s="21" t="s">
        <v>15</v>
      </c>
      <c r="B222" s="21" t="s">
        <v>16</v>
      </c>
      <c r="C222" s="22">
        <v>753903</v>
      </c>
      <c r="D222" s="23">
        <v>3</v>
      </c>
      <c r="E222" s="24" t="str">
        <f t="shared" si="3"/>
        <v>CU_ARS_2025_WOF_F2_6_plant_43</v>
      </c>
      <c r="F222" s="21" t="s">
        <v>140</v>
      </c>
      <c r="G222" s="44" t="s">
        <v>141</v>
      </c>
      <c r="H222" s="42"/>
      <c r="I222" s="42" t="s">
        <v>1015</v>
      </c>
      <c r="J222" s="42" t="s">
        <v>1003</v>
      </c>
      <c r="K222" s="42"/>
      <c r="L222" s="42"/>
      <c r="M222" s="42"/>
      <c r="N222" t="str">
        <f>VLOOKUP(C222,CU_ARS_2025_WOF_F2!$A$2:$K$673,2,FALSE)</f>
        <v>CU_ARS_2025_WOF_F2_6_plant_43</v>
      </c>
      <c r="O222" t="str">
        <f>VLOOKUP(C222,CU_ARS_2025_WOF_F2!$A$2:$K$673,2,FALSE)</f>
        <v>CU_ARS_2025_WOF_F2_6_plant_43</v>
      </c>
      <c r="P222" t="str">
        <f>VLOOKUP(C222,CU_ARS_2025_WOF_F2!$A$2:$K$673,3,FALSE)</f>
        <v>CU_ARS_2025_WOF_F2_6</v>
      </c>
      <c r="Q222" t="str">
        <f>VLOOKUP(C222,CU_ARS_2025_WOF_F2!$A$2:$K$673,4,FALSE)</f>
        <v>CU_ARS_2025_WOF_cross_4</v>
      </c>
      <c r="R222">
        <f>VLOOKUP(C222,CU_ARS_2025_WOF_F2!$A$2:$K$673,5,FALSE)</f>
        <v>6</v>
      </c>
      <c r="S222">
        <f>VLOOKUP(C222,CU_ARS_2025_WOF_F2!$A$2:$K$673,6,FALSE)</f>
        <v>1</v>
      </c>
      <c r="T222">
        <f>VLOOKUP(C222,CU_ARS_2025_WOF_F2!$A$2:$K$673,7,FALSE)</f>
        <v>0</v>
      </c>
      <c r="U222">
        <f>VLOOKUP(C222,CU_ARS_2025_WOF_F2!$A$2:$K$673,8,FALSE)</f>
        <v>1</v>
      </c>
      <c r="V222">
        <f>VLOOKUP(C222,CU_ARS_2025_WOF_F2!$A$2:$K$673,9,FALSE)</f>
        <v>0</v>
      </c>
      <c r="W222">
        <f>VLOOKUP(C222,CU_ARS_2025_WOF_F2!$A$2:$K$673,10,FALSE)</f>
        <v>0</v>
      </c>
      <c r="X222">
        <f>VLOOKUP(C222,CU_ARS_2025_WOF_F2!$A$2:$K$673,11,FALSE)</f>
        <v>43</v>
      </c>
      <c r="Y222" t="str">
        <f>VLOOKUP(Q222,cross_pedigree!$A$2:$B$23,2,FALSE)</f>
        <v>NF01404A/PA8014-840</v>
      </c>
    </row>
    <row r="223" spans="1:25" ht="18">
      <c r="A223" s="21" t="s">
        <v>15</v>
      </c>
      <c r="B223" s="21" t="s">
        <v>16</v>
      </c>
      <c r="C223" s="22">
        <v>753904</v>
      </c>
      <c r="D223" s="23">
        <v>3</v>
      </c>
      <c r="E223" s="24" t="str">
        <f t="shared" si="3"/>
        <v>CU_ARS_2025_WOF_F2_6_plant_44</v>
      </c>
      <c r="F223" s="21" t="s">
        <v>142</v>
      </c>
      <c r="G223" s="44" t="s">
        <v>143</v>
      </c>
      <c r="H223" s="42"/>
      <c r="I223" s="42" t="s">
        <v>1015</v>
      </c>
      <c r="J223" s="42" t="s">
        <v>1003</v>
      </c>
      <c r="K223" s="42"/>
      <c r="L223" s="42"/>
      <c r="M223" s="42"/>
      <c r="N223" t="str">
        <f>VLOOKUP(C223,CU_ARS_2025_WOF_F2!$A$2:$K$673,2,FALSE)</f>
        <v>CU_ARS_2025_WOF_F2_6_plant_44</v>
      </c>
      <c r="O223" t="str">
        <f>VLOOKUP(C223,CU_ARS_2025_WOF_F2!$A$2:$K$673,2,FALSE)</f>
        <v>CU_ARS_2025_WOF_F2_6_plant_44</v>
      </c>
      <c r="P223" t="str">
        <f>VLOOKUP(C223,CU_ARS_2025_WOF_F2!$A$2:$K$673,3,FALSE)</f>
        <v>CU_ARS_2025_WOF_F2_6</v>
      </c>
      <c r="Q223" t="str">
        <f>VLOOKUP(C223,CU_ARS_2025_WOF_F2!$A$2:$K$673,4,FALSE)</f>
        <v>CU_ARS_2025_WOF_cross_4</v>
      </c>
      <c r="R223">
        <f>VLOOKUP(C223,CU_ARS_2025_WOF_F2!$A$2:$K$673,5,FALSE)</f>
        <v>6</v>
      </c>
      <c r="S223">
        <f>VLOOKUP(C223,CU_ARS_2025_WOF_F2!$A$2:$K$673,6,FALSE)</f>
        <v>1</v>
      </c>
      <c r="T223">
        <f>VLOOKUP(C223,CU_ARS_2025_WOF_F2!$A$2:$K$673,7,FALSE)</f>
        <v>0</v>
      </c>
      <c r="U223">
        <f>VLOOKUP(C223,CU_ARS_2025_WOF_F2!$A$2:$K$673,8,FALSE)</f>
        <v>1</v>
      </c>
      <c r="V223">
        <f>VLOOKUP(C223,CU_ARS_2025_WOF_F2!$A$2:$K$673,9,FALSE)</f>
        <v>0</v>
      </c>
      <c r="W223">
        <f>VLOOKUP(C223,CU_ARS_2025_WOF_F2!$A$2:$K$673,10,FALSE)</f>
        <v>0</v>
      </c>
      <c r="X223">
        <f>VLOOKUP(C223,CU_ARS_2025_WOF_F2!$A$2:$K$673,11,FALSE)</f>
        <v>44</v>
      </c>
      <c r="Y223" t="str">
        <f>VLOOKUP(Q223,cross_pedigree!$A$2:$B$23,2,FALSE)</f>
        <v>NF01404A/PA8014-840</v>
      </c>
    </row>
    <row r="224" spans="1:25" ht="18">
      <c r="A224" s="21" t="s">
        <v>15</v>
      </c>
      <c r="B224" s="21" t="s">
        <v>16</v>
      </c>
      <c r="C224" s="22">
        <v>753905</v>
      </c>
      <c r="D224" s="23">
        <v>3</v>
      </c>
      <c r="E224" s="24" t="str">
        <f t="shared" si="3"/>
        <v>CU_ARS_2025_WOF_F2_6_plant_45</v>
      </c>
      <c r="F224" s="21" t="s">
        <v>144</v>
      </c>
      <c r="G224" s="44" t="s">
        <v>145</v>
      </c>
      <c r="H224" s="42"/>
      <c r="I224" s="42" t="s">
        <v>1015</v>
      </c>
      <c r="J224" s="42" t="s">
        <v>1003</v>
      </c>
      <c r="K224" s="42"/>
      <c r="L224" s="42"/>
      <c r="M224" s="42"/>
      <c r="N224" t="str">
        <f>VLOOKUP(C224,CU_ARS_2025_WOF_F2!$A$2:$K$673,2,FALSE)</f>
        <v>CU_ARS_2025_WOF_F2_6_plant_45</v>
      </c>
      <c r="O224" t="str">
        <f>VLOOKUP(C224,CU_ARS_2025_WOF_F2!$A$2:$K$673,2,FALSE)</f>
        <v>CU_ARS_2025_WOF_F2_6_plant_45</v>
      </c>
      <c r="P224" t="str">
        <f>VLOOKUP(C224,CU_ARS_2025_WOF_F2!$A$2:$K$673,3,FALSE)</f>
        <v>CU_ARS_2025_WOF_F2_6</v>
      </c>
      <c r="Q224" t="str">
        <f>VLOOKUP(C224,CU_ARS_2025_WOF_F2!$A$2:$K$673,4,FALSE)</f>
        <v>CU_ARS_2025_WOF_cross_4</v>
      </c>
      <c r="R224">
        <f>VLOOKUP(C224,CU_ARS_2025_WOF_F2!$A$2:$K$673,5,FALSE)</f>
        <v>6</v>
      </c>
      <c r="S224">
        <f>VLOOKUP(C224,CU_ARS_2025_WOF_F2!$A$2:$K$673,6,FALSE)</f>
        <v>1</v>
      </c>
      <c r="T224">
        <f>VLOOKUP(C224,CU_ARS_2025_WOF_F2!$A$2:$K$673,7,FALSE)</f>
        <v>0</v>
      </c>
      <c r="U224">
        <f>VLOOKUP(C224,CU_ARS_2025_WOF_F2!$A$2:$K$673,8,FALSE)</f>
        <v>1</v>
      </c>
      <c r="V224">
        <f>VLOOKUP(C224,CU_ARS_2025_WOF_F2!$A$2:$K$673,9,FALSE)</f>
        <v>0</v>
      </c>
      <c r="W224">
        <f>VLOOKUP(C224,CU_ARS_2025_WOF_F2!$A$2:$K$673,10,FALSE)</f>
        <v>0</v>
      </c>
      <c r="X224">
        <f>VLOOKUP(C224,CU_ARS_2025_WOF_F2!$A$2:$K$673,11,FALSE)</f>
        <v>45</v>
      </c>
      <c r="Y224" t="str">
        <f>VLOOKUP(Q224,cross_pedigree!$A$2:$B$23,2,FALSE)</f>
        <v>NF01404A/PA8014-840</v>
      </c>
    </row>
    <row r="225" spans="1:25" ht="18">
      <c r="A225" s="21" t="s">
        <v>15</v>
      </c>
      <c r="B225" s="21" t="s">
        <v>16</v>
      </c>
      <c r="C225" s="22">
        <v>753909</v>
      </c>
      <c r="D225" s="23">
        <v>3</v>
      </c>
      <c r="E225" s="24" t="str">
        <f t="shared" si="3"/>
        <v>CU_ARS_2025_WOF_F2_6_plant_49</v>
      </c>
      <c r="F225" s="21" t="s">
        <v>146</v>
      </c>
      <c r="G225" s="44" t="s">
        <v>147</v>
      </c>
      <c r="H225" s="42"/>
      <c r="I225" s="42" t="s">
        <v>1015</v>
      </c>
      <c r="J225" s="42" t="s">
        <v>1003</v>
      </c>
      <c r="K225" s="42"/>
      <c r="L225" s="42"/>
      <c r="M225" s="42"/>
      <c r="N225" t="str">
        <f>VLOOKUP(C225,CU_ARS_2025_WOF_F2!$A$2:$K$673,2,FALSE)</f>
        <v>CU_ARS_2025_WOF_F2_6_plant_49</v>
      </c>
      <c r="O225" t="str">
        <f>VLOOKUP(C225,CU_ARS_2025_WOF_F2!$A$2:$K$673,2,FALSE)</f>
        <v>CU_ARS_2025_WOF_F2_6_plant_49</v>
      </c>
      <c r="P225" t="str">
        <f>VLOOKUP(C225,CU_ARS_2025_WOF_F2!$A$2:$K$673,3,FALSE)</f>
        <v>CU_ARS_2025_WOF_F2_6</v>
      </c>
      <c r="Q225" t="str">
        <f>VLOOKUP(C225,CU_ARS_2025_WOF_F2!$A$2:$K$673,4,FALSE)</f>
        <v>CU_ARS_2025_WOF_cross_4</v>
      </c>
      <c r="R225">
        <f>VLOOKUP(C225,CU_ARS_2025_WOF_F2!$A$2:$K$673,5,FALSE)</f>
        <v>6</v>
      </c>
      <c r="S225">
        <f>VLOOKUP(C225,CU_ARS_2025_WOF_F2!$A$2:$K$673,6,FALSE)</f>
        <v>1</v>
      </c>
      <c r="T225">
        <f>VLOOKUP(C225,CU_ARS_2025_WOF_F2!$A$2:$K$673,7,FALSE)</f>
        <v>0</v>
      </c>
      <c r="U225">
        <f>VLOOKUP(C225,CU_ARS_2025_WOF_F2!$A$2:$K$673,8,FALSE)</f>
        <v>1</v>
      </c>
      <c r="V225">
        <f>VLOOKUP(C225,CU_ARS_2025_WOF_F2!$A$2:$K$673,9,FALSE)</f>
        <v>0</v>
      </c>
      <c r="W225">
        <f>VLOOKUP(C225,CU_ARS_2025_WOF_F2!$A$2:$K$673,10,FALSE)</f>
        <v>0</v>
      </c>
      <c r="X225">
        <f>VLOOKUP(C225,CU_ARS_2025_WOF_F2!$A$2:$K$673,11,FALSE)</f>
        <v>49</v>
      </c>
      <c r="Y225" t="str">
        <f>VLOOKUP(Q225,cross_pedigree!$A$2:$B$23,2,FALSE)</f>
        <v>NF01404A/PA8014-840</v>
      </c>
    </row>
    <row r="226" spans="1:25" ht="18">
      <c r="A226" s="21" t="s">
        <v>15</v>
      </c>
      <c r="B226" s="21" t="s">
        <v>16</v>
      </c>
      <c r="C226" s="22">
        <v>753910</v>
      </c>
      <c r="D226" s="23">
        <v>3</v>
      </c>
      <c r="E226" s="24" t="str">
        <f t="shared" si="3"/>
        <v>CU_ARS_2025_WOF_F2_6_plant_50</v>
      </c>
      <c r="F226" s="21" t="s">
        <v>148</v>
      </c>
      <c r="G226" s="44" t="s">
        <v>149</v>
      </c>
      <c r="H226" s="42"/>
      <c r="I226" s="42" t="s">
        <v>1015</v>
      </c>
      <c r="J226" s="42" t="s">
        <v>1003</v>
      </c>
      <c r="K226" s="42"/>
      <c r="L226" s="42"/>
      <c r="M226" s="42"/>
      <c r="N226" t="str">
        <f>VLOOKUP(C226,CU_ARS_2025_WOF_F2!$A$2:$K$673,2,FALSE)</f>
        <v>CU_ARS_2025_WOF_F2_6_plant_50</v>
      </c>
      <c r="O226" t="str">
        <f>VLOOKUP(C226,CU_ARS_2025_WOF_F2!$A$2:$K$673,2,FALSE)</f>
        <v>CU_ARS_2025_WOF_F2_6_plant_50</v>
      </c>
      <c r="P226" t="str">
        <f>VLOOKUP(C226,CU_ARS_2025_WOF_F2!$A$2:$K$673,3,FALSE)</f>
        <v>CU_ARS_2025_WOF_F2_6</v>
      </c>
      <c r="Q226" t="str">
        <f>VLOOKUP(C226,CU_ARS_2025_WOF_F2!$A$2:$K$673,4,FALSE)</f>
        <v>CU_ARS_2025_WOF_cross_4</v>
      </c>
      <c r="R226">
        <f>VLOOKUP(C226,CU_ARS_2025_WOF_F2!$A$2:$K$673,5,FALSE)</f>
        <v>6</v>
      </c>
      <c r="S226">
        <f>VLOOKUP(C226,CU_ARS_2025_WOF_F2!$A$2:$K$673,6,FALSE)</f>
        <v>1</v>
      </c>
      <c r="T226">
        <f>VLOOKUP(C226,CU_ARS_2025_WOF_F2!$A$2:$K$673,7,FALSE)</f>
        <v>0</v>
      </c>
      <c r="U226">
        <f>VLOOKUP(C226,CU_ARS_2025_WOF_F2!$A$2:$K$673,8,FALSE)</f>
        <v>1</v>
      </c>
      <c r="V226">
        <f>VLOOKUP(C226,CU_ARS_2025_WOF_F2!$A$2:$K$673,9,FALSE)</f>
        <v>0</v>
      </c>
      <c r="W226">
        <f>VLOOKUP(C226,CU_ARS_2025_WOF_F2!$A$2:$K$673,10,FALSE)</f>
        <v>0</v>
      </c>
      <c r="X226">
        <f>VLOOKUP(C226,CU_ARS_2025_WOF_F2!$A$2:$K$673,11,FALSE)</f>
        <v>50</v>
      </c>
      <c r="Y226" t="str">
        <f>VLOOKUP(Q226,cross_pedigree!$A$2:$B$23,2,FALSE)</f>
        <v>NF01404A/PA8014-840</v>
      </c>
    </row>
    <row r="227" spans="1:25" ht="18">
      <c r="A227" s="21" t="s">
        <v>15</v>
      </c>
      <c r="B227" s="21" t="s">
        <v>16</v>
      </c>
      <c r="C227" s="22">
        <v>753911</v>
      </c>
      <c r="D227" s="23">
        <v>3</v>
      </c>
      <c r="E227" s="24" t="str">
        <f t="shared" si="3"/>
        <v>CU_ARS_2025_WOF_F2_6_plant_51</v>
      </c>
      <c r="F227" s="21" t="s">
        <v>150</v>
      </c>
      <c r="G227" s="44" t="s">
        <v>151</v>
      </c>
      <c r="H227" s="42"/>
      <c r="I227" s="42" t="s">
        <v>1015</v>
      </c>
      <c r="J227" s="42" t="s">
        <v>1003</v>
      </c>
      <c r="K227" s="42"/>
      <c r="L227" s="42"/>
      <c r="M227" s="42"/>
      <c r="N227" t="str">
        <f>VLOOKUP(C227,CU_ARS_2025_WOF_F2!$A$2:$K$673,2,FALSE)</f>
        <v>CU_ARS_2025_WOF_F2_6_plant_51</v>
      </c>
      <c r="O227" t="str">
        <f>VLOOKUP(C227,CU_ARS_2025_WOF_F2!$A$2:$K$673,2,FALSE)</f>
        <v>CU_ARS_2025_WOF_F2_6_plant_51</v>
      </c>
      <c r="P227" t="str">
        <f>VLOOKUP(C227,CU_ARS_2025_WOF_F2!$A$2:$K$673,3,FALSE)</f>
        <v>CU_ARS_2025_WOF_F2_6</v>
      </c>
      <c r="Q227" t="str">
        <f>VLOOKUP(C227,CU_ARS_2025_WOF_F2!$A$2:$K$673,4,FALSE)</f>
        <v>CU_ARS_2025_WOF_cross_4</v>
      </c>
      <c r="R227">
        <f>VLOOKUP(C227,CU_ARS_2025_WOF_F2!$A$2:$K$673,5,FALSE)</f>
        <v>6</v>
      </c>
      <c r="S227">
        <f>VLOOKUP(C227,CU_ARS_2025_WOF_F2!$A$2:$K$673,6,FALSE)</f>
        <v>1</v>
      </c>
      <c r="T227">
        <f>VLOOKUP(C227,CU_ARS_2025_WOF_F2!$A$2:$K$673,7,FALSE)</f>
        <v>0</v>
      </c>
      <c r="U227">
        <f>VLOOKUP(C227,CU_ARS_2025_WOF_F2!$A$2:$K$673,8,FALSE)</f>
        <v>1</v>
      </c>
      <c r="V227">
        <f>VLOOKUP(C227,CU_ARS_2025_WOF_F2!$A$2:$K$673,9,FALSE)</f>
        <v>0</v>
      </c>
      <c r="W227">
        <f>VLOOKUP(C227,CU_ARS_2025_WOF_F2!$A$2:$K$673,10,FALSE)</f>
        <v>0</v>
      </c>
      <c r="X227">
        <f>VLOOKUP(C227,CU_ARS_2025_WOF_F2!$A$2:$K$673,11,FALSE)</f>
        <v>51</v>
      </c>
      <c r="Y227" t="str">
        <f>VLOOKUP(Q227,cross_pedigree!$A$2:$B$23,2,FALSE)</f>
        <v>NF01404A/PA8014-840</v>
      </c>
    </row>
    <row r="228" spans="1:25" ht="18">
      <c r="A228" s="21" t="s">
        <v>15</v>
      </c>
      <c r="B228" s="21" t="s">
        <v>16</v>
      </c>
      <c r="C228" s="22">
        <v>753912</v>
      </c>
      <c r="D228" s="23">
        <v>3</v>
      </c>
      <c r="E228" s="24" t="str">
        <f t="shared" si="3"/>
        <v>CU_ARS_2025_WOF_F2_6_plant_52</v>
      </c>
      <c r="F228" s="21" t="s">
        <v>13</v>
      </c>
      <c r="G228" s="44" t="s">
        <v>14</v>
      </c>
      <c r="H228" s="42"/>
      <c r="I228" s="42" t="s">
        <v>1015</v>
      </c>
      <c r="J228" s="42" t="s">
        <v>1003</v>
      </c>
      <c r="K228" s="42"/>
      <c r="L228" s="42"/>
      <c r="M228" s="42"/>
      <c r="N228" t="str">
        <f>VLOOKUP(C228,CU_ARS_2025_WOF_F2!$A$2:$K$673,2,FALSE)</f>
        <v>CU_ARS_2025_WOF_F2_6_plant_52</v>
      </c>
      <c r="O228" t="str">
        <f>VLOOKUP(C228,CU_ARS_2025_WOF_F2!$A$2:$K$673,2,FALSE)</f>
        <v>CU_ARS_2025_WOF_F2_6_plant_52</v>
      </c>
      <c r="P228" t="str">
        <f>VLOOKUP(C228,CU_ARS_2025_WOF_F2!$A$2:$K$673,3,FALSE)</f>
        <v>CU_ARS_2025_WOF_F2_6</v>
      </c>
      <c r="Q228" t="str">
        <f>VLOOKUP(C228,CU_ARS_2025_WOF_F2!$A$2:$K$673,4,FALSE)</f>
        <v>CU_ARS_2025_WOF_cross_4</v>
      </c>
      <c r="R228">
        <f>VLOOKUP(C228,CU_ARS_2025_WOF_F2!$A$2:$K$673,5,FALSE)</f>
        <v>6</v>
      </c>
      <c r="S228">
        <f>VLOOKUP(C228,CU_ARS_2025_WOF_F2!$A$2:$K$673,6,FALSE)</f>
        <v>1</v>
      </c>
      <c r="T228">
        <f>VLOOKUP(C228,CU_ARS_2025_WOF_F2!$A$2:$K$673,7,FALSE)</f>
        <v>0</v>
      </c>
      <c r="U228">
        <f>VLOOKUP(C228,CU_ARS_2025_WOF_F2!$A$2:$K$673,8,FALSE)</f>
        <v>1</v>
      </c>
      <c r="V228">
        <f>VLOOKUP(C228,CU_ARS_2025_WOF_F2!$A$2:$K$673,9,FALSE)</f>
        <v>0</v>
      </c>
      <c r="W228">
        <f>VLOOKUP(C228,CU_ARS_2025_WOF_F2!$A$2:$K$673,10,FALSE)</f>
        <v>0</v>
      </c>
      <c r="X228">
        <f>VLOOKUP(C228,CU_ARS_2025_WOF_F2!$A$2:$K$673,11,FALSE)</f>
        <v>52</v>
      </c>
      <c r="Y228" t="str">
        <f>VLOOKUP(Q228,cross_pedigree!$A$2:$B$23,2,FALSE)</f>
        <v>NF01404A/PA8014-840</v>
      </c>
    </row>
    <row r="229" spans="1:25" ht="18">
      <c r="A229" s="21" t="s">
        <v>15</v>
      </c>
      <c r="B229" s="21" t="s">
        <v>16</v>
      </c>
      <c r="C229" s="22">
        <v>753913</v>
      </c>
      <c r="D229" s="23">
        <v>3</v>
      </c>
      <c r="E229" s="24" t="str">
        <f t="shared" si="3"/>
        <v>CU_ARS_2025_WOF_F2_6_plant_53</v>
      </c>
      <c r="F229" s="21" t="s">
        <v>17</v>
      </c>
      <c r="G229" s="44" t="s">
        <v>18</v>
      </c>
      <c r="H229" s="42"/>
      <c r="I229" s="42" t="s">
        <v>1015</v>
      </c>
      <c r="J229" s="42" t="s">
        <v>1003</v>
      </c>
      <c r="K229" s="42"/>
      <c r="L229" s="42"/>
      <c r="M229" s="42"/>
      <c r="N229" t="str">
        <f>VLOOKUP(C229,CU_ARS_2025_WOF_F2!$A$2:$K$673,2,FALSE)</f>
        <v>CU_ARS_2025_WOF_F2_6_plant_53</v>
      </c>
      <c r="O229" t="str">
        <f>VLOOKUP(C229,CU_ARS_2025_WOF_F2!$A$2:$K$673,2,FALSE)</f>
        <v>CU_ARS_2025_WOF_F2_6_plant_53</v>
      </c>
      <c r="P229" t="str">
        <f>VLOOKUP(C229,CU_ARS_2025_WOF_F2!$A$2:$K$673,3,FALSE)</f>
        <v>CU_ARS_2025_WOF_F2_6</v>
      </c>
      <c r="Q229" t="str">
        <f>VLOOKUP(C229,CU_ARS_2025_WOF_F2!$A$2:$K$673,4,FALSE)</f>
        <v>CU_ARS_2025_WOF_cross_4</v>
      </c>
      <c r="R229">
        <f>VLOOKUP(C229,CU_ARS_2025_WOF_F2!$A$2:$K$673,5,FALSE)</f>
        <v>6</v>
      </c>
      <c r="S229">
        <f>VLOOKUP(C229,CU_ARS_2025_WOF_F2!$A$2:$K$673,6,FALSE)</f>
        <v>1</v>
      </c>
      <c r="T229">
        <f>VLOOKUP(C229,CU_ARS_2025_WOF_F2!$A$2:$K$673,7,FALSE)</f>
        <v>0</v>
      </c>
      <c r="U229">
        <f>VLOOKUP(C229,CU_ARS_2025_WOF_F2!$A$2:$K$673,8,FALSE)</f>
        <v>1</v>
      </c>
      <c r="V229">
        <f>VLOOKUP(C229,CU_ARS_2025_WOF_F2!$A$2:$K$673,9,FALSE)</f>
        <v>0</v>
      </c>
      <c r="W229">
        <f>VLOOKUP(C229,CU_ARS_2025_WOF_F2!$A$2:$K$673,10,FALSE)</f>
        <v>0</v>
      </c>
      <c r="X229">
        <f>VLOOKUP(C229,CU_ARS_2025_WOF_F2!$A$2:$K$673,11,FALSE)</f>
        <v>53</v>
      </c>
      <c r="Y229" t="str">
        <f>VLOOKUP(Q229,cross_pedigree!$A$2:$B$23,2,FALSE)</f>
        <v>NF01404A/PA8014-840</v>
      </c>
    </row>
    <row r="230" spans="1:25" ht="18">
      <c r="A230" s="21" t="s">
        <v>15</v>
      </c>
      <c r="B230" s="21" t="s">
        <v>16</v>
      </c>
      <c r="C230" s="22">
        <v>753931</v>
      </c>
      <c r="D230" s="23">
        <v>3</v>
      </c>
      <c r="E230" s="24" t="str">
        <f t="shared" si="3"/>
        <v>CU_ARS_2025_WOF_F2_6_plant_71</v>
      </c>
      <c r="F230" s="21" t="s">
        <v>19</v>
      </c>
      <c r="G230" s="44" t="s">
        <v>20</v>
      </c>
      <c r="H230" s="42"/>
      <c r="I230" s="42" t="s">
        <v>1015</v>
      </c>
      <c r="J230" s="42" t="s">
        <v>1003</v>
      </c>
      <c r="K230" s="42"/>
      <c r="L230" s="42"/>
      <c r="M230" s="42"/>
      <c r="N230" t="str">
        <f>VLOOKUP(C230,CU_ARS_2025_WOF_F2!$A$2:$K$673,2,FALSE)</f>
        <v>CU_ARS_2025_WOF_F2_6_plant_71</v>
      </c>
      <c r="O230" t="str">
        <f>VLOOKUP(C230,CU_ARS_2025_WOF_F2!$A$2:$K$673,2,FALSE)</f>
        <v>CU_ARS_2025_WOF_F2_6_plant_71</v>
      </c>
      <c r="P230" t="str">
        <f>VLOOKUP(C230,CU_ARS_2025_WOF_F2!$A$2:$K$673,3,FALSE)</f>
        <v>CU_ARS_2025_WOF_F2_6</v>
      </c>
      <c r="Q230" t="str">
        <f>VLOOKUP(C230,CU_ARS_2025_WOF_F2!$A$2:$K$673,4,FALSE)</f>
        <v>CU_ARS_2025_WOF_cross_4</v>
      </c>
      <c r="R230">
        <f>VLOOKUP(C230,CU_ARS_2025_WOF_F2!$A$2:$K$673,5,FALSE)</f>
        <v>6</v>
      </c>
      <c r="S230">
        <f>VLOOKUP(C230,CU_ARS_2025_WOF_F2!$A$2:$K$673,6,FALSE)</f>
        <v>1</v>
      </c>
      <c r="T230">
        <f>VLOOKUP(C230,CU_ARS_2025_WOF_F2!$A$2:$K$673,7,FALSE)</f>
        <v>0</v>
      </c>
      <c r="U230">
        <f>VLOOKUP(C230,CU_ARS_2025_WOF_F2!$A$2:$K$673,8,FALSE)</f>
        <v>1</v>
      </c>
      <c r="V230">
        <f>VLOOKUP(C230,CU_ARS_2025_WOF_F2!$A$2:$K$673,9,FALSE)</f>
        <v>0</v>
      </c>
      <c r="W230">
        <f>VLOOKUP(C230,CU_ARS_2025_WOF_F2!$A$2:$K$673,10,FALSE)</f>
        <v>0</v>
      </c>
      <c r="X230">
        <f>VLOOKUP(C230,CU_ARS_2025_WOF_F2!$A$2:$K$673,11,FALSE)</f>
        <v>71</v>
      </c>
      <c r="Y230" t="str">
        <f>VLOOKUP(Q230,cross_pedigree!$A$2:$B$23,2,FALSE)</f>
        <v>NF01404A/PA8014-840</v>
      </c>
    </row>
    <row r="231" spans="1:25" ht="18">
      <c r="A231" s="21" t="s">
        <v>15</v>
      </c>
      <c r="B231" s="21" t="s">
        <v>16</v>
      </c>
      <c r="C231" s="22">
        <v>753920</v>
      </c>
      <c r="D231" s="23">
        <v>3</v>
      </c>
      <c r="E231" s="24" t="str">
        <f t="shared" si="3"/>
        <v>CU_ARS_2025_WOF_F2_6_plant_60</v>
      </c>
      <c r="F231" s="21" t="s">
        <v>21</v>
      </c>
      <c r="G231" s="44" t="s">
        <v>22</v>
      </c>
      <c r="H231" s="42"/>
      <c r="I231" s="42" t="s">
        <v>1015</v>
      </c>
      <c r="J231" s="42" t="s">
        <v>1003</v>
      </c>
      <c r="K231" s="42"/>
      <c r="L231" s="42"/>
      <c r="M231" s="42"/>
      <c r="N231" t="str">
        <f>VLOOKUP(C231,CU_ARS_2025_WOF_F2!$A$2:$K$673,2,FALSE)</f>
        <v>CU_ARS_2025_WOF_F2_6_plant_60</v>
      </c>
      <c r="O231" t="str">
        <f>VLOOKUP(C231,CU_ARS_2025_WOF_F2!$A$2:$K$673,2,FALSE)</f>
        <v>CU_ARS_2025_WOF_F2_6_plant_60</v>
      </c>
      <c r="P231" t="str">
        <f>VLOOKUP(C231,CU_ARS_2025_WOF_F2!$A$2:$K$673,3,FALSE)</f>
        <v>CU_ARS_2025_WOF_F2_6</v>
      </c>
      <c r="Q231" t="str">
        <f>VLOOKUP(C231,CU_ARS_2025_WOF_F2!$A$2:$K$673,4,FALSE)</f>
        <v>CU_ARS_2025_WOF_cross_4</v>
      </c>
      <c r="R231">
        <f>VLOOKUP(C231,CU_ARS_2025_WOF_F2!$A$2:$K$673,5,FALSE)</f>
        <v>6</v>
      </c>
      <c r="S231">
        <f>VLOOKUP(C231,CU_ARS_2025_WOF_F2!$A$2:$K$673,6,FALSE)</f>
        <v>1</v>
      </c>
      <c r="T231">
        <f>VLOOKUP(C231,CU_ARS_2025_WOF_F2!$A$2:$K$673,7,FALSE)</f>
        <v>0</v>
      </c>
      <c r="U231">
        <f>VLOOKUP(C231,CU_ARS_2025_WOF_F2!$A$2:$K$673,8,FALSE)</f>
        <v>1</v>
      </c>
      <c r="V231">
        <f>VLOOKUP(C231,CU_ARS_2025_WOF_F2!$A$2:$K$673,9,FALSE)</f>
        <v>0</v>
      </c>
      <c r="W231">
        <f>VLOOKUP(C231,CU_ARS_2025_WOF_F2!$A$2:$K$673,10,FALSE)</f>
        <v>0</v>
      </c>
      <c r="X231">
        <f>VLOOKUP(C231,CU_ARS_2025_WOF_F2!$A$2:$K$673,11,FALSE)</f>
        <v>60</v>
      </c>
      <c r="Y231" t="str">
        <f>VLOOKUP(Q231,cross_pedigree!$A$2:$B$23,2,FALSE)</f>
        <v>NF01404A/PA8014-840</v>
      </c>
    </row>
    <row r="232" spans="1:25" ht="18">
      <c r="A232" s="21" t="s">
        <v>15</v>
      </c>
      <c r="B232" s="21" t="s">
        <v>16</v>
      </c>
      <c r="C232" s="22">
        <v>753919</v>
      </c>
      <c r="D232" s="23">
        <v>3</v>
      </c>
      <c r="E232" s="24" t="str">
        <f t="shared" si="3"/>
        <v>CU_ARS_2025_WOF_F2_6_plant_59</v>
      </c>
      <c r="F232" s="21" t="s">
        <v>152</v>
      </c>
      <c r="G232" s="44" t="s">
        <v>153</v>
      </c>
      <c r="H232" s="42"/>
      <c r="I232" s="42" t="s">
        <v>1015</v>
      </c>
      <c r="J232" s="42" t="s">
        <v>1003</v>
      </c>
      <c r="K232" s="42"/>
      <c r="L232" s="42"/>
      <c r="M232" s="42"/>
      <c r="N232" t="str">
        <f>VLOOKUP(C232,CU_ARS_2025_WOF_F2!$A$2:$K$673,2,FALSE)</f>
        <v>CU_ARS_2025_WOF_F2_6_plant_59</v>
      </c>
      <c r="O232" t="str">
        <f>VLOOKUP(C232,CU_ARS_2025_WOF_F2!$A$2:$K$673,2,FALSE)</f>
        <v>CU_ARS_2025_WOF_F2_6_plant_59</v>
      </c>
      <c r="P232" t="str">
        <f>VLOOKUP(C232,CU_ARS_2025_WOF_F2!$A$2:$K$673,3,FALSE)</f>
        <v>CU_ARS_2025_WOF_F2_6</v>
      </c>
      <c r="Q232" t="str">
        <f>VLOOKUP(C232,CU_ARS_2025_WOF_F2!$A$2:$K$673,4,FALSE)</f>
        <v>CU_ARS_2025_WOF_cross_4</v>
      </c>
      <c r="R232">
        <f>VLOOKUP(C232,CU_ARS_2025_WOF_F2!$A$2:$K$673,5,FALSE)</f>
        <v>6</v>
      </c>
      <c r="S232">
        <f>VLOOKUP(C232,CU_ARS_2025_WOF_F2!$A$2:$K$673,6,FALSE)</f>
        <v>1</v>
      </c>
      <c r="T232">
        <f>VLOOKUP(C232,CU_ARS_2025_WOF_F2!$A$2:$K$673,7,FALSE)</f>
        <v>0</v>
      </c>
      <c r="U232">
        <f>VLOOKUP(C232,CU_ARS_2025_WOF_F2!$A$2:$K$673,8,FALSE)</f>
        <v>1</v>
      </c>
      <c r="V232">
        <f>VLOOKUP(C232,CU_ARS_2025_WOF_F2!$A$2:$K$673,9,FALSE)</f>
        <v>0</v>
      </c>
      <c r="W232">
        <f>VLOOKUP(C232,CU_ARS_2025_WOF_F2!$A$2:$K$673,10,FALSE)</f>
        <v>0</v>
      </c>
      <c r="X232">
        <f>VLOOKUP(C232,CU_ARS_2025_WOF_F2!$A$2:$K$673,11,FALSE)</f>
        <v>59</v>
      </c>
      <c r="Y232" t="str">
        <f>VLOOKUP(Q232,cross_pedigree!$A$2:$B$23,2,FALSE)</f>
        <v>NF01404A/PA8014-840</v>
      </c>
    </row>
    <row r="233" spans="1:25" ht="18">
      <c r="A233" s="21" t="s">
        <v>15</v>
      </c>
      <c r="B233" s="21" t="s">
        <v>16</v>
      </c>
      <c r="C233" s="22">
        <v>753917</v>
      </c>
      <c r="D233" s="23">
        <v>3</v>
      </c>
      <c r="E233" s="24" t="str">
        <f t="shared" si="3"/>
        <v>CU_ARS_2025_WOF_F2_6_plant_57</v>
      </c>
      <c r="F233" s="21" t="s">
        <v>154</v>
      </c>
      <c r="G233" s="44" t="s">
        <v>155</v>
      </c>
      <c r="H233" s="42"/>
      <c r="I233" s="42" t="s">
        <v>1015</v>
      </c>
      <c r="J233" s="42" t="s">
        <v>1003</v>
      </c>
      <c r="K233" s="42"/>
      <c r="L233" s="42"/>
      <c r="M233" s="42"/>
      <c r="N233" t="str">
        <f>VLOOKUP(C233,CU_ARS_2025_WOF_F2!$A$2:$K$673,2,FALSE)</f>
        <v>CU_ARS_2025_WOF_F2_6_plant_57</v>
      </c>
      <c r="O233" t="str">
        <f>VLOOKUP(C233,CU_ARS_2025_WOF_F2!$A$2:$K$673,2,FALSE)</f>
        <v>CU_ARS_2025_WOF_F2_6_plant_57</v>
      </c>
      <c r="P233" t="str">
        <f>VLOOKUP(C233,CU_ARS_2025_WOF_F2!$A$2:$K$673,3,FALSE)</f>
        <v>CU_ARS_2025_WOF_F2_6</v>
      </c>
      <c r="Q233" t="str">
        <f>VLOOKUP(C233,CU_ARS_2025_WOF_F2!$A$2:$K$673,4,FALSE)</f>
        <v>CU_ARS_2025_WOF_cross_4</v>
      </c>
      <c r="R233">
        <f>VLOOKUP(C233,CU_ARS_2025_WOF_F2!$A$2:$K$673,5,FALSE)</f>
        <v>6</v>
      </c>
      <c r="S233">
        <f>VLOOKUP(C233,CU_ARS_2025_WOF_F2!$A$2:$K$673,6,FALSE)</f>
        <v>1</v>
      </c>
      <c r="T233">
        <f>VLOOKUP(C233,CU_ARS_2025_WOF_F2!$A$2:$K$673,7,FALSE)</f>
        <v>0</v>
      </c>
      <c r="U233">
        <f>VLOOKUP(C233,CU_ARS_2025_WOF_F2!$A$2:$K$673,8,FALSE)</f>
        <v>1</v>
      </c>
      <c r="V233">
        <f>VLOOKUP(C233,CU_ARS_2025_WOF_F2!$A$2:$K$673,9,FALSE)</f>
        <v>0</v>
      </c>
      <c r="W233">
        <f>VLOOKUP(C233,CU_ARS_2025_WOF_F2!$A$2:$K$673,10,FALSE)</f>
        <v>0</v>
      </c>
      <c r="X233">
        <f>VLOOKUP(C233,CU_ARS_2025_WOF_F2!$A$2:$K$673,11,FALSE)</f>
        <v>57</v>
      </c>
      <c r="Y233" t="str">
        <f>VLOOKUP(Q233,cross_pedigree!$A$2:$B$23,2,FALSE)</f>
        <v>NF01404A/PA8014-840</v>
      </c>
    </row>
    <row r="234" spans="1:25" ht="18">
      <c r="A234" s="21" t="s">
        <v>15</v>
      </c>
      <c r="B234" s="21" t="s">
        <v>16</v>
      </c>
      <c r="C234" s="22">
        <v>753918</v>
      </c>
      <c r="D234" s="23">
        <v>3</v>
      </c>
      <c r="E234" s="24" t="str">
        <f t="shared" si="3"/>
        <v>CU_ARS_2025_WOF_F2_6_plant_58</v>
      </c>
      <c r="F234" s="21" t="s">
        <v>156</v>
      </c>
      <c r="G234" s="44" t="s">
        <v>157</v>
      </c>
      <c r="H234" s="42"/>
      <c r="I234" s="42" t="s">
        <v>1015</v>
      </c>
      <c r="J234" s="42" t="s">
        <v>1003</v>
      </c>
      <c r="K234" s="42"/>
      <c r="L234" s="42"/>
      <c r="M234" s="42"/>
      <c r="N234" t="str">
        <f>VLOOKUP(C234,CU_ARS_2025_WOF_F2!$A$2:$K$673,2,FALSE)</f>
        <v>CU_ARS_2025_WOF_F2_6_plant_58</v>
      </c>
      <c r="O234" t="str">
        <f>VLOOKUP(C234,CU_ARS_2025_WOF_F2!$A$2:$K$673,2,FALSE)</f>
        <v>CU_ARS_2025_WOF_F2_6_plant_58</v>
      </c>
      <c r="P234" t="str">
        <f>VLOOKUP(C234,CU_ARS_2025_WOF_F2!$A$2:$K$673,3,FALSE)</f>
        <v>CU_ARS_2025_WOF_F2_6</v>
      </c>
      <c r="Q234" t="str">
        <f>VLOOKUP(C234,CU_ARS_2025_WOF_F2!$A$2:$K$673,4,FALSE)</f>
        <v>CU_ARS_2025_WOF_cross_4</v>
      </c>
      <c r="R234">
        <f>VLOOKUP(C234,CU_ARS_2025_WOF_F2!$A$2:$K$673,5,FALSE)</f>
        <v>6</v>
      </c>
      <c r="S234">
        <f>VLOOKUP(C234,CU_ARS_2025_WOF_F2!$A$2:$K$673,6,FALSE)</f>
        <v>1</v>
      </c>
      <c r="T234">
        <f>VLOOKUP(C234,CU_ARS_2025_WOF_F2!$A$2:$K$673,7,FALSE)</f>
        <v>0</v>
      </c>
      <c r="U234">
        <f>VLOOKUP(C234,CU_ARS_2025_WOF_F2!$A$2:$K$673,8,FALSE)</f>
        <v>1</v>
      </c>
      <c r="V234">
        <f>VLOOKUP(C234,CU_ARS_2025_WOF_F2!$A$2:$K$673,9,FALSE)</f>
        <v>0</v>
      </c>
      <c r="W234">
        <f>VLOOKUP(C234,CU_ARS_2025_WOF_F2!$A$2:$K$673,10,FALSE)</f>
        <v>0</v>
      </c>
      <c r="X234">
        <f>VLOOKUP(C234,CU_ARS_2025_WOF_F2!$A$2:$K$673,11,FALSE)</f>
        <v>58</v>
      </c>
      <c r="Y234" t="str">
        <f>VLOOKUP(Q234,cross_pedigree!$A$2:$B$23,2,FALSE)</f>
        <v>NF01404A/PA8014-840</v>
      </c>
    </row>
    <row r="235" spans="1:25" ht="18">
      <c r="A235" s="21" t="s">
        <v>15</v>
      </c>
      <c r="B235" s="21" t="s">
        <v>16</v>
      </c>
      <c r="C235" s="22">
        <v>753926</v>
      </c>
      <c r="D235" s="23">
        <v>3</v>
      </c>
      <c r="E235" s="24" t="str">
        <f t="shared" si="3"/>
        <v>CU_ARS_2025_WOF_F2_6_plant_66</v>
      </c>
      <c r="F235" s="21" t="s">
        <v>158</v>
      </c>
      <c r="G235" s="44" t="s">
        <v>159</v>
      </c>
      <c r="H235" s="42"/>
      <c r="I235" s="42" t="s">
        <v>1015</v>
      </c>
      <c r="J235" s="42" t="s">
        <v>1003</v>
      </c>
      <c r="K235" s="42"/>
      <c r="L235" s="42"/>
      <c r="M235" s="42"/>
      <c r="N235" t="str">
        <f>VLOOKUP(C235,CU_ARS_2025_WOF_F2!$A$2:$K$673,2,FALSE)</f>
        <v>CU_ARS_2025_WOF_F2_6_plant_66</v>
      </c>
      <c r="O235" t="str">
        <f>VLOOKUP(C235,CU_ARS_2025_WOF_F2!$A$2:$K$673,2,FALSE)</f>
        <v>CU_ARS_2025_WOF_F2_6_plant_66</v>
      </c>
      <c r="P235" t="str">
        <f>VLOOKUP(C235,CU_ARS_2025_WOF_F2!$A$2:$K$673,3,FALSE)</f>
        <v>CU_ARS_2025_WOF_F2_6</v>
      </c>
      <c r="Q235" t="str">
        <f>VLOOKUP(C235,CU_ARS_2025_WOF_F2!$A$2:$K$673,4,FALSE)</f>
        <v>CU_ARS_2025_WOF_cross_4</v>
      </c>
      <c r="R235">
        <f>VLOOKUP(C235,CU_ARS_2025_WOF_F2!$A$2:$K$673,5,FALSE)</f>
        <v>6</v>
      </c>
      <c r="S235">
        <f>VLOOKUP(C235,CU_ARS_2025_WOF_F2!$A$2:$K$673,6,FALSE)</f>
        <v>1</v>
      </c>
      <c r="T235">
        <f>VLOOKUP(C235,CU_ARS_2025_WOF_F2!$A$2:$K$673,7,FALSE)</f>
        <v>0</v>
      </c>
      <c r="U235">
        <f>VLOOKUP(C235,CU_ARS_2025_WOF_F2!$A$2:$K$673,8,FALSE)</f>
        <v>1</v>
      </c>
      <c r="V235">
        <f>VLOOKUP(C235,CU_ARS_2025_WOF_F2!$A$2:$K$673,9,FALSE)</f>
        <v>0</v>
      </c>
      <c r="W235">
        <f>VLOOKUP(C235,CU_ARS_2025_WOF_F2!$A$2:$K$673,10,FALSE)</f>
        <v>0</v>
      </c>
      <c r="X235">
        <f>VLOOKUP(C235,CU_ARS_2025_WOF_F2!$A$2:$K$673,11,FALSE)</f>
        <v>66</v>
      </c>
      <c r="Y235" t="str">
        <f>VLOOKUP(Q235,cross_pedigree!$A$2:$B$23,2,FALSE)</f>
        <v>NF01404A/PA8014-840</v>
      </c>
    </row>
    <row r="236" spans="1:25" ht="18">
      <c r="A236" s="21" t="s">
        <v>15</v>
      </c>
      <c r="B236" s="21" t="s">
        <v>16</v>
      </c>
      <c r="C236" s="22">
        <v>753927</v>
      </c>
      <c r="D236" s="23">
        <v>3</v>
      </c>
      <c r="E236" s="24" t="str">
        <f t="shared" si="3"/>
        <v>CU_ARS_2025_WOF_F2_6_plant_67</v>
      </c>
      <c r="F236" s="21" t="s">
        <v>160</v>
      </c>
      <c r="G236" s="44" t="s">
        <v>161</v>
      </c>
      <c r="H236" s="42"/>
      <c r="I236" s="42" t="s">
        <v>1015</v>
      </c>
      <c r="J236" s="42" t="s">
        <v>1003</v>
      </c>
      <c r="K236" s="42"/>
      <c r="L236" s="42"/>
      <c r="M236" s="42"/>
      <c r="N236" t="str">
        <f>VLOOKUP(C236,CU_ARS_2025_WOF_F2!$A$2:$K$673,2,FALSE)</f>
        <v>CU_ARS_2025_WOF_F2_6_plant_67</v>
      </c>
      <c r="O236" t="str">
        <f>VLOOKUP(C236,CU_ARS_2025_WOF_F2!$A$2:$K$673,2,FALSE)</f>
        <v>CU_ARS_2025_WOF_F2_6_plant_67</v>
      </c>
      <c r="P236" t="str">
        <f>VLOOKUP(C236,CU_ARS_2025_WOF_F2!$A$2:$K$673,3,FALSE)</f>
        <v>CU_ARS_2025_WOF_F2_6</v>
      </c>
      <c r="Q236" t="str">
        <f>VLOOKUP(C236,CU_ARS_2025_WOF_F2!$A$2:$K$673,4,FALSE)</f>
        <v>CU_ARS_2025_WOF_cross_4</v>
      </c>
      <c r="R236">
        <f>VLOOKUP(C236,CU_ARS_2025_WOF_F2!$A$2:$K$673,5,FALSE)</f>
        <v>6</v>
      </c>
      <c r="S236">
        <f>VLOOKUP(C236,CU_ARS_2025_WOF_F2!$A$2:$K$673,6,FALSE)</f>
        <v>1</v>
      </c>
      <c r="T236">
        <f>VLOOKUP(C236,CU_ARS_2025_WOF_F2!$A$2:$K$673,7,FALSE)</f>
        <v>0</v>
      </c>
      <c r="U236">
        <f>VLOOKUP(C236,CU_ARS_2025_WOF_F2!$A$2:$K$673,8,FALSE)</f>
        <v>1</v>
      </c>
      <c r="V236">
        <f>VLOOKUP(C236,CU_ARS_2025_WOF_F2!$A$2:$K$673,9,FALSE)</f>
        <v>0</v>
      </c>
      <c r="W236">
        <f>VLOOKUP(C236,CU_ARS_2025_WOF_F2!$A$2:$K$673,10,FALSE)</f>
        <v>0</v>
      </c>
      <c r="X236">
        <f>VLOOKUP(C236,CU_ARS_2025_WOF_F2!$A$2:$K$673,11,FALSE)</f>
        <v>67</v>
      </c>
      <c r="Y236" t="str">
        <f>VLOOKUP(Q236,cross_pedigree!$A$2:$B$23,2,FALSE)</f>
        <v>NF01404A/PA8014-840</v>
      </c>
    </row>
    <row r="237" spans="1:25" ht="18">
      <c r="A237" s="21" t="s">
        <v>15</v>
      </c>
      <c r="B237" s="21" t="s">
        <v>16</v>
      </c>
      <c r="C237" s="22">
        <v>753930</v>
      </c>
      <c r="D237" s="23">
        <v>3</v>
      </c>
      <c r="E237" s="24" t="str">
        <f t="shared" si="3"/>
        <v>CU_ARS_2025_WOF_F2_6_plant_70</v>
      </c>
      <c r="F237" s="21" t="s">
        <v>23</v>
      </c>
      <c r="G237" s="44" t="s">
        <v>24</v>
      </c>
      <c r="H237" s="42"/>
      <c r="I237" s="42" t="s">
        <v>1015</v>
      </c>
      <c r="J237" s="42" t="s">
        <v>1003</v>
      </c>
      <c r="K237" s="42"/>
      <c r="L237" s="42"/>
      <c r="M237" s="42"/>
      <c r="N237" t="str">
        <f>VLOOKUP(C237,CU_ARS_2025_WOF_F2!$A$2:$K$673,2,FALSE)</f>
        <v>CU_ARS_2025_WOF_F2_6_plant_70</v>
      </c>
      <c r="O237" t="str">
        <f>VLOOKUP(C237,CU_ARS_2025_WOF_F2!$A$2:$K$673,2,FALSE)</f>
        <v>CU_ARS_2025_WOF_F2_6_plant_70</v>
      </c>
      <c r="P237" t="str">
        <f>VLOOKUP(C237,CU_ARS_2025_WOF_F2!$A$2:$K$673,3,FALSE)</f>
        <v>CU_ARS_2025_WOF_F2_6</v>
      </c>
      <c r="Q237" t="str">
        <f>VLOOKUP(C237,CU_ARS_2025_WOF_F2!$A$2:$K$673,4,FALSE)</f>
        <v>CU_ARS_2025_WOF_cross_4</v>
      </c>
      <c r="R237">
        <f>VLOOKUP(C237,CU_ARS_2025_WOF_F2!$A$2:$K$673,5,FALSE)</f>
        <v>6</v>
      </c>
      <c r="S237">
        <f>VLOOKUP(C237,CU_ARS_2025_WOF_F2!$A$2:$K$673,6,FALSE)</f>
        <v>1</v>
      </c>
      <c r="T237">
        <f>VLOOKUP(C237,CU_ARS_2025_WOF_F2!$A$2:$K$673,7,FALSE)</f>
        <v>0</v>
      </c>
      <c r="U237">
        <f>VLOOKUP(C237,CU_ARS_2025_WOF_F2!$A$2:$K$673,8,FALSE)</f>
        <v>1</v>
      </c>
      <c r="V237">
        <f>VLOOKUP(C237,CU_ARS_2025_WOF_F2!$A$2:$K$673,9,FALSE)</f>
        <v>0</v>
      </c>
      <c r="W237">
        <f>VLOOKUP(C237,CU_ARS_2025_WOF_F2!$A$2:$K$673,10,FALSE)</f>
        <v>0</v>
      </c>
      <c r="X237">
        <f>VLOOKUP(C237,CU_ARS_2025_WOF_F2!$A$2:$K$673,11,FALSE)</f>
        <v>70</v>
      </c>
      <c r="Y237" t="str">
        <f>VLOOKUP(Q237,cross_pedigree!$A$2:$B$23,2,FALSE)</f>
        <v>NF01404A/PA8014-840</v>
      </c>
    </row>
    <row r="238" spans="1:25" ht="18">
      <c r="A238" s="21" t="s">
        <v>15</v>
      </c>
      <c r="B238" s="21" t="s">
        <v>16</v>
      </c>
      <c r="C238" s="22">
        <v>753928</v>
      </c>
      <c r="D238" s="23">
        <v>3</v>
      </c>
      <c r="E238" s="24" t="str">
        <f t="shared" si="3"/>
        <v>CU_ARS_2025_WOF_F2_6_plant_68</v>
      </c>
      <c r="F238" s="21" t="s">
        <v>25</v>
      </c>
      <c r="G238" s="44" t="s">
        <v>26</v>
      </c>
      <c r="H238" s="42"/>
      <c r="I238" s="42" t="s">
        <v>1015</v>
      </c>
      <c r="J238" s="42" t="s">
        <v>1003</v>
      </c>
      <c r="K238" s="42"/>
      <c r="L238" s="42"/>
      <c r="M238" s="42"/>
      <c r="N238" t="str">
        <f>VLOOKUP(C238,CU_ARS_2025_WOF_F2!$A$2:$K$673,2,FALSE)</f>
        <v>CU_ARS_2025_WOF_F2_6_plant_68</v>
      </c>
      <c r="O238" t="str">
        <f>VLOOKUP(C238,CU_ARS_2025_WOF_F2!$A$2:$K$673,2,FALSE)</f>
        <v>CU_ARS_2025_WOF_F2_6_plant_68</v>
      </c>
      <c r="P238" t="str">
        <f>VLOOKUP(C238,CU_ARS_2025_WOF_F2!$A$2:$K$673,3,FALSE)</f>
        <v>CU_ARS_2025_WOF_F2_6</v>
      </c>
      <c r="Q238" t="str">
        <f>VLOOKUP(C238,CU_ARS_2025_WOF_F2!$A$2:$K$673,4,FALSE)</f>
        <v>CU_ARS_2025_WOF_cross_4</v>
      </c>
      <c r="R238">
        <f>VLOOKUP(C238,CU_ARS_2025_WOF_F2!$A$2:$K$673,5,FALSE)</f>
        <v>6</v>
      </c>
      <c r="S238">
        <f>VLOOKUP(C238,CU_ARS_2025_WOF_F2!$A$2:$K$673,6,FALSE)</f>
        <v>1</v>
      </c>
      <c r="T238">
        <f>VLOOKUP(C238,CU_ARS_2025_WOF_F2!$A$2:$K$673,7,FALSE)</f>
        <v>0</v>
      </c>
      <c r="U238">
        <f>VLOOKUP(C238,CU_ARS_2025_WOF_F2!$A$2:$K$673,8,FALSE)</f>
        <v>1</v>
      </c>
      <c r="V238">
        <f>VLOOKUP(C238,CU_ARS_2025_WOF_F2!$A$2:$K$673,9,FALSE)</f>
        <v>0</v>
      </c>
      <c r="W238">
        <f>VLOOKUP(C238,CU_ARS_2025_WOF_F2!$A$2:$K$673,10,FALSE)</f>
        <v>0</v>
      </c>
      <c r="X238">
        <f>VLOOKUP(C238,CU_ARS_2025_WOF_F2!$A$2:$K$673,11,FALSE)</f>
        <v>68</v>
      </c>
      <c r="Y238" t="str">
        <f>VLOOKUP(Q238,cross_pedigree!$A$2:$B$23,2,FALSE)</f>
        <v>NF01404A/PA8014-840</v>
      </c>
    </row>
    <row r="239" spans="1:25" ht="18">
      <c r="A239" s="21" t="s">
        <v>15</v>
      </c>
      <c r="B239" s="21" t="s">
        <v>16</v>
      </c>
      <c r="C239" s="22">
        <v>753929</v>
      </c>
      <c r="D239" s="23">
        <v>3</v>
      </c>
      <c r="E239" s="24" t="str">
        <f t="shared" si="3"/>
        <v>CU_ARS_2025_WOF_F2_6_plant_69</v>
      </c>
      <c r="F239" s="21" t="s">
        <v>27</v>
      </c>
      <c r="G239" s="44" t="s">
        <v>28</v>
      </c>
      <c r="H239" s="42"/>
      <c r="I239" s="42" t="s">
        <v>1015</v>
      </c>
      <c r="J239" s="42" t="s">
        <v>1003</v>
      </c>
      <c r="K239" s="42"/>
      <c r="L239" s="42"/>
      <c r="M239" s="42"/>
      <c r="N239" t="str">
        <f>VLOOKUP(C239,CU_ARS_2025_WOF_F2!$A$2:$K$673,2,FALSE)</f>
        <v>CU_ARS_2025_WOF_F2_6_plant_69</v>
      </c>
      <c r="O239" t="str">
        <f>VLOOKUP(C239,CU_ARS_2025_WOF_F2!$A$2:$K$673,2,FALSE)</f>
        <v>CU_ARS_2025_WOF_F2_6_plant_69</v>
      </c>
      <c r="P239" t="str">
        <f>VLOOKUP(C239,CU_ARS_2025_WOF_F2!$A$2:$K$673,3,FALSE)</f>
        <v>CU_ARS_2025_WOF_F2_6</v>
      </c>
      <c r="Q239" t="str">
        <f>VLOOKUP(C239,CU_ARS_2025_WOF_F2!$A$2:$K$673,4,FALSE)</f>
        <v>CU_ARS_2025_WOF_cross_4</v>
      </c>
      <c r="R239">
        <f>VLOOKUP(C239,CU_ARS_2025_WOF_F2!$A$2:$K$673,5,FALSE)</f>
        <v>6</v>
      </c>
      <c r="S239">
        <f>VLOOKUP(C239,CU_ARS_2025_WOF_F2!$A$2:$K$673,6,FALSE)</f>
        <v>1</v>
      </c>
      <c r="T239">
        <f>VLOOKUP(C239,CU_ARS_2025_WOF_F2!$A$2:$K$673,7,FALSE)</f>
        <v>0</v>
      </c>
      <c r="U239">
        <f>VLOOKUP(C239,CU_ARS_2025_WOF_F2!$A$2:$K$673,8,FALSE)</f>
        <v>1</v>
      </c>
      <c r="V239">
        <f>VLOOKUP(C239,CU_ARS_2025_WOF_F2!$A$2:$K$673,9,FALSE)</f>
        <v>0</v>
      </c>
      <c r="W239">
        <f>VLOOKUP(C239,CU_ARS_2025_WOF_F2!$A$2:$K$673,10,FALSE)</f>
        <v>0</v>
      </c>
      <c r="X239">
        <f>VLOOKUP(C239,CU_ARS_2025_WOF_F2!$A$2:$K$673,11,FALSE)</f>
        <v>69</v>
      </c>
      <c r="Y239" t="str">
        <f>VLOOKUP(Q239,cross_pedigree!$A$2:$B$23,2,FALSE)</f>
        <v>NF01404A/PA8014-840</v>
      </c>
    </row>
    <row r="240" spans="1:25" ht="18">
      <c r="A240" s="21" t="s">
        <v>15</v>
      </c>
      <c r="B240" s="21" t="s">
        <v>16</v>
      </c>
      <c r="C240" s="22">
        <v>753921</v>
      </c>
      <c r="D240" s="23">
        <v>3</v>
      </c>
      <c r="E240" s="24" t="str">
        <f t="shared" si="3"/>
        <v>CU_ARS_2025_WOF_F2_6_plant_61</v>
      </c>
      <c r="F240" s="21" t="s">
        <v>162</v>
      </c>
      <c r="G240" s="44" t="s">
        <v>163</v>
      </c>
      <c r="H240" s="42"/>
      <c r="I240" s="42" t="s">
        <v>1015</v>
      </c>
      <c r="J240" s="42" t="s">
        <v>1003</v>
      </c>
      <c r="K240" s="42"/>
      <c r="L240" s="42"/>
      <c r="M240" s="42"/>
      <c r="N240" t="str">
        <f>VLOOKUP(C240,CU_ARS_2025_WOF_F2!$A$2:$K$673,2,FALSE)</f>
        <v>CU_ARS_2025_WOF_F2_6_plant_61</v>
      </c>
      <c r="O240" t="str">
        <f>VLOOKUP(C240,CU_ARS_2025_WOF_F2!$A$2:$K$673,2,FALSE)</f>
        <v>CU_ARS_2025_WOF_F2_6_plant_61</v>
      </c>
      <c r="P240" t="str">
        <f>VLOOKUP(C240,CU_ARS_2025_WOF_F2!$A$2:$K$673,3,FALSE)</f>
        <v>CU_ARS_2025_WOF_F2_6</v>
      </c>
      <c r="Q240" t="str">
        <f>VLOOKUP(C240,CU_ARS_2025_WOF_F2!$A$2:$K$673,4,FALSE)</f>
        <v>CU_ARS_2025_WOF_cross_4</v>
      </c>
      <c r="R240">
        <f>VLOOKUP(C240,CU_ARS_2025_WOF_F2!$A$2:$K$673,5,FALSE)</f>
        <v>6</v>
      </c>
      <c r="S240">
        <f>VLOOKUP(C240,CU_ARS_2025_WOF_F2!$A$2:$K$673,6,FALSE)</f>
        <v>1</v>
      </c>
      <c r="T240">
        <f>VLOOKUP(C240,CU_ARS_2025_WOF_F2!$A$2:$K$673,7,FALSE)</f>
        <v>0</v>
      </c>
      <c r="U240">
        <f>VLOOKUP(C240,CU_ARS_2025_WOF_F2!$A$2:$K$673,8,FALSE)</f>
        <v>1</v>
      </c>
      <c r="V240">
        <f>VLOOKUP(C240,CU_ARS_2025_WOF_F2!$A$2:$K$673,9,FALSE)</f>
        <v>0</v>
      </c>
      <c r="W240">
        <f>VLOOKUP(C240,CU_ARS_2025_WOF_F2!$A$2:$K$673,10,FALSE)</f>
        <v>0</v>
      </c>
      <c r="X240">
        <f>VLOOKUP(C240,CU_ARS_2025_WOF_F2!$A$2:$K$673,11,FALSE)</f>
        <v>61</v>
      </c>
      <c r="Y240" t="str">
        <f>VLOOKUP(Q240,cross_pedigree!$A$2:$B$23,2,FALSE)</f>
        <v>NF01404A/PA8014-840</v>
      </c>
    </row>
    <row r="241" spans="1:25" ht="18">
      <c r="A241" s="21" t="s">
        <v>15</v>
      </c>
      <c r="B241" s="21" t="s">
        <v>16</v>
      </c>
      <c r="C241" s="22">
        <v>753922</v>
      </c>
      <c r="D241" s="23">
        <v>3</v>
      </c>
      <c r="E241" s="24" t="str">
        <f t="shared" si="3"/>
        <v>CU_ARS_2025_WOF_F2_6_plant_62</v>
      </c>
      <c r="F241" s="21" t="s">
        <v>164</v>
      </c>
      <c r="G241" s="44" t="s">
        <v>165</v>
      </c>
      <c r="H241" s="42"/>
      <c r="I241" s="42" t="s">
        <v>1015</v>
      </c>
      <c r="J241" s="42" t="s">
        <v>1003</v>
      </c>
      <c r="K241" s="42"/>
      <c r="L241" s="42"/>
      <c r="M241" s="42"/>
      <c r="N241" t="str">
        <f>VLOOKUP(C241,CU_ARS_2025_WOF_F2!$A$2:$K$673,2,FALSE)</f>
        <v>CU_ARS_2025_WOF_F2_6_plant_62</v>
      </c>
      <c r="O241" t="str">
        <f>VLOOKUP(C241,CU_ARS_2025_WOF_F2!$A$2:$K$673,2,FALSE)</f>
        <v>CU_ARS_2025_WOF_F2_6_plant_62</v>
      </c>
      <c r="P241" t="str">
        <f>VLOOKUP(C241,CU_ARS_2025_WOF_F2!$A$2:$K$673,3,FALSE)</f>
        <v>CU_ARS_2025_WOF_F2_6</v>
      </c>
      <c r="Q241" t="str">
        <f>VLOOKUP(C241,CU_ARS_2025_WOF_F2!$A$2:$K$673,4,FALSE)</f>
        <v>CU_ARS_2025_WOF_cross_4</v>
      </c>
      <c r="R241">
        <f>VLOOKUP(C241,CU_ARS_2025_WOF_F2!$A$2:$K$673,5,FALSE)</f>
        <v>6</v>
      </c>
      <c r="S241">
        <f>VLOOKUP(C241,CU_ARS_2025_WOF_F2!$A$2:$K$673,6,FALSE)</f>
        <v>1</v>
      </c>
      <c r="T241">
        <f>VLOOKUP(C241,CU_ARS_2025_WOF_F2!$A$2:$K$673,7,FALSE)</f>
        <v>0</v>
      </c>
      <c r="U241">
        <f>VLOOKUP(C241,CU_ARS_2025_WOF_F2!$A$2:$K$673,8,FALSE)</f>
        <v>1</v>
      </c>
      <c r="V241">
        <f>VLOOKUP(C241,CU_ARS_2025_WOF_F2!$A$2:$K$673,9,FALSE)</f>
        <v>0</v>
      </c>
      <c r="W241">
        <f>VLOOKUP(C241,CU_ARS_2025_WOF_F2!$A$2:$K$673,10,FALSE)</f>
        <v>0</v>
      </c>
      <c r="X241">
        <f>VLOOKUP(C241,CU_ARS_2025_WOF_F2!$A$2:$K$673,11,FALSE)</f>
        <v>62</v>
      </c>
      <c r="Y241" t="str">
        <f>VLOOKUP(Q241,cross_pedigree!$A$2:$B$23,2,FALSE)</f>
        <v>NF01404A/PA8014-840</v>
      </c>
    </row>
    <row r="242" spans="1:25" ht="18">
      <c r="A242" s="21" t="s">
        <v>15</v>
      </c>
      <c r="B242" s="21" t="s">
        <v>16</v>
      </c>
      <c r="C242" s="22">
        <v>753925</v>
      </c>
      <c r="D242" s="23">
        <v>3</v>
      </c>
      <c r="E242" s="24" t="str">
        <f t="shared" si="3"/>
        <v>CU_ARS_2025_WOF_F2_6_plant_65</v>
      </c>
      <c r="F242" s="21" t="s">
        <v>166</v>
      </c>
      <c r="G242" s="44" t="s">
        <v>167</v>
      </c>
      <c r="H242" s="42"/>
      <c r="I242" s="42" t="s">
        <v>1015</v>
      </c>
      <c r="J242" s="42" t="s">
        <v>1003</v>
      </c>
      <c r="K242" s="42"/>
      <c r="L242" s="42"/>
      <c r="M242" s="42"/>
      <c r="N242" t="str">
        <f>VLOOKUP(C242,CU_ARS_2025_WOF_F2!$A$2:$K$673,2,FALSE)</f>
        <v>CU_ARS_2025_WOF_F2_6_plant_65</v>
      </c>
      <c r="O242" t="str">
        <f>VLOOKUP(C242,CU_ARS_2025_WOF_F2!$A$2:$K$673,2,FALSE)</f>
        <v>CU_ARS_2025_WOF_F2_6_plant_65</v>
      </c>
      <c r="P242" t="str">
        <f>VLOOKUP(C242,CU_ARS_2025_WOF_F2!$A$2:$K$673,3,FALSE)</f>
        <v>CU_ARS_2025_WOF_F2_6</v>
      </c>
      <c r="Q242" t="str">
        <f>VLOOKUP(C242,CU_ARS_2025_WOF_F2!$A$2:$K$673,4,FALSE)</f>
        <v>CU_ARS_2025_WOF_cross_4</v>
      </c>
      <c r="R242">
        <f>VLOOKUP(C242,CU_ARS_2025_WOF_F2!$A$2:$K$673,5,FALSE)</f>
        <v>6</v>
      </c>
      <c r="S242">
        <f>VLOOKUP(C242,CU_ARS_2025_WOF_F2!$A$2:$K$673,6,FALSE)</f>
        <v>1</v>
      </c>
      <c r="T242">
        <f>VLOOKUP(C242,CU_ARS_2025_WOF_F2!$A$2:$K$673,7,FALSE)</f>
        <v>0</v>
      </c>
      <c r="U242">
        <f>VLOOKUP(C242,CU_ARS_2025_WOF_F2!$A$2:$K$673,8,FALSE)</f>
        <v>1</v>
      </c>
      <c r="V242">
        <f>VLOOKUP(C242,CU_ARS_2025_WOF_F2!$A$2:$K$673,9,FALSE)</f>
        <v>0</v>
      </c>
      <c r="W242">
        <f>VLOOKUP(C242,CU_ARS_2025_WOF_F2!$A$2:$K$673,10,FALSE)</f>
        <v>0</v>
      </c>
      <c r="X242">
        <f>VLOOKUP(C242,CU_ARS_2025_WOF_F2!$A$2:$K$673,11,FALSE)</f>
        <v>65</v>
      </c>
      <c r="Y242" t="str">
        <f>VLOOKUP(Q242,cross_pedigree!$A$2:$B$23,2,FALSE)</f>
        <v>NF01404A/PA8014-840</v>
      </c>
    </row>
    <row r="243" spans="1:25" ht="18">
      <c r="A243" s="21" t="s">
        <v>15</v>
      </c>
      <c r="B243" s="21" t="s">
        <v>16</v>
      </c>
      <c r="C243" s="22">
        <v>753923</v>
      </c>
      <c r="D243" s="23">
        <v>3</v>
      </c>
      <c r="E243" s="24" t="str">
        <f t="shared" si="3"/>
        <v>CU_ARS_2025_WOF_F2_6_plant_63</v>
      </c>
      <c r="F243" s="21" t="s">
        <v>168</v>
      </c>
      <c r="G243" s="44" t="s">
        <v>169</v>
      </c>
      <c r="H243" s="42"/>
      <c r="I243" s="42" t="s">
        <v>1015</v>
      </c>
      <c r="J243" s="42" t="s">
        <v>1003</v>
      </c>
      <c r="K243" s="42"/>
      <c r="L243" s="42"/>
      <c r="M243" s="42"/>
      <c r="N243" t="str">
        <f>VLOOKUP(C243,CU_ARS_2025_WOF_F2!$A$2:$K$673,2,FALSE)</f>
        <v>CU_ARS_2025_WOF_F2_6_plant_63</v>
      </c>
      <c r="O243" t="str">
        <f>VLOOKUP(C243,CU_ARS_2025_WOF_F2!$A$2:$K$673,2,FALSE)</f>
        <v>CU_ARS_2025_WOF_F2_6_plant_63</v>
      </c>
      <c r="P243" t="str">
        <f>VLOOKUP(C243,CU_ARS_2025_WOF_F2!$A$2:$K$673,3,FALSE)</f>
        <v>CU_ARS_2025_WOF_F2_6</v>
      </c>
      <c r="Q243" t="str">
        <f>VLOOKUP(C243,CU_ARS_2025_WOF_F2!$A$2:$K$673,4,FALSE)</f>
        <v>CU_ARS_2025_WOF_cross_4</v>
      </c>
      <c r="R243">
        <f>VLOOKUP(C243,CU_ARS_2025_WOF_F2!$A$2:$K$673,5,FALSE)</f>
        <v>6</v>
      </c>
      <c r="S243">
        <f>VLOOKUP(C243,CU_ARS_2025_WOF_F2!$A$2:$K$673,6,FALSE)</f>
        <v>1</v>
      </c>
      <c r="T243">
        <f>VLOOKUP(C243,CU_ARS_2025_WOF_F2!$A$2:$K$673,7,FALSE)</f>
        <v>0</v>
      </c>
      <c r="U243">
        <f>VLOOKUP(C243,CU_ARS_2025_WOF_F2!$A$2:$K$673,8,FALSE)</f>
        <v>1</v>
      </c>
      <c r="V243">
        <f>VLOOKUP(C243,CU_ARS_2025_WOF_F2!$A$2:$K$673,9,FALSE)</f>
        <v>0</v>
      </c>
      <c r="W243">
        <f>VLOOKUP(C243,CU_ARS_2025_WOF_F2!$A$2:$K$673,10,FALSE)</f>
        <v>0</v>
      </c>
      <c r="X243">
        <f>VLOOKUP(C243,CU_ARS_2025_WOF_F2!$A$2:$K$673,11,FALSE)</f>
        <v>63</v>
      </c>
      <c r="Y243" t="str">
        <f>VLOOKUP(Q243,cross_pedigree!$A$2:$B$23,2,FALSE)</f>
        <v>NF01404A/PA8014-840</v>
      </c>
    </row>
    <row r="244" spans="1:25" ht="18">
      <c r="A244" s="21" t="s">
        <v>15</v>
      </c>
      <c r="B244" s="21" t="s">
        <v>16</v>
      </c>
      <c r="C244" s="22">
        <v>753924</v>
      </c>
      <c r="D244" s="23">
        <v>3</v>
      </c>
      <c r="E244" s="24" t="str">
        <f t="shared" si="3"/>
        <v>CU_ARS_2025_WOF_F2_6_plant_64</v>
      </c>
      <c r="F244" s="21" t="s">
        <v>43</v>
      </c>
      <c r="G244" s="44" t="s">
        <v>44</v>
      </c>
      <c r="H244" s="42"/>
      <c r="I244" s="42" t="s">
        <v>1015</v>
      </c>
      <c r="J244" s="42" t="s">
        <v>1003</v>
      </c>
      <c r="K244" s="42"/>
      <c r="L244" s="42"/>
      <c r="M244" s="42"/>
      <c r="N244" t="str">
        <f>VLOOKUP(C244,CU_ARS_2025_WOF_F2!$A$2:$K$673,2,FALSE)</f>
        <v>CU_ARS_2025_WOF_F2_6_plant_64</v>
      </c>
      <c r="O244" t="str">
        <f>VLOOKUP(C244,CU_ARS_2025_WOF_F2!$A$2:$K$673,2,FALSE)</f>
        <v>CU_ARS_2025_WOF_F2_6_plant_64</v>
      </c>
      <c r="P244" t="str">
        <f>VLOOKUP(C244,CU_ARS_2025_WOF_F2!$A$2:$K$673,3,FALSE)</f>
        <v>CU_ARS_2025_WOF_F2_6</v>
      </c>
      <c r="Q244" t="str">
        <f>VLOOKUP(C244,CU_ARS_2025_WOF_F2!$A$2:$K$673,4,FALSE)</f>
        <v>CU_ARS_2025_WOF_cross_4</v>
      </c>
      <c r="R244">
        <f>VLOOKUP(C244,CU_ARS_2025_WOF_F2!$A$2:$K$673,5,FALSE)</f>
        <v>6</v>
      </c>
      <c r="S244">
        <f>VLOOKUP(C244,CU_ARS_2025_WOF_F2!$A$2:$K$673,6,FALSE)</f>
        <v>1</v>
      </c>
      <c r="T244">
        <f>VLOOKUP(C244,CU_ARS_2025_WOF_F2!$A$2:$K$673,7,FALSE)</f>
        <v>0</v>
      </c>
      <c r="U244">
        <f>VLOOKUP(C244,CU_ARS_2025_WOF_F2!$A$2:$K$673,8,FALSE)</f>
        <v>1</v>
      </c>
      <c r="V244">
        <f>VLOOKUP(C244,CU_ARS_2025_WOF_F2!$A$2:$K$673,9,FALSE)</f>
        <v>0</v>
      </c>
      <c r="W244">
        <f>VLOOKUP(C244,CU_ARS_2025_WOF_F2!$A$2:$K$673,10,FALSE)</f>
        <v>0</v>
      </c>
      <c r="X244">
        <f>VLOOKUP(C244,CU_ARS_2025_WOF_F2!$A$2:$K$673,11,FALSE)</f>
        <v>64</v>
      </c>
      <c r="Y244" t="str">
        <f>VLOOKUP(Q244,cross_pedigree!$A$2:$B$23,2,FALSE)</f>
        <v>NF01404A/PA8014-840</v>
      </c>
    </row>
    <row r="245" spans="1:25" ht="18">
      <c r="A245" s="21" t="s">
        <v>15</v>
      </c>
      <c r="B245" s="21" t="s">
        <v>16</v>
      </c>
      <c r="C245" s="22">
        <v>753717</v>
      </c>
      <c r="D245" s="23">
        <v>3</v>
      </c>
      <c r="E245" s="24" t="str">
        <f t="shared" si="3"/>
        <v>CU_ARS_2025_WOF_F2_7_plant_9</v>
      </c>
      <c r="F245" s="21" t="s">
        <v>45</v>
      </c>
      <c r="G245" s="44" t="s">
        <v>46</v>
      </c>
      <c r="H245" s="42"/>
      <c r="I245" s="42" t="s">
        <v>1046</v>
      </c>
      <c r="J245" s="42" t="s">
        <v>1003</v>
      </c>
      <c r="K245" s="42"/>
      <c r="L245" s="42"/>
      <c r="M245" s="42"/>
      <c r="N245" t="str">
        <f>VLOOKUP(C245,CU_ARS_2025_WOF_F2!$A$2:$K$673,2,FALSE)</f>
        <v>CU_ARS_2025_WOF_F2_7_plant_9</v>
      </c>
      <c r="O245" t="str">
        <f>VLOOKUP(C245,CU_ARS_2025_WOF_F2!$A$2:$K$673,2,FALSE)</f>
        <v>CU_ARS_2025_WOF_F2_7_plant_9</v>
      </c>
      <c r="P245" t="str">
        <f>VLOOKUP(C245,CU_ARS_2025_WOF_F2!$A$2:$K$673,3,FALSE)</f>
        <v>CU_ARS_2025_WOF_F2_7</v>
      </c>
      <c r="Q245" t="str">
        <f>VLOOKUP(C245,CU_ARS_2025_WOF_F2!$A$2:$K$673,4,FALSE)</f>
        <v>CU_ARS_2025_WOF_cross_83</v>
      </c>
      <c r="R245">
        <f>VLOOKUP(C245,CU_ARS_2025_WOF_F2!$A$2:$K$673,5,FALSE)</f>
        <v>7</v>
      </c>
      <c r="S245">
        <f>VLOOKUP(C245,CU_ARS_2025_WOF_F2!$A$2:$K$673,6,FALSE)</f>
        <v>1</v>
      </c>
      <c r="T245">
        <f>VLOOKUP(C245,CU_ARS_2025_WOF_F2!$A$2:$K$673,7,FALSE)</f>
        <v>0</v>
      </c>
      <c r="U245">
        <f>VLOOKUP(C245,CU_ARS_2025_WOF_F2!$A$2:$K$673,8,FALSE)</f>
        <v>1</v>
      </c>
      <c r="V245">
        <f>VLOOKUP(C245,CU_ARS_2025_WOF_F2!$A$2:$K$673,9,FALSE)</f>
        <v>0</v>
      </c>
      <c r="W245">
        <f>VLOOKUP(C245,CU_ARS_2025_WOF_F2!$A$2:$K$673,10,FALSE)</f>
        <v>0</v>
      </c>
      <c r="X245">
        <f>VLOOKUP(C245,CU_ARS_2025_WOF_F2!$A$2:$K$673,11,FALSE)</f>
        <v>9</v>
      </c>
      <c r="Y245" t="str">
        <f>VLOOKUP(Q245,cross_pedigree!$A$2:$B$23,2,FALSE)</f>
        <v>NC20-4452/SEGER|PI306405</v>
      </c>
    </row>
    <row r="246" spans="1:25" ht="18">
      <c r="A246" s="21" t="s">
        <v>15</v>
      </c>
      <c r="B246" s="21" t="s">
        <v>16</v>
      </c>
      <c r="C246" s="22">
        <v>753718</v>
      </c>
      <c r="D246" s="23">
        <v>3</v>
      </c>
      <c r="E246" s="24" t="str">
        <f t="shared" si="3"/>
        <v>CU_ARS_2025_WOF_F2_7_plant_10</v>
      </c>
      <c r="F246" s="21" t="s">
        <v>170</v>
      </c>
      <c r="G246" s="44" t="s">
        <v>171</v>
      </c>
      <c r="H246" s="42"/>
      <c r="I246" s="42" t="s">
        <v>1046</v>
      </c>
      <c r="J246" s="42" t="s">
        <v>1003</v>
      </c>
      <c r="K246" s="42"/>
      <c r="L246" s="42"/>
      <c r="M246" s="42"/>
      <c r="N246" t="str">
        <f>VLOOKUP(C246,CU_ARS_2025_WOF_F2!$A$2:$K$673,2,FALSE)</f>
        <v>CU_ARS_2025_WOF_F2_7_plant_10</v>
      </c>
      <c r="O246" t="str">
        <f>VLOOKUP(C246,CU_ARS_2025_WOF_F2!$A$2:$K$673,2,FALSE)</f>
        <v>CU_ARS_2025_WOF_F2_7_plant_10</v>
      </c>
      <c r="P246" t="str">
        <f>VLOOKUP(C246,CU_ARS_2025_WOF_F2!$A$2:$K$673,3,FALSE)</f>
        <v>CU_ARS_2025_WOF_F2_7</v>
      </c>
      <c r="Q246" t="str">
        <f>VLOOKUP(C246,CU_ARS_2025_WOF_F2!$A$2:$K$673,4,FALSE)</f>
        <v>CU_ARS_2025_WOF_cross_83</v>
      </c>
      <c r="R246">
        <f>VLOOKUP(C246,CU_ARS_2025_WOF_F2!$A$2:$K$673,5,FALSE)</f>
        <v>7</v>
      </c>
      <c r="S246">
        <f>VLOOKUP(C246,CU_ARS_2025_WOF_F2!$A$2:$K$673,6,FALSE)</f>
        <v>1</v>
      </c>
      <c r="T246">
        <f>VLOOKUP(C246,CU_ARS_2025_WOF_F2!$A$2:$K$673,7,FALSE)</f>
        <v>0</v>
      </c>
      <c r="U246">
        <f>VLOOKUP(C246,CU_ARS_2025_WOF_F2!$A$2:$K$673,8,FALSE)</f>
        <v>1</v>
      </c>
      <c r="V246">
        <f>VLOOKUP(C246,CU_ARS_2025_WOF_F2!$A$2:$K$673,9,FALSE)</f>
        <v>0</v>
      </c>
      <c r="W246">
        <f>VLOOKUP(C246,CU_ARS_2025_WOF_F2!$A$2:$K$673,10,FALSE)</f>
        <v>0</v>
      </c>
      <c r="X246">
        <f>VLOOKUP(C246,CU_ARS_2025_WOF_F2!$A$2:$K$673,11,FALSE)</f>
        <v>10</v>
      </c>
      <c r="Y246" t="str">
        <f>VLOOKUP(Q246,cross_pedigree!$A$2:$B$23,2,FALSE)</f>
        <v>NC20-4452/SEGER|PI306405</v>
      </c>
    </row>
    <row r="247" spans="1:25" ht="18">
      <c r="A247" s="21" t="s">
        <v>15</v>
      </c>
      <c r="B247" s="21" t="s">
        <v>16</v>
      </c>
      <c r="C247" s="22">
        <v>753709</v>
      </c>
      <c r="D247" s="23">
        <v>3</v>
      </c>
      <c r="E247" s="24" t="str">
        <f t="shared" si="3"/>
        <v>CU_ARS_2025_WOF_F2_7_plant_1</v>
      </c>
      <c r="F247" s="21" t="s">
        <v>29</v>
      </c>
      <c r="G247" s="44" t="s">
        <v>30</v>
      </c>
      <c r="H247" s="42"/>
      <c r="I247" s="42" t="s">
        <v>1046</v>
      </c>
      <c r="J247" s="42" t="s">
        <v>1003</v>
      </c>
      <c r="K247" s="42"/>
      <c r="L247" s="42"/>
      <c r="M247" s="42"/>
      <c r="N247" t="str">
        <f>VLOOKUP(C247,CU_ARS_2025_WOF_F2!$A$2:$K$673,2,FALSE)</f>
        <v>CU_ARS_2025_WOF_F2_7_plant_1</v>
      </c>
      <c r="O247" t="str">
        <f>VLOOKUP(C247,CU_ARS_2025_WOF_F2!$A$2:$K$673,2,FALSE)</f>
        <v>CU_ARS_2025_WOF_F2_7_plant_1</v>
      </c>
      <c r="P247" t="str">
        <f>VLOOKUP(C247,CU_ARS_2025_WOF_F2!$A$2:$K$673,3,FALSE)</f>
        <v>CU_ARS_2025_WOF_F2_7</v>
      </c>
      <c r="Q247" t="str">
        <f>VLOOKUP(C247,CU_ARS_2025_WOF_F2!$A$2:$K$673,4,FALSE)</f>
        <v>CU_ARS_2025_WOF_cross_83</v>
      </c>
      <c r="R247">
        <f>VLOOKUP(C247,CU_ARS_2025_WOF_F2!$A$2:$K$673,5,FALSE)</f>
        <v>7</v>
      </c>
      <c r="S247">
        <f>VLOOKUP(C247,CU_ARS_2025_WOF_F2!$A$2:$K$673,6,FALSE)</f>
        <v>1</v>
      </c>
      <c r="T247">
        <f>VLOOKUP(C247,CU_ARS_2025_WOF_F2!$A$2:$K$673,7,FALSE)</f>
        <v>0</v>
      </c>
      <c r="U247">
        <f>VLOOKUP(C247,CU_ARS_2025_WOF_F2!$A$2:$K$673,8,FALSE)</f>
        <v>1</v>
      </c>
      <c r="V247">
        <f>VLOOKUP(C247,CU_ARS_2025_WOF_F2!$A$2:$K$673,9,FALSE)</f>
        <v>0</v>
      </c>
      <c r="W247">
        <f>VLOOKUP(C247,CU_ARS_2025_WOF_F2!$A$2:$K$673,10,FALSE)</f>
        <v>0</v>
      </c>
      <c r="X247">
        <f>VLOOKUP(C247,CU_ARS_2025_WOF_F2!$A$2:$K$673,11,FALSE)</f>
        <v>1</v>
      </c>
      <c r="Y247" t="str">
        <f>VLOOKUP(Q247,cross_pedigree!$A$2:$B$23,2,FALSE)</f>
        <v>NC20-4452/SEGER|PI306405</v>
      </c>
    </row>
    <row r="248" spans="1:25" ht="18">
      <c r="A248" s="21" t="s">
        <v>15</v>
      </c>
      <c r="B248" s="21" t="s">
        <v>16</v>
      </c>
      <c r="C248" s="22">
        <v>753710</v>
      </c>
      <c r="D248" s="23">
        <v>3</v>
      </c>
      <c r="E248" s="24" t="str">
        <f t="shared" si="3"/>
        <v>CU_ARS_2025_WOF_F2_7_plant_2</v>
      </c>
      <c r="F248" s="21" t="s">
        <v>31</v>
      </c>
      <c r="G248" s="44" t="s">
        <v>32</v>
      </c>
      <c r="H248" s="42"/>
      <c r="I248" s="42" t="s">
        <v>1046</v>
      </c>
      <c r="J248" s="42" t="s">
        <v>1003</v>
      </c>
      <c r="K248" s="42"/>
      <c r="L248" s="42"/>
      <c r="M248" s="42"/>
      <c r="N248" t="str">
        <f>VLOOKUP(C248,CU_ARS_2025_WOF_F2!$A$2:$K$673,2,FALSE)</f>
        <v>CU_ARS_2025_WOF_F2_7_plant_2</v>
      </c>
      <c r="O248" t="str">
        <f>VLOOKUP(C248,CU_ARS_2025_WOF_F2!$A$2:$K$673,2,FALSE)</f>
        <v>CU_ARS_2025_WOF_F2_7_plant_2</v>
      </c>
      <c r="P248" t="str">
        <f>VLOOKUP(C248,CU_ARS_2025_WOF_F2!$A$2:$K$673,3,FALSE)</f>
        <v>CU_ARS_2025_WOF_F2_7</v>
      </c>
      <c r="Q248" t="str">
        <f>VLOOKUP(C248,CU_ARS_2025_WOF_F2!$A$2:$K$673,4,FALSE)</f>
        <v>CU_ARS_2025_WOF_cross_83</v>
      </c>
      <c r="R248">
        <f>VLOOKUP(C248,CU_ARS_2025_WOF_F2!$A$2:$K$673,5,FALSE)</f>
        <v>7</v>
      </c>
      <c r="S248">
        <f>VLOOKUP(C248,CU_ARS_2025_WOF_F2!$A$2:$K$673,6,FALSE)</f>
        <v>1</v>
      </c>
      <c r="T248">
        <f>VLOOKUP(C248,CU_ARS_2025_WOF_F2!$A$2:$K$673,7,FALSE)</f>
        <v>0</v>
      </c>
      <c r="U248">
        <f>VLOOKUP(C248,CU_ARS_2025_WOF_F2!$A$2:$K$673,8,FALSE)</f>
        <v>1</v>
      </c>
      <c r="V248">
        <f>VLOOKUP(C248,CU_ARS_2025_WOF_F2!$A$2:$K$673,9,FALSE)</f>
        <v>0</v>
      </c>
      <c r="W248">
        <f>VLOOKUP(C248,CU_ARS_2025_WOF_F2!$A$2:$K$673,10,FALSE)</f>
        <v>0</v>
      </c>
      <c r="X248">
        <f>VLOOKUP(C248,CU_ARS_2025_WOF_F2!$A$2:$K$673,11,FALSE)</f>
        <v>2</v>
      </c>
      <c r="Y248" t="str">
        <f>VLOOKUP(Q248,cross_pedigree!$A$2:$B$23,2,FALSE)</f>
        <v>NC20-4452/SEGER|PI306405</v>
      </c>
    </row>
    <row r="249" spans="1:25" ht="18">
      <c r="A249" s="21" t="s">
        <v>15</v>
      </c>
      <c r="B249" s="21" t="s">
        <v>16</v>
      </c>
      <c r="C249" s="22">
        <v>753719</v>
      </c>
      <c r="D249" s="23">
        <v>3</v>
      </c>
      <c r="E249" s="24" t="str">
        <f t="shared" si="3"/>
        <v>CU_ARS_2025_WOF_F2_7_plant_11</v>
      </c>
      <c r="F249" s="21" t="s">
        <v>33</v>
      </c>
      <c r="G249" s="44" t="s">
        <v>34</v>
      </c>
      <c r="H249" s="42"/>
      <c r="I249" s="42" t="s">
        <v>1046</v>
      </c>
      <c r="J249" s="42" t="s">
        <v>1003</v>
      </c>
      <c r="K249" s="42"/>
      <c r="L249" s="42"/>
      <c r="M249" s="42"/>
      <c r="N249" t="str">
        <f>VLOOKUP(C249,CU_ARS_2025_WOF_F2!$A$2:$K$673,2,FALSE)</f>
        <v>CU_ARS_2025_WOF_F2_7_plant_11</v>
      </c>
      <c r="O249" t="str">
        <f>VLOOKUP(C249,CU_ARS_2025_WOF_F2!$A$2:$K$673,2,FALSE)</f>
        <v>CU_ARS_2025_WOF_F2_7_plant_11</v>
      </c>
      <c r="P249" t="str">
        <f>VLOOKUP(C249,CU_ARS_2025_WOF_F2!$A$2:$K$673,3,FALSE)</f>
        <v>CU_ARS_2025_WOF_F2_7</v>
      </c>
      <c r="Q249" t="str">
        <f>VLOOKUP(C249,CU_ARS_2025_WOF_F2!$A$2:$K$673,4,FALSE)</f>
        <v>CU_ARS_2025_WOF_cross_83</v>
      </c>
      <c r="R249">
        <f>VLOOKUP(C249,CU_ARS_2025_WOF_F2!$A$2:$K$673,5,FALSE)</f>
        <v>7</v>
      </c>
      <c r="S249">
        <f>VLOOKUP(C249,CU_ARS_2025_WOF_F2!$A$2:$K$673,6,FALSE)</f>
        <v>1</v>
      </c>
      <c r="T249">
        <f>VLOOKUP(C249,CU_ARS_2025_WOF_F2!$A$2:$K$673,7,FALSE)</f>
        <v>0</v>
      </c>
      <c r="U249">
        <f>VLOOKUP(C249,CU_ARS_2025_WOF_F2!$A$2:$K$673,8,FALSE)</f>
        <v>1</v>
      </c>
      <c r="V249">
        <f>VLOOKUP(C249,CU_ARS_2025_WOF_F2!$A$2:$K$673,9,FALSE)</f>
        <v>0</v>
      </c>
      <c r="W249">
        <f>VLOOKUP(C249,CU_ARS_2025_WOF_F2!$A$2:$K$673,10,FALSE)</f>
        <v>0</v>
      </c>
      <c r="X249">
        <f>VLOOKUP(C249,CU_ARS_2025_WOF_F2!$A$2:$K$673,11,FALSE)</f>
        <v>11</v>
      </c>
      <c r="Y249" t="str">
        <f>VLOOKUP(Q249,cross_pedigree!$A$2:$B$23,2,FALSE)</f>
        <v>NC20-4452/SEGER|PI306405</v>
      </c>
    </row>
    <row r="250" spans="1:25" ht="18">
      <c r="A250" s="21" t="s">
        <v>15</v>
      </c>
      <c r="B250" s="21" t="s">
        <v>16</v>
      </c>
      <c r="C250" s="22">
        <v>753711</v>
      </c>
      <c r="D250" s="23">
        <v>3</v>
      </c>
      <c r="E250" s="24" t="str">
        <f t="shared" si="3"/>
        <v>CU_ARS_2025_WOF_F2_7_plant_3</v>
      </c>
      <c r="F250" s="21" t="s">
        <v>35</v>
      </c>
      <c r="G250" s="44" t="s">
        <v>36</v>
      </c>
      <c r="H250" s="42"/>
      <c r="I250" s="42" t="s">
        <v>1046</v>
      </c>
      <c r="J250" s="42" t="s">
        <v>1003</v>
      </c>
      <c r="K250" s="42"/>
      <c r="L250" s="42"/>
      <c r="M250" s="42"/>
      <c r="N250" t="str">
        <f>VLOOKUP(C250,CU_ARS_2025_WOF_F2!$A$2:$K$673,2,FALSE)</f>
        <v>CU_ARS_2025_WOF_F2_7_plant_3</v>
      </c>
      <c r="O250" t="str">
        <f>VLOOKUP(C250,CU_ARS_2025_WOF_F2!$A$2:$K$673,2,FALSE)</f>
        <v>CU_ARS_2025_WOF_F2_7_plant_3</v>
      </c>
      <c r="P250" t="str">
        <f>VLOOKUP(C250,CU_ARS_2025_WOF_F2!$A$2:$K$673,3,FALSE)</f>
        <v>CU_ARS_2025_WOF_F2_7</v>
      </c>
      <c r="Q250" t="str">
        <f>VLOOKUP(C250,CU_ARS_2025_WOF_F2!$A$2:$K$673,4,FALSE)</f>
        <v>CU_ARS_2025_WOF_cross_83</v>
      </c>
      <c r="R250">
        <f>VLOOKUP(C250,CU_ARS_2025_WOF_F2!$A$2:$K$673,5,FALSE)</f>
        <v>7</v>
      </c>
      <c r="S250">
        <f>VLOOKUP(C250,CU_ARS_2025_WOF_F2!$A$2:$K$673,6,FALSE)</f>
        <v>1</v>
      </c>
      <c r="T250">
        <f>VLOOKUP(C250,CU_ARS_2025_WOF_F2!$A$2:$K$673,7,FALSE)</f>
        <v>0</v>
      </c>
      <c r="U250">
        <f>VLOOKUP(C250,CU_ARS_2025_WOF_F2!$A$2:$K$673,8,FALSE)</f>
        <v>1</v>
      </c>
      <c r="V250">
        <f>VLOOKUP(C250,CU_ARS_2025_WOF_F2!$A$2:$K$673,9,FALSE)</f>
        <v>0</v>
      </c>
      <c r="W250">
        <f>VLOOKUP(C250,CU_ARS_2025_WOF_F2!$A$2:$K$673,10,FALSE)</f>
        <v>0</v>
      </c>
      <c r="X250">
        <f>VLOOKUP(C250,CU_ARS_2025_WOF_F2!$A$2:$K$673,11,FALSE)</f>
        <v>3</v>
      </c>
      <c r="Y250" t="str">
        <f>VLOOKUP(Q250,cross_pedigree!$A$2:$B$23,2,FALSE)</f>
        <v>NC20-4452/SEGER|PI306405</v>
      </c>
    </row>
    <row r="251" spans="1:25" ht="18">
      <c r="A251" s="21" t="s">
        <v>15</v>
      </c>
      <c r="B251" s="21" t="s">
        <v>16</v>
      </c>
      <c r="C251" s="22">
        <v>753720</v>
      </c>
      <c r="D251" s="23">
        <v>3</v>
      </c>
      <c r="E251" s="24" t="str">
        <f t="shared" si="3"/>
        <v>CU_ARS_2025_WOF_F2_7_plant_12</v>
      </c>
      <c r="F251" s="21" t="s">
        <v>37</v>
      </c>
      <c r="G251" s="44" t="s">
        <v>38</v>
      </c>
      <c r="H251" s="42"/>
      <c r="I251" s="42" t="s">
        <v>1046</v>
      </c>
      <c r="J251" s="42" t="s">
        <v>1003</v>
      </c>
      <c r="K251" s="42"/>
      <c r="L251" s="42"/>
      <c r="M251" s="42"/>
      <c r="N251" t="str">
        <f>VLOOKUP(C251,CU_ARS_2025_WOF_F2!$A$2:$K$673,2,FALSE)</f>
        <v>CU_ARS_2025_WOF_F2_7_plant_12</v>
      </c>
      <c r="O251" t="str">
        <f>VLOOKUP(C251,CU_ARS_2025_WOF_F2!$A$2:$K$673,2,FALSE)</f>
        <v>CU_ARS_2025_WOF_F2_7_plant_12</v>
      </c>
      <c r="P251" t="str">
        <f>VLOOKUP(C251,CU_ARS_2025_WOF_F2!$A$2:$K$673,3,FALSE)</f>
        <v>CU_ARS_2025_WOF_F2_7</v>
      </c>
      <c r="Q251" t="str">
        <f>VLOOKUP(C251,CU_ARS_2025_WOF_F2!$A$2:$K$673,4,FALSE)</f>
        <v>CU_ARS_2025_WOF_cross_83</v>
      </c>
      <c r="R251">
        <f>VLOOKUP(C251,CU_ARS_2025_WOF_F2!$A$2:$K$673,5,FALSE)</f>
        <v>7</v>
      </c>
      <c r="S251">
        <f>VLOOKUP(C251,CU_ARS_2025_WOF_F2!$A$2:$K$673,6,FALSE)</f>
        <v>1</v>
      </c>
      <c r="T251">
        <f>VLOOKUP(C251,CU_ARS_2025_WOF_F2!$A$2:$K$673,7,FALSE)</f>
        <v>0</v>
      </c>
      <c r="U251">
        <f>VLOOKUP(C251,CU_ARS_2025_WOF_F2!$A$2:$K$673,8,FALSE)</f>
        <v>1</v>
      </c>
      <c r="V251">
        <f>VLOOKUP(C251,CU_ARS_2025_WOF_F2!$A$2:$K$673,9,FALSE)</f>
        <v>0</v>
      </c>
      <c r="W251">
        <f>VLOOKUP(C251,CU_ARS_2025_WOF_F2!$A$2:$K$673,10,FALSE)</f>
        <v>0</v>
      </c>
      <c r="X251">
        <f>VLOOKUP(C251,CU_ARS_2025_WOF_F2!$A$2:$K$673,11,FALSE)</f>
        <v>12</v>
      </c>
      <c r="Y251" t="str">
        <f>VLOOKUP(Q251,cross_pedigree!$A$2:$B$23,2,FALSE)</f>
        <v>NC20-4452/SEGER|PI306405</v>
      </c>
    </row>
    <row r="252" spans="1:25" ht="18">
      <c r="A252" s="21" t="s">
        <v>15</v>
      </c>
      <c r="B252" s="21" t="s">
        <v>16</v>
      </c>
      <c r="C252" s="22">
        <v>753721</v>
      </c>
      <c r="D252" s="23">
        <v>3</v>
      </c>
      <c r="E252" s="24" t="str">
        <f t="shared" si="3"/>
        <v>CU_ARS_2025_WOF_F2_7_plant_13</v>
      </c>
      <c r="F252" s="21" t="s">
        <v>172</v>
      </c>
      <c r="G252" s="44" t="s">
        <v>173</v>
      </c>
      <c r="H252" s="42"/>
      <c r="I252" s="42" t="s">
        <v>1046</v>
      </c>
      <c r="J252" s="42" t="s">
        <v>1003</v>
      </c>
      <c r="K252" s="42"/>
      <c r="L252" s="42"/>
      <c r="M252" s="42"/>
      <c r="N252" t="str">
        <f>VLOOKUP(C252,CU_ARS_2025_WOF_F2!$A$2:$K$673,2,FALSE)</f>
        <v>CU_ARS_2025_WOF_F2_7_plant_13</v>
      </c>
      <c r="O252" t="str">
        <f>VLOOKUP(C252,CU_ARS_2025_WOF_F2!$A$2:$K$673,2,FALSE)</f>
        <v>CU_ARS_2025_WOF_F2_7_plant_13</v>
      </c>
      <c r="P252" t="str">
        <f>VLOOKUP(C252,CU_ARS_2025_WOF_F2!$A$2:$K$673,3,FALSE)</f>
        <v>CU_ARS_2025_WOF_F2_7</v>
      </c>
      <c r="Q252" t="str">
        <f>VLOOKUP(C252,CU_ARS_2025_WOF_F2!$A$2:$K$673,4,FALSE)</f>
        <v>CU_ARS_2025_WOF_cross_83</v>
      </c>
      <c r="R252">
        <f>VLOOKUP(C252,CU_ARS_2025_WOF_F2!$A$2:$K$673,5,FALSE)</f>
        <v>7</v>
      </c>
      <c r="S252">
        <f>VLOOKUP(C252,CU_ARS_2025_WOF_F2!$A$2:$K$673,6,FALSE)</f>
        <v>1</v>
      </c>
      <c r="T252">
        <f>VLOOKUP(C252,CU_ARS_2025_WOF_F2!$A$2:$K$673,7,FALSE)</f>
        <v>0</v>
      </c>
      <c r="U252">
        <f>VLOOKUP(C252,CU_ARS_2025_WOF_F2!$A$2:$K$673,8,FALSE)</f>
        <v>1</v>
      </c>
      <c r="V252">
        <f>VLOOKUP(C252,CU_ARS_2025_WOF_F2!$A$2:$K$673,9,FALSE)</f>
        <v>0</v>
      </c>
      <c r="W252">
        <f>VLOOKUP(C252,CU_ARS_2025_WOF_F2!$A$2:$K$673,10,FALSE)</f>
        <v>0</v>
      </c>
      <c r="X252">
        <f>VLOOKUP(C252,CU_ARS_2025_WOF_F2!$A$2:$K$673,11,FALSE)</f>
        <v>13</v>
      </c>
      <c r="Y252" t="str">
        <f>VLOOKUP(Q252,cross_pedigree!$A$2:$B$23,2,FALSE)</f>
        <v>NC20-4452/SEGER|PI306405</v>
      </c>
    </row>
    <row r="253" spans="1:25" ht="18">
      <c r="A253" s="21" t="s">
        <v>15</v>
      </c>
      <c r="B253" s="21" t="s">
        <v>16</v>
      </c>
      <c r="C253" s="22">
        <v>753713</v>
      </c>
      <c r="D253" s="23">
        <v>3</v>
      </c>
      <c r="E253" s="24" t="str">
        <f t="shared" si="3"/>
        <v>CU_ARS_2025_WOF_F2_7_plant_5</v>
      </c>
      <c r="F253" s="21" t="s">
        <v>174</v>
      </c>
      <c r="G253" s="44" t="s">
        <v>175</v>
      </c>
      <c r="H253" s="42"/>
      <c r="I253" s="42" t="s">
        <v>1046</v>
      </c>
      <c r="J253" s="42" t="s">
        <v>1003</v>
      </c>
      <c r="K253" s="42"/>
      <c r="L253" s="42"/>
      <c r="M253" s="42"/>
      <c r="N253" t="str">
        <f>VLOOKUP(C253,CU_ARS_2025_WOF_F2!$A$2:$K$673,2,FALSE)</f>
        <v>CU_ARS_2025_WOF_F2_7_plant_5</v>
      </c>
      <c r="O253" t="str">
        <f>VLOOKUP(C253,CU_ARS_2025_WOF_F2!$A$2:$K$673,2,FALSE)</f>
        <v>CU_ARS_2025_WOF_F2_7_plant_5</v>
      </c>
      <c r="P253" t="str">
        <f>VLOOKUP(C253,CU_ARS_2025_WOF_F2!$A$2:$K$673,3,FALSE)</f>
        <v>CU_ARS_2025_WOF_F2_7</v>
      </c>
      <c r="Q253" t="str">
        <f>VLOOKUP(C253,CU_ARS_2025_WOF_F2!$A$2:$K$673,4,FALSE)</f>
        <v>CU_ARS_2025_WOF_cross_83</v>
      </c>
      <c r="R253">
        <f>VLOOKUP(C253,CU_ARS_2025_WOF_F2!$A$2:$K$673,5,FALSE)</f>
        <v>7</v>
      </c>
      <c r="S253">
        <f>VLOOKUP(C253,CU_ARS_2025_WOF_F2!$A$2:$K$673,6,FALSE)</f>
        <v>1</v>
      </c>
      <c r="T253">
        <f>VLOOKUP(C253,CU_ARS_2025_WOF_F2!$A$2:$K$673,7,FALSE)</f>
        <v>0</v>
      </c>
      <c r="U253">
        <f>VLOOKUP(C253,CU_ARS_2025_WOF_F2!$A$2:$K$673,8,FALSE)</f>
        <v>1</v>
      </c>
      <c r="V253">
        <f>VLOOKUP(C253,CU_ARS_2025_WOF_F2!$A$2:$K$673,9,FALSE)</f>
        <v>0</v>
      </c>
      <c r="W253">
        <f>VLOOKUP(C253,CU_ARS_2025_WOF_F2!$A$2:$K$673,10,FALSE)</f>
        <v>0</v>
      </c>
      <c r="X253">
        <f>VLOOKUP(C253,CU_ARS_2025_WOF_F2!$A$2:$K$673,11,FALSE)</f>
        <v>5</v>
      </c>
      <c r="Y253" t="str">
        <f>VLOOKUP(Q253,cross_pedigree!$A$2:$B$23,2,FALSE)</f>
        <v>NC20-4452/SEGER|PI306405</v>
      </c>
    </row>
    <row r="254" spans="1:25" ht="18">
      <c r="A254" s="21" t="s">
        <v>15</v>
      </c>
      <c r="B254" s="21" t="s">
        <v>16</v>
      </c>
      <c r="C254" s="22">
        <v>753712</v>
      </c>
      <c r="D254" s="23">
        <v>3</v>
      </c>
      <c r="E254" s="24" t="str">
        <f t="shared" si="3"/>
        <v>CU_ARS_2025_WOF_F2_7_plant_4</v>
      </c>
      <c r="F254" s="21" t="s">
        <v>176</v>
      </c>
      <c r="G254" s="44" t="s">
        <v>177</v>
      </c>
      <c r="H254" s="42"/>
      <c r="I254" s="42" t="s">
        <v>1046</v>
      </c>
      <c r="J254" s="42" t="s">
        <v>1003</v>
      </c>
      <c r="K254" s="42"/>
      <c r="L254" s="42"/>
      <c r="M254" s="42"/>
      <c r="N254" t="str">
        <f>VLOOKUP(C254,CU_ARS_2025_WOF_F2!$A$2:$K$673,2,FALSE)</f>
        <v>CU_ARS_2025_WOF_F2_7_plant_4</v>
      </c>
      <c r="O254" t="str">
        <f>VLOOKUP(C254,CU_ARS_2025_WOF_F2!$A$2:$K$673,2,FALSE)</f>
        <v>CU_ARS_2025_WOF_F2_7_plant_4</v>
      </c>
      <c r="P254" t="str">
        <f>VLOOKUP(C254,CU_ARS_2025_WOF_F2!$A$2:$K$673,3,FALSE)</f>
        <v>CU_ARS_2025_WOF_F2_7</v>
      </c>
      <c r="Q254" t="str">
        <f>VLOOKUP(C254,CU_ARS_2025_WOF_F2!$A$2:$K$673,4,FALSE)</f>
        <v>CU_ARS_2025_WOF_cross_83</v>
      </c>
      <c r="R254">
        <f>VLOOKUP(C254,CU_ARS_2025_WOF_F2!$A$2:$K$673,5,FALSE)</f>
        <v>7</v>
      </c>
      <c r="S254">
        <f>VLOOKUP(C254,CU_ARS_2025_WOF_F2!$A$2:$K$673,6,FALSE)</f>
        <v>1</v>
      </c>
      <c r="T254">
        <f>VLOOKUP(C254,CU_ARS_2025_WOF_F2!$A$2:$K$673,7,FALSE)</f>
        <v>0</v>
      </c>
      <c r="U254">
        <f>VLOOKUP(C254,CU_ARS_2025_WOF_F2!$A$2:$K$673,8,FALSE)</f>
        <v>1</v>
      </c>
      <c r="V254">
        <f>VLOOKUP(C254,CU_ARS_2025_WOF_F2!$A$2:$K$673,9,FALSE)</f>
        <v>0</v>
      </c>
      <c r="W254">
        <f>VLOOKUP(C254,CU_ARS_2025_WOF_F2!$A$2:$K$673,10,FALSE)</f>
        <v>0</v>
      </c>
      <c r="X254">
        <f>VLOOKUP(C254,CU_ARS_2025_WOF_F2!$A$2:$K$673,11,FALSE)</f>
        <v>4</v>
      </c>
      <c r="Y254" t="str">
        <f>VLOOKUP(Q254,cross_pedigree!$A$2:$B$23,2,FALSE)</f>
        <v>NC20-4452/SEGER|PI306405</v>
      </c>
    </row>
    <row r="255" spans="1:25" ht="18">
      <c r="A255" s="21" t="s">
        <v>15</v>
      </c>
      <c r="B255" s="21" t="s">
        <v>16</v>
      </c>
      <c r="C255" s="22">
        <v>753725</v>
      </c>
      <c r="D255" s="23">
        <v>3</v>
      </c>
      <c r="E255" s="24" t="str">
        <f t="shared" si="3"/>
        <v>CU_ARS_2025_WOF_F2_7_plant_17</v>
      </c>
      <c r="F255" s="21" t="s">
        <v>178</v>
      </c>
      <c r="G255" s="44" t="s">
        <v>179</v>
      </c>
      <c r="H255" s="42"/>
      <c r="I255" s="42" t="s">
        <v>1046</v>
      </c>
      <c r="J255" s="42" t="s">
        <v>1003</v>
      </c>
      <c r="K255" s="42"/>
      <c r="L255" s="42"/>
      <c r="M255" s="42"/>
      <c r="N255" t="str">
        <f>VLOOKUP(C255,CU_ARS_2025_WOF_F2!$A$2:$K$673,2,FALSE)</f>
        <v>CU_ARS_2025_WOF_F2_7_plant_17</v>
      </c>
      <c r="O255" t="str">
        <f>VLOOKUP(C255,CU_ARS_2025_WOF_F2!$A$2:$K$673,2,FALSE)</f>
        <v>CU_ARS_2025_WOF_F2_7_plant_17</v>
      </c>
      <c r="P255" t="str">
        <f>VLOOKUP(C255,CU_ARS_2025_WOF_F2!$A$2:$K$673,3,FALSE)</f>
        <v>CU_ARS_2025_WOF_F2_7</v>
      </c>
      <c r="Q255" t="str">
        <f>VLOOKUP(C255,CU_ARS_2025_WOF_F2!$A$2:$K$673,4,FALSE)</f>
        <v>CU_ARS_2025_WOF_cross_83</v>
      </c>
      <c r="R255">
        <f>VLOOKUP(C255,CU_ARS_2025_WOF_F2!$A$2:$K$673,5,FALSE)</f>
        <v>7</v>
      </c>
      <c r="S255">
        <f>VLOOKUP(C255,CU_ARS_2025_WOF_F2!$A$2:$K$673,6,FALSE)</f>
        <v>1</v>
      </c>
      <c r="T255">
        <f>VLOOKUP(C255,CU_ARS_2025_WOF_F2!$A$2:$K$673,7,FALSE)</f>
        <v>0</v>
      </c>
      <c r="U255">
        <f>VLOOKUP(C255,CU_ARS_2025_WOF_F2!$A$2:$K$673,8,FALSE)</f>
        <v>1</v>
      </c>
      <c r="V255">
        <f>VLOOKUP(C255,CU_ARS_2025_WOF_F2!$A$2:$K$673,9,FALSE)</f>
        <v>0</v>
      </c>
      <c r="W255">
        <f>VLOOKUP(C255,CU_ARS_2025_WOF_F2!$A$2:$K$673,10,FALSE)</f>
        <v>0</v>
      </c>
      <c r="X255">
        <f>VLOOKUP(C255,CU_ARS_2025_WOF_F2!$A$2:$K$673,11,FALSE)</f>
        <v>17</v>
      </c>
      <c r="Y255" t="str">
        <f>VLOOKUP(Q255,cross_pedigree!$A$2:$B$23,2,FALSE)</f>
        <v>NC20-4452/SEGER|PI306405</v>
      </c>
    </row>
    <row r="256" spans="1:25" ht="18">
      <c r="A256" s="21" t="s">
        <v>15</v>
      </c>
      <c r="B256" s="21" t="s">
        <v>16</v>
      </c>
      <c r="C256" s="22">
        <v>753733</v>
      </c>
      <c r="D256" s="23">
        <v>3</v>
      </c>
      <c r="E256" s="24" t="str">
        <f t="shared" si="3"/>
        <v>CU_ARS_2025_WOF_F2_7_plant_25</v>
      </c>
      <c r="F256" s="21" t="s">
        <v>180</v>
      </c>
      <c r="G256" s="44" t="s">
        <v>181</v>
      </c>
      <c r="H256" s="42"/>
      <c r="I256" s="42" t="s">
        <v>1046</v>
      </c>
      <c r="J256" s="42" t="s">
        <v>1003</v>
      </c>
      <c r="K256" s="42"/>
      <c r="L256" s="42"/>
      <c r="M256" s="42"/>
      <c r="N256" t="str">
        <f>VLOOKUP(C256,CU_ARS_2025_WOF_F2!$A$2:$K$673,2,FALSE)</f>
        <v>CU_ARS_2025_WOF_F2_7_plant_25</v>
      </c>
      <c r="O256" t="str">
        <f>VLOOKUP(C256,CU_ARS_2025_WOF_F2!$A$2:$K$673,2,FALSE)</f>
        <v>CU_ARS_2025_WOF_F2_7_plant_25</v>
      </c>
      <c r="P256" t="str">
        <f>VLOOKUP(C256,CU_ARS_2025_WOF_F2!$A$2:$K$673,3,FALSE)</f>
        <v>CU_ARS_2025_WOF_F2_7</v>
      </c>
      <c r="Q256" t="str">
        <f>VLOOKUP(C256,CU_ARS_2025_WOF_F2!$A$2:$K$673,4,FALSE)</f>
        <v>CU_ARS_2025_WOF_cross_83</v>
      </c>
      <c r="R256">
        <f>VLOOKUP(C256,CU_ARS_2025_WOF_F2!$A$2:$K$673,5,FALSE)</f>
        <v>7</v>
      </c>
      <c r="S256">
        <f>VLOOKUP(C256,CU_ARS_2025_WOF_F2!$A$2:$K$673,6,FALSE)</f>
        <v>1</v>
      </c>
      <c r="T256">
        <f>VLOOKUP(C256,CU_ARS_2025_WOF_F2!$A$2:$K$673,7,FALSE)</f>
        <v>0</v>
      </c>
      <c r="U256">
        <f>VLOOKUP(C256,CU_ARS_2025_WOF_F2!$A$2:$K$673,8,FALSE)</f>
        <v>1</v>
      </c>
      <c r="V256">
        <f>VLOOKUP(C256,CU_ARS_2025_WOF_F2!$A$2:$K$673,9,FALSE)</f>
        <v>0</v>
      </c>
      <c r="W256">
        <f>VLOOKUP(C256,CU_ARS_2025_WOF_F2!$A$2:$K$673,10,FALSE)</f>
        <v>0</v>
      </c>
      <c r="X256">
        <f>VLOOKUP(C256,CU_ARS_2025_WOF_F2!$A$2:$K$673,11,FALSE)</f>
        <v>25</v>
      </c>
      <c r="Y256" t="str">
        <f>VLOOKUP(Q256,cross_pedigree!$A$2:$B$23,2,FALSE)</f>
        <v>NC20-4452/SEGER|PI306405</v>
      </c>
    </row>
    <row r="257" spans="1:25" ht="18">
      <c r="A257" s="21" t="s">
        <v>15</v>
      </c>
      <c r="B257" s="21" t="s">
        <v>16</v>
      </c>
      <c r="C257" s="22">
        <v>753726</v>
      </c>
      <c r="D257" s="23">
        <v>3</v>
      </c>
      <c r="E257" s="24" t="str">
        <f t="shared" si="3"/>
        <v>CU_ARS_2025_WOF_F2_7_plant_18</v>
      </c>
      <c r="F257" s="21" t="s">
        <v>182</v>
      </c>
      <c r="G257" s="44" t="s">
        <v>183</v>
      </c>
      <c r="H257" s="42"/>
      <c r="I257" s="42" t="s">
        <v>1046</v>
      </c>
      <c r="J257" s="42" t="s">
        <v>1003</v>
      </c>
      <c r="K257" s="42"/>
      <c r="L257" s="42"/>
      <c r="M257" s="42"/>
      <c r="N257" t="str">
        <f>VLOOKUP(C257,CU_ARS_2025_WOF_F2!$A$2:$K$673,2,FALSE)</f>
        <v>CU_ARS_2025_WOF_F2_7_plant_18</v>
      </c>
      <c r="O257" t="str">
        <f>VLOOKUP(C257,CU_ARS_2025_WOF_F2!$A$2:$K$673,2,FALSE)</f>
        <v>CU_ARS_2025_WOF_F2_7_plant_18</v>
      </c>
      <c r="P257" t="str">
        <f>VLOOKUP(C257,CU_ARS_2025_WOF_F2!$A$2:$K$673,3,FALSE)</f>
        <v>CU_ARS_2025_WOF_F2_7</v>
      </c>
      <c r="Q257" t="str">
        <f>VLOOKUP(C257,CU_ARS_2025_WOF_F2!$A$2:$K$673,4,FALSE)</f>
        <v>CU_ARS_2025_WOF_cross_83</v>
      </c>
      <c r="R257">
        <f>VLOOKUP(C257,CU_ARS_2025_WOF_F2!$A$2:$K$673,5,FALSE)</f>
        <v>7</v>
      </c>
      <c r="S257">
        <f>VLOOKUP(C257,CU_ARS_2025_WOF_F2!$A$2:$K$673,6,FALSE)</f>
        <v>1</v>
      </c>
      <c r="T257">
        <f>VLOOKUP(C257,CU_ARS_2025_WOF_F2!$A$2:$K$673,7,FALSE)</f>
        <v>0</v>
      </c>
      <c r="U257">
        <f>VLOOKUP(C257,CU_ARS_2025_WOF_F2!$A$2:$K$673,8,FALSE)</f>
        <v>1</v>
      </c>
      <c r="V257">
        <f>VLOOKUP(C257,CU_ARS_2025_WOF_F2!$A$2:$K$673,9,FALSE)</f>
        <v>0</v>
      </c>
      <c r="W257">
        <f>VLOOKUP(C257,CU_ARS_2025_WOF_F2!$A$2:$K$673,10,FALSE)</f>
        <v>0</v>
      </c>
      <c r="X257">
        <f>VLOOKUP(C257,CU_ARS_2025_WOF_F2!$A$2:$K$673,11,FALSE)</f>
        <v>18</v>
      </c>
      <c r="Y257" t="str">
        <f>VLOOKUP(Q257,cross_pedigree!$A$2:$B$23,2,FALSE)</f>
        <v>NC20-4452/SEGER|PI306405</v>
      </c>
    </row>
    <row r="258" spans="1:25" ht="18">
      <c r="A258" s="21" t="s">
        <v>15</v>
      </c>
      <c r="B258" s="21" t="s">
        <v>16</v>
      </c>
      <c r="C258" s="22">
        <v>753727</v>
      </c>
      <c r="D258" s="23">
        <v>3</v>
      </c>
      <c r="E258" s="24" t="str">
        <f t="shared" si="3"/>
        <v>CU_ARS_2025_WOF_F2_7_plant_19</v>
      </c>
      <c r="F258" s="21" t="s">
        <v>39</v>
      </c>
      <c r="G258" s="44" t="s">
        <v>40</v>
      </c>
      <c r="H258" s="42"/>
      <c r="I258" s="42" t="s">
        <v>1046</v>
      </c>
      <c r="J258" s="42" t="s">
        <v>1003</v>
      </c>
      <c r="K258" s="42"/>
      <c r="L258" s="42"/>
      <c r="M258" s="42"/>
      <c r="N258" t="str">
        <f>VLOOKUP(C258,CU_ARS_2025_WOF_F2!$A$2:$K$673,2,FALSE)</f>
        <v>CU_ARS_2025_WOF_F2_7_plant_19</v>
      </c>
      <c r="O258" t="str">
        <f>VLOOKUP(C258,CU_ARS_2025_WOF_F2!$A$2:$K$673,2,FALSE)</f>
        <v>CU_ARS_2025_WOF_F2_7_plant_19</v>
      </c>
      <c r="P258" t="str">
        <f>VLOOKUP(C258,CU_ARS_2025_WOF_F2!$A$2:$K$673,3,FALSE)</f>
        <v>CU_ARS_2025_WOF_F2_7</v>
      </c>
      <c r="Q258" t="str">
        <f>VLOOKUP(C258,CU_ARS_2025_WOF_F2!$A$2:$K$673,4,FALSE)</f>
        <v>CU_ARS_2025_WOF_cross_83</v>
      </c>
      <c r="R258">
        <f>VLOOKUP(C258,CU_ARS_2025_WOF_F2!$A$2:$K$673,5,FALSE)</f>
        <v>7</v>
      </c>
      <c r="S258">
        <f>VLOOKUP(C258,CU_ARS_2025_WOF_F2!$A$2:$K$673,6,FALSE)</f>
        <v>1</v>
      </c>
      <c r="T258">
        <f>VLOOKUP(C258,CU_ARS_2025_WOF_F2!$A$2:$K$673,7,FALSE)</f>
        <v>0</v>
      </c>
      <c r="U258">
        <f>VLOOKUP(C258,CU_ARS_2025_WOF_F2!$A$2:$K$673,8,FALSE)</f>
        <v>1</v>
      </c>
      <c r="V258">
        <f>VLOOKUP(C258,CU_ARS_2025_WOF_F2!$A$2:$K$673,9,FALSE)</f>
        <v>0</v>
      </c>
      <c r="W258">
        <f>VLOOKUP(C258,CU_ARS_2025_WOF_F2!$A$2:$K$673,10,FALSE)</f>
        <v>0</v>
      </c>
      <c r="X258">
        <f>VLOOKUP(C258,CU_ARS_2025_WOF_F2!$A$2:$K$673,11,FALSE)</f>
        <v>19</v>
      </c>
      <c r="Y258" t="str">
        <f>VLOOKUP(Q258,cross_pedigree!$A$2:$B$23,2,FALSE)</f>
        <v>NC20-4452/SEGER|PI306405</v>
      </c>
    </row>
    <row r="259" spans="1:25" ht="18">
      <c r="A259" s="21" t="s">
        <v>15</v>
      </c>
      <c r="B259" s="21" t="s">
        <v>16</v>
      </c>
      <c r="C259" s="22">
        <v>753728</v>
      </c>
      <c r="D259" s="23">
        <v>3</v>
      </c>
      <c r="E259" s="24" t="str">
        <f t="shared" ref="E259:E322" si="4">O259</f>
        <v>CU_ARS_2025_WOF_F2_7_plant_20</v>
      </c>
      <c r="F259" s="21" t="s">
        <v>41</v>
      </c>
      <c r="G259" s="44" t="s">
        <v>42</v>
      </c>
      <c r="H259" s="42"/>
      <c r="I259" s="42" t="s">
        <v>1046</v>
      </c>
      <c r="J259" s="42" t="s">
        <v>1003</v>
      </c>
      <c r="K259" s="42"/>
      <c r="L259" s="42"/>
      <c r="M259" s="42"/>
      <c r="N259" t="str">
        <f>VLOOKUP(C259,CU_ARS_2025_WOF_F2!$A$2:$K$673,2,FALSE)</f>
        <v>CU_ARS_2025_WOF_F2_7_plant_20</v>
      </c>
      <c r="O259" t="str">
        <f>VLOOKUP(C259,CU_ARS_2025_WOF_F2!$A$2:$K$673,2,FALSE)</f>
        <v>CU_ARS_2025_WOF_F2_7_plant_20</v>
      </c>
      <c r="P259" t="str">
        <f>VLOOKUP(C259,CU_ARS_2025_WOF_F2!$A$2:$K$673,3,FALSE)</f>
        <v>CU_ARS_2025_WOF_F2_7</v>
      </c>
      <c r="Q259" t="str">
        <f>VLOOKUP(C259,CU_ARS_2025_WOF_F2!$A$2:$K$673,4,FALSE)</f>
        <v>CU_ARS_2025_WOF_cross_83</v>
      </c>
      <c r="R259">
        <f>VLOOKUP(C259,CU_ARS_2025_WOF_F2!$A$2:$K$673,5,FALSE)</f>
        <v>7</v>
      </c>
      <c r="S259">
        <f>VLOOKUP(C259,CU_ARS_2025_WOF_F2!$A$2:$K$673,6,FALSE)</f>
        <v>1</v>
      </c>
      <c r="T259">
        <f>VLOOKUP(C259,CU_ARS_2025_WOF_F2!$A$2:$K$673,7,FALSE)</f>
        <v>0</v>
      </c>
      <c r="U259">
        <f>VLOOKUP(C259,CU_ARS_2025_WOF_F2!$A$2:$K$673,8,FALSE)</f>
        <v>1</v>
      </c>
      <c r="V259">
        <f>VLOOKUP(C259,CU_ARS_2025_WOF_F2!$A$2:$K$673,9,FALSE)</f>
        <v>0</v>
      </c>
      <c r="W259">
        <f>VLOOKUP(C259,CU_ARS_2025_WOF_F2!$A$2:$K$673,10,FALSE)</f>
        <v>0</v>
      </c>
      <c r="X259">
        <f>VLOOKUP(C259,CU_ARS_2025_WOF_F2!$A$2:$K$673,11,FALSE)</f>
        <v>20</v>
      </c>
      <c r="Y259" t="str">
        <f>VLOOKUP(Q259,cross_pedigree!$A$2:$B$23,2,FALSE)</f>
        <v>NC20-4452/SEGER|PI306405</v>
      </c>
    </row>
    <row r="260" spans="1:25" ht="18">
      <c r="A260" s="21" t="s">
        <v>15</v>
      </c>
      <c r="B260" s="21" t="s">
        <v>16</v>
      </c>
      <c r="C260" s="22">
        <v>753734</v>
      </c>
      <c r="D260" s="23">
        <v>3</v>
      </c>
      <c r="E260" s="24" t="str">
        <f t="shared" si="4"/>
        <v>CU_ARS_2025_WOF_F2_7_plant_26</v>
      </c>
      <c r="F260" s="21" t="s">
        <v>184</v>
      </c>
      <c r="G260" s="44" t="s">
        <v>185</v>
      </c>
      <c r="H260" s="42"/>
      <c r="I260" s="42" t="s">
        <v>1046</v>
      </c>
      <c r="J260" s="42" t="s">
        <v>1003</v>
      </c>
      <c r="K260" s="42"/>
      <c r="L260" s="42"/>
      <c r="M260" s="42"/>
      <c r="N260" t="str">
        <f>VLOOKUP(C260,CU_ARS_2025_WOF_F2!$A$2:$K$673,2,FALSE)</f>
        <v>CU_ARS_2025_WOF_F2_7_plant_26</v>
      </c>
      <c r="O260" t="str">
        <f>VLOOKUP(C260,CU_ARS_2025_WOF_F2!$A$2:$K$673,2,FALSE)</f>
        <v>CU_ARS_2025_WOF_F2_7_plant_26</v>
      </c>
      <c r="P260" t="str">
        <f>VLOOKUP(C260,CU_ARS_2025_WOF_F2!$A$2:$K$673,3,FALSE)</f>
        <v>CU_ARS_2025_WOF_F2_7</v>
      </c>
      <c r="Q260" t="str">
        <f>VLOOKUP(C260,CU_ARS_2025_WOF_F2!$A$2:$K$673,4,FALSE)</f>
        <v>CU_ARS_2025_WOF_cross_83</v>
      </c>
      <c r="R260">
        <f>VLOOKUP(C260,CU_ARS_2025_WOF_F2!$A$2:$K$673,5,FALSE)</f>
        <v>7</v>
      </c>
      <c r="S260">
        <f>VLOOKUP(C260,CU_ARS_2025_WOF_F2!$A$2:$K$673,6,FALSE)</f>
        <v>1</v>
      </c>
      <c r="T260">
        <f>VLOOKUP(C260,CU_ARS_2025_WOF_F2!$A$2:$K$673,7,FALSE)</f>
        <v>0</v>
      </c>
      <c r="U260">
        <f>VLOOKUP(C260,CU_ARS_2025_WOF_F2!$A$2:$K$673,8,FALSE)</f>
        <v>1</v>
      </c>
      <c r="V260">
        <f>VLOOKUP(C260,CU_ARS_2025_WOF_F2!$A$2:$K$673,9,FALSE)</f>
        <v>0</v>
      </c>
      <c r="W260">
        <f>VLOOKUP(C260,CU_ARS_2025_WOF_F2!$A$2:$K$673,10,FALSE)</f>
        <v>0</v>
      </c>
      <c r="X260">
        <f>VLOOKUP(C260,CU_ARS_2025_WOF_F2!$A$2:$K$673,11,FALSE)</f>
        <v>26</v>
      </c>
      <c r="Y260" t="str">
        <f>VLOOKUP(Q260,cross_pedigree!$A$2:$B$23,2,FALSE)</f>
        <v>NC20-4452/SEGER|PI306405</v>
      </c>
    </row>
    <row r="261" spans="1:25" ht="18">
      <c r="A261" s="21" t="s">
        <v>15</v>
      </c>
      <c r="B261" s="21" t="s">
        <v>16</v>
      </c>
      <c r="C261" s="22">
        <v>753735</v>
      </c>
      <c r="D261" s="23">
        <v>3</v>
      </c>
      <c r="E261" s="24" t="str">
        <f t="shared" si="4"/>
        <v>CU_ARS_2025_WOF_F2_7_plant_27</v>
      </c>
      <c r="F261" s="21" t="s">
        <v>186</v>
      </c>
      <c r="G261" s="44" t="s">
        <v>187</v>
      </c>
      <c r="H261" s="42"/>
      <c r="I261" s="42" t="s">
        <v>1046</v>
      </c>
      <c r="J261" s="42" t="s">
        <v>1003</v>
      </c>
      <c r="K261" s="42"/>
      <c r="L261" s="42"/>
      <c r="M261" s="42"/>
      <c r="N261" t="str">
        <f>VLOOKUP(C261,CU_ARS_2025_WOF_F2!$A$2:$K$673,2,FALSE)</f>
        <v>CU_ARS_2025_WOF_F2_7_plant_27</v>
      </c>
      <c r="O261" t="str">
        <f>VLOOKUP(C261,CU_ARS_2025_WOF_F2!$A$2:$K$673,2,FALSE)</f>
        <v>CU_ARS_2025_WOF_F2_7_plant_27</v>
      </c>
      <c r="P261" t="str">
        <f>VLOOKUP(C261,CU_ARS_2025_WOF_F2!$A$2:$K$673,3,FALSE)</f>
        <v>CU_ARS_2025_WOF_F2_7</v>
      </c>
      <c r="Q261" t="str">
        <f>VLOOKUP(C261,CU_ARS_2025_WOF_F2!$A$2:$K$673,4,FALSE)</f>
        <v>CU_ARS_2025_WOF_cross_83</v>
      </c>
      <c r="R261">
        <f>VLOOKUP(C261,CU_ARS_2025_WOF_F2!$A$2:$K$673,5,FALSE)</f>
        <v>7</v>
      </c>
      <c r="S261">
        <f>VLOOKUP(C261,CU_ARS_2025_WOF_F2!$A$2:$K$673,6,FALSE)</f>
        <v>1</v>
      </c>
      <c r="T261">
        <f>VLOOKUP(C261,CU_ARS_2025_WOF_F2!$A$2:$K$673,7,FALSE)</f>
        <v>0</v>
      </c>
      <c r="U261">
        <f>VLOOKUP(C261,CU_ARS_2025_WOF_F2!$A$2:$K$673,8,FALSE)</f>
        <v>1</v>
      </c>
      <c r="V261">
        <f>VLOOKUP(C261,CU_ARS_2025_WOF_F2!$A$2:$K$673,9,FALSE)</f>
        <v>0</v>
      </c>
      <c r="W261">
        <f>VLOOKUP(C261,CU_ARS_2025_WOF_F2!$A$2:$K$673,10,FALSE)</f>
        <v>0</v>
      </c>
      <c r="X261">
        <f>VLOOKUP(C261,CU_ARS_2025_WOF_F2!$A$2:$K$673,11,FALSE)</f>
        <v>27</v>
      </c>
      <c r="Y261" t="str">
        <f>VLOOKUP(Q261,cross_pedigree!$A$2:$B$23,2,FALSE)</f>
        <v>NC20-4452/SEGER|PI306405</v>
      </c>
    </row>
    <row r="262" spans="1:25" ht="18">
      <c r="A262" s="21" t="s">
        <v>15</v>
      </c>
      <c r="B262" s="21" t="s">
        <v>16</v>
      </c>
      <c r="C262" s="22">
        <v>753729</v>
      </c>
      <c r="D262" s="23">
        <v>3</v>
      </c>
      <c r="E262" s="24" t="str">
        <f t="shared" si="4"/>
        <v>CU_ARS_2025_WOF_F2_7_plant_21</v>
      </c>
      <c r="F262" s="21" t="s">
        <v>188</v>
      </c>
      <c r="G262" s="44" t="s">
        <v>189</v>
      </c>
      <c r="H262" s="42"/>
      <c r="I262" s="42" t="s">
        <v>1046</v>
      </c>
      <c r="J262" s="42" t="s">
        <v>1003</v>
      </c>
      <c r="K262" s="42"/>
      <c r="L262" s="42"/>
      <c r="M262" s="42"/>
      <c r="N262" t="str">
        <f>VLOOKUP(C262,CU_ARS_2025_WOF_F2!$A$2:$K$673,2,FALSE)</f>
        <v>CU_ARS_2025_WOF_F2_7_plant_21</v>
      </c>
      <c r="O262" t="str">
        <f>VLOOKUP(C262,CU_ARS_2025_WOF_F2!$A$2:$K$673,2,FALSE)</f>
        <v>CU_ARS_2025_WOF_F2_7_plant_21</v>
      </c>
      <c r="P262" t="str">
        <f>VLOOKUP(C262,CU_ARS_2025_WOF_F2!$A$2:$K$673,3,FALSE)</f>
        <v>CU_ARS_2025_WOF_F2_7</v>
      </c>
      <c r="Q262" t="str">
        <f>VLOOKUP(C262,CU_ARS_2025_WOF_F2!$A$2:$K$673,4,FALSE)</f>
        <v>CU_ARS_2025_WOF_cross_83</v>
      </c>
      <c r="R262">
        <f>VLOOKUP(C262,CU_ARS_2025_WOF_F2!$A$2:$K$673,5,FALSE)</f>
        <v>7</v>
      </c>
      <c r="S262">
        <f>VLOOKUP(C262,CU_ARS_2025_WOF_F2!$A$2:$K$673,6,FALSE)</f>
        <v>1</v>
      </c>
      <c r="T262">
        <f>VLOOKUP(C262,CU_ARS_2025_WOF_F2!$A$2:$K$673,7,FALSE)</f>
        <v>0</v>
      </c>
      <c r="U262">
        <f>VLOOKUP(C262,CU_ARS_2025_WOF_F2!$A$2:$K$673,8,FALSE)</f>
        <v>1</v>
      </c>
      <c r="V262">
        <f>VLOOKUP(C262,CU_ARS_2025_WOF_F2!$A$2:$K$673,9,FALSE)</f>
        <v>0</v>
      </c>
      <c r="W262">
        <f>VLOOKUP(C262,CU_ARS_2025_WOF_F2!$A$2:$K$673,10,FALSE)</f>
        <v>0</v>
      </c>
      <c r="X262">
        <f>VLOOKUP(C262,CU_ARS_2025_WOF_F2!$A$2:$K$673,11,FALSE)</f>
        <v>21</v>
      </c>
      <c r="Y262" t="str">
        <f>VLOOKUP(Q262,cross_pedigree!$A$2:$B$23,2,FALSE)</f>
        <v>NC20-4452/SEGER|PI306405</v>
      </c>
    </row>
    <row r="263" spans="1:25" ht="18">
      <c r="A263" s="21" t="s">
        <v>15</v>
      </c>
      <c r="B263" s="21" t="s">
        <v>16</v>
      </c>
      <c r="C263" s="22">
        <v>753736</v>
      </c>
      <c r="D263" s="23">
        <v>3</v>
      </c>
      <c r="E263" s="24" t="str">
        <f t="shared" si="4"/>
        <v>CU_ARS_2025_WOF_F2_7_plant_28</v>
      </c>
      <c r="F263" s="21" t="s">
        <v>190</v>
      </c>
      <c r="G263" s="44" t="s">
        <v>191</v>
      </c>
      <c r="H263" s="42"/>
      <c r="I263" s="42" t="s">
        <v>1046</v>
      </c>
      <c r="J263" s="42" t="s">
        <v>1003</v>
      </c>
      <c r="K263" s="42"/>
      <c r="L263" s="42"/>
      <c r="M263" s="42"/>
      <c r="N263" t="str">
        <f>VLOOKUP(C263,CU_ARS_2025_WOF_F2!$A$2:$K$673,2,FALSE)</f>
        <v>CU_ARS_2025_WOF_F2_7_plant_28</v>
      </c>
      <c r="O263" t="str">
        <f>VLOOKUP(C263,CU_ARS_2025_WOF_F2!$A$2:$K$673,2,FALSE)</f>
        <v>CU_ARS_2025_WOF_F2_7_plant_28</v>
      </c>
      <c r="P263" t="str">
        <f>VLOOKUP(C263,CU_ARS_2025_WOF_F2!$A$2:$K$673,3,FALSE)</f>
        <v>CU_ARS_2025_WOF_F2_7</v>
      </c>
      <c r="Q263" t="str">
        <f>VLOOKUP(C263,CU_ARS_2025_WOF_F2!$A$2:$K$673,4,FALSE)</f>
        <v>CU_ARS_2025_WOF_cross_83</v>
      </c>
      <c r="R263">
        <f>VLOOKUP(C263,CU_ARS_2025_WOF_F2!$A$2:$K$673,5,FALSE)</f>
        <v>7</v>
      </c>
      <c r="S263">
        <f>VLOOKUP(C263,CU_ARS_2025_WOF_F2!$A$2:$K$673,6,FALSE)</f>
        <v>1</v>
      </c>
      <c r="T263">
        <f>VLOOKUP(C263,CU_ARS_2025_WOF_F2!$A$2:$K$673,7,FALSE)</f>
        <v>0</v>
      </c>
      <c r="U263">
        <f>VLOOKUP(C263,CU_ARS_2025_WOF_F2!$A$2:$K$673,8,FALSE)</f>
        <v>1</v>
      </c>
      <c r="V263">
        <f>VLOOKUP(C263,CU_ARS_2025_WOF_F2!$A$2:$K$673,9,FALSE)</f>
        <v>0</v>
      </c>
      <c r="W263">
        <f>VLOOKUP(C263,CU_ARS_2025_WOF_F2!$A$2:$K$673,10,FALSE)</f>
        <v>0</v>
      </c>
      <c r="X263">
        <f>VLOOKUP(C263,CU_ARS_2025_WOF_F2!$A$2:$K$673,11,FALSE)</f>
        <v>28</v>
      </c>
      <c r="Y263" t="str">
        <f>VLOOKUP(Q263,cross_pedigree!$A$2:$B$23,2,FALSE)</f>
        <v>NC20-4452/SEGER|PI306405</v>
      </c>
    </row>
    <row r="264" spans="1:25" ht="18">
      <c r="A264" s="21" t="s">
        <v>15</v>
      </c>
      <c r="B264" s="21" t="s">
        <v>16</v>
      </c>
      <c r="C264" s="22">
        <v>753737</v>
      </c>
      <c r="D264" s="23">
        <v>3</v>
      </c>
      <c r="E264" s="24" t="str">
        <f t="shared" si="4"/>
        <v>CU_ARS_2025_WOF_F2_7_plant_29</v>
      </c>
      <c r="F264" s="21" t="s">
        <v>192</v>
      </c>
      <c r="G264" s="44" t="s">
        <v>193</v>
      </c>
      <c r="H264" s="42"/>
      <c r="I264" s="42" t="s">
        <v>1046</v>
      </c>
      <c r="J264" s="42" t="s">
        <v>1003</v>
      </c>
      <c r="K264" s="42"/>
      <c r="L264" s="42"/>
      <c r="M264" s="42"/>
      <c r="N264" t="str">
        <f>VLOOKUP(C264,CU_ARS_2025_WOF_F2!$A$2:$K$673,2,FALSE)</f>
        <v>CU_ARS_2025_WOF_F2_7_plant_29</v>
      </c>
      <c r="O264" t="str">
        <f>VLOOKUP(C264,CU_ARS_2025_WOF_F2!$A$2:$K$673,2,FALSE)</f>
        <v>CU_ARS_2025_WOF_F2_7_plant_29</v>
      </c>
      <c r="P264" t="str">
        <f>VLOOKUP(C264,CU_ARS_2025_WOF_F2!$A$2:$K$673,3,FALSE)</f>
        <v>CU_ARS_2025_WOF_F2_7</v>
      </c>
      <c r="Q264" t="str">
        <f>VLOOKUP(C264,CU_ARS_2025_WOF_F2!$A$2:$K$673,4,FALSE)</f>
        <v>CU_ARS_2025_WOF_cross_83</v>
      </c>
      <c r="R264">
        <f>VLOOKUP(C264,CU_ARS_2025_WOF_F2!$A$2:$K$673,5,FALSE)</f>
        <v>7</v>
      </c>
      <c r="S264">
        <f>VLOOKUP(C264,CU_ARS_2025_WOF_F2!$A$2:$K$673,6,FALSE)</f>
        <v>1</v>
      </c>
      <c r="T264">
        <f>VLOOKUP(C264,CU_ARS_2025_WOF_F2!$A$2:$K$673,7,FALSE)</f>
        <v>0</v>
      </c>
      <c r="U264">
        <f>VLOOKUP(C264,CU_ARS_2025_WOF_F2!$A$2:$K$673,8,FALSE)</f>
        <v>1</v>
      </c>
      <c r="V264">
        <f>VLOOKUP(C264,CU_ARS_2025_WOF_F2!$A$2:$K$673,9,FALSE)</f>
        <v>0</v>
      </c>
      <c r="W264">
        <f>VLOOKUP(C264,CU_ARS_2025_WOF_F2!$A$2:$K$673,10,FALSE)</f>
        <v>0</v>
      </c>
      <c r="X264">
        <f>VLOOKUP(C264,CU_ARS_2025_WOF_F2!$A$2:$K$673,11,FALSE)</f>
        <v>29</v>
      </c>
      <c r="Y264" t="str">
        <f>VLOOKUP(Q264,cross_pedigree!$A$2:$B$23,2,FALSE)</f>
        <v>NC20-4452/SEGER|PI306405</v>
      </c>
    </row>
    <row r="265" spans="1:25" ht="18">
      <c r="A265" s="21" t="s">
        <v>15</v>
      </c>
      <c r="B265" s="21" t="s">
        <v>16</v>
      </c>
      <c r="C265" s="22">
        <v>753714</v>
      </c>
      <c r="D265" s="23">
        <v>3</v>
      </c>
      <c r="E265" s="24" t="str">
        <f t="shared" si="4"/>
        <v>CU_ARS_2025_WOF_F2_7_plant_6</v>
      </c>
      <c r="F265" s="21" t="s">
        <v>194</v>
      </c>
      <c r="G265" s="44" t="s">
        <v>195</v>
      </c>
      <c r="H265" s="42"/>
      <c r="I265" s="42" t="s">
        <v>1046</v>
      </c>
      <c r="J265" s="42" t="s">
        <v>1003</v>
      </c>
      <c r="K265" s="42"/>
      <c r="L265" s="42"/>
      <c r="M265" s="42"/>
      <c r="N265" t="str">
        <f>VLOOKUP(C265,CU_ARS_2025_WOF_F2!$A$2:$K$673,2,FALSE)</f>
        <v>CU_ARS_2025_WOF_F2_7_plant_6</v>
      </c>
      <c r="O265" t="str">
        <f>VLOOKUP(C265,CU_ARS_2025_WOF_F2!$A$2:$K$673,2,FALSE)</f>
        <v>CU_ARS_2025_WOF_F2_7_plant_6</v>
      </c>
      <c r="P265" t="str">
        <f>VLOOKUP(C265,CU_ARS_2025_WOF_F2!$A$2:$K$673,3,FALSE)</f>
        <v>CU_ARS_2025_WOF_F2_7</v>
      </c>
      <c r="Q265" t="str">
        <f>VLOOKUP(C265,CU_ARS_2025_WOF_F2!$A$2:$K$673,4,FALSE)</f>
        <v>CU_ARS_2025_WOF_cross_83</v>
      </c>
      <c r="R265">
        <f>VLOOKUP(C265,CU_ARS_2025_WOF_F2!$A$2:$K$673,5,FALSE)</f>
        <v>7</v>
      </c>
      <c r="S265">
        <f>VLOOKUP(C265,CU_ARS_2025_WOF_F2!$A$2:$K$673,6,FALSE)</f>
        <v>1</v>
      </c>
      <c r="T265">
        <f>VLOOKUP(C265,CU_ARS_2025_WOF_F2!$A$2:$K$673,7,FALSE)</f>
        <v>0</v>
      </c>
      <c r="U265">
        <f>VLOOKUP(C265,CU_ARS_2025_WOF_F2!$A$2:$K$673,8,FALSE)</f>
        <v>1</v>
      </c>
      <c r="V265">
        <f>VLOOKUP(C265,CU_ARS_2025_WOF_F2!$A$2:$K$673,9,FALSE)</f>
        <v>0</v>
      </c>
      <c r="W265">
        <f>VLOOKUP(C265,CU_ARS_2025_WOF_F2!$A$2:$K$673,10,FALSE)</f>
        <v>0</v>
      </c>
      <c r="X265">
        <f>VLOOKUP(C265,CU_ARS_2025_WOF_F2!$A$2:$K$673,11,FALSE)</f>
        <v>6</v>
      </c>
      <c r="Y265" t="str">
        <f>VLOOKUP(Q265,cross_pedigree!$A$2:$B$23,2,FALSE)</f>
        <v>NC20-4452/SEGER|PI306405</v>
      </c>
    </row>
    <row r="266" spans="1:25" ht="18">
      <c r="A266" s="21" t="s">
        <v>15</v>
      </c>
      <c r="B266" s="21" t="s">
        <v>16</v>
      </c>
      <c r="C266" s="22">
        <v>753715</v>
      </c>
      <c r="D266" s="23">
        <v>3</v>
      </c>
      <c r="E266" s="24" t="str">
        <f t="shared" si="4"/>
        <v>CU_ARS_2025_WOF_F2_7_plant_7</v>
      </c>
      <c r="F266" s="21" t="s">
        <v>196</v>
      </c>
      <c r="G266" s="44" t="s">
        <v>197</v>
      </c>
      <c r="H266" s="42"/>
      <c r="I266" s="42" t="s">
        <v>1046</v>
      </c>
      <c r="J266" s="42" t="s">
        <v>1003</v>
      </c>
      <c r="K266" s="42"/>
      <c r="L266" s="42"/>
      <c r="M266" s="42"/>
      <c r="N266" t="str">
        <f>VLOOKUP(C266,CU_ARS_2025_WOF_F2!$A$2:$K$673,2,FALSE)</f>
        <v>CU_ARS_2025_WOF_F2_7_plant_7</v>
      </c>
      <c r="O266" t="str">
        <f>VLOOKUP(C266,CU_ARS_2025_WOF_F2!$A$2:$K$673,2,FALSE)</f>
        <v>CU_ARS_2025_WOF_F2_7_plant_7</v>
      </c>
      <c r="P266" t="str">
        <f>VLOOKUP(C266,CU_ARS_2025_WOF_F2!$A$2:$K$673,3,FALSE)</f>
        <v>CU_ARS_2025_WOF_F2_7</v>
      </c>
      <c r="Q266" t="str">
        <f>VLOOKUP(C266,CU_ARS_2025_WOF_F2!$A$2:$K$673,4,FALSE)</f>
        <v>CU_ARS_2025_WOF_cross_83</v>
      </c>
      <c r="R266">
        <f>VLOOKUP(C266,CU_ARS_2025_WOF_F2!$A$2:$K$673,5,FALSE)</f>
        <v>7</v>
      </c>
      <c r="S266">
        <f>VLOOKUP(C266,CU_ARS_2025_WOF_F2!$A$2:$K$673,6,FALSE)</f>
        <v>1</v>
      </c>
      <c r="T266">
        <f>VLOOKUP(C266,CU_ARS_2025_WOF_F2!$A$2:$K$673,7,FALSE)</f>
        <v>0</v>
      </c>
      <c r="U266">
        <f>VLOOKUP(C266,CU_ARS_2025_WOF_F2!$A$2:$K$673,8,FALSE)</f>
        <v>1</v>
      </c>
      <c r="V266">
        <f>VLOOKUP(C266,CU_ARS_2025_WOF_F2!$A$2:$K$673,9,FALSE)</f>
        <v>0</v>
      </c>
      <c r="W266">
        <f>VLOOKUP(C266,CU_ARS_2025_WOF_F2!$A$2:$K$673,10,FALSE)</f>
        <v>0</v>
      </c>
      <c r="X266">
        <f>VLOOKUP(C266,CU_ARS_2025_WOF_F2!$A$2:$K$673,11,FALSE)</f>
        <v>7</v>
      </c>
      <c r="Y266" t="str">
        <f>VLOOKUP(Q266,cross_pedigree!$A$2:$B$23,2,FALSE)</f>
        <v>NC20-4452/SEGER|PI306405</v>
      </c>
    </row>
    <row r="267" spans="1:25" ht="18">
      <c r="A267" s="21" t="s">
        <v>15</v>
      </c>
      <c r="B267" s="21" t="s">
        <v>16</v>
      </c>
      <c r="C267" s="22">
        <v>753722</v>
      </c>
      <c r="D267" s="23">
        <v>3</v>
      </c>
      <c r="E267" s="24" t="str">
        <f t="shared" si="4"/>
        <v>CU_ARS_2025_WOF_F2_7_plant_14</v>
      </c>
      <c r="F267" s="21" t="s">
        <v>198</v>
      </c>
      <c r="G267" s="44" t="s">
        <v>199</v>
      </c>
      <c r="H267" s="42"/>
      <c r="I267" s="42" t="s">
        <v>1046</v>
      </c>
      <c r="J267" s="42" t="s">
        <v>1003</v>
      </c>
      <c r="K267" s="42"/>
      <c r="L267" s="42"/>
      <c r="M267" s="42"/>
      <c r="N267" t="str">
        <f>VLOOKUP(C267,CU_ARS_2025_WOF_F2!$A$2:$K$673,2,FALSE)</f>
        <v>CU_ARS_2025_WOF_F2_7_plant_14</v>
      </c>
      <c r="O267" t="str">
        <f>VLOOKUP(C267,CU_ARS_2025_WOF_F2!$A$2:$K$673,2,FALSE)</f>
        <v>CU_ARS_2025_WOF_F2_7_plant_14</v>
      </c>
      <c r="P267" t="str">
        <f>VLOOKUP(C267,CU_ARS_2025_WOF_F2!$A$2:$K$673,3,FALSE)</f>
        <v>CU_ARS_2025_WOF_F2_7</v>
      </c>
      <c r="Q267" t="str">
        <f>VLOOKUP(C267,CU_ARS_2025_WOF_F2!$A$2:$K$673,4,FALSE)</f>
        <v>CU_ARS_2025_WOF_cross_83</v>
      </c>
      <c r="R267">
        <f>VLOOKUP(C267,CU_ARS_2025_WOF_F2!$A$2:$K$673,5,FALSE)</f>
        <v>7</v>
      </c>
      <c r="S267">
        <f>VLOOKUP(C267,CU_ARS_2025_WOF_F2!$A$2:$K$673,6,FALSE)</f>
        <v>1</v>
      </c>
      <c r="T267">
        <f>VLOOKUP(C267,CU_ARS_2025_WOF_F2!$A$2:$K$673,7,FALSE)</f>
        <v>0</v>
      </c>
      <c r="U267">
        <f>VLOOKUP(C267,CU_ARS_2025_WOF_F2!$A$2:$K$673,8,FALSE)</f>
        <v>1</v>
      </c>
      <c r="V267">
        <f>VLOOKUP(C267,CU_ARS_2025_WOF_F2!$A$2:$K$673,9,FALSE)</f>
        <v>0</v>
      </c>
      <c r="W267">
        <f>VLOOKUP(C267,CU_ARS_2025_WOF_F2!$A$2:$K$673,10,FALSE)</f>
        <v>0</v>
      </c>
      <c r="X267">
        <f>VLOOKUP(C267,CU_ARS_2025_WOF_F2!$A$2:$K$673,11,FALSE)</f>
        <v>14</v>
      </c>
      <c r="Y267" t="str">
        <f>VLOOKUP(Q267,cross_pedigree!$A$2:$B$23,2,FALSE)</f>
        <v>NC20-4452/SEGER|PI306405</v>
      </c>
    </row>
    <row r="268" spans="1:25" ht="18">
      <c r="A268" s="21" t="s">
        <v>15</v>
      </c>
      <c r="B268" s="21" t="s">
        <v>16</v>
      </c>
      <c r="C268" s="22">
        <v>753723</v>
      </c>
      <c r="D268" s="23">
        <v>3</v>
      </c>
      <c r="E268" s="24" t="str">
        <f t="shared" si="4"/>
        <v>CU_ARS_2025_WOF_F2_7_plant_15</v>
      </c>
      <c r="F268" s="21" t="s">
        <v>200</v>
      </c>
      <c r="G268" s="44" t="s">
        <v>201</v>
      </c>
      <c r="H268" s="42"/>
      <c r="I268" s="42" t="s">
        <v>1046</v>
      </c>
      <c r="J268" s="42" t="s">
        <v>1003</v>
      </c>
      <c r="K268" s="42"/>
      <c r="L268" s="42"/>
      <c r="M268" s="42"/>
      <c r="N268" t="str">
        <f>VLOOKUP(C268,CU_ARS_2025_WOF_F2!$A$2:$K$673,2,FALSE)</f>
        <v>CU_ARS_2025_WOF_F2_7_plant_15</v>
      </c>
      <c r="O268" t="str">
        <f>VLOOKUP(C268,CU_ARS_2025_WOF_F2!$A$2:$K$673,2,FALSE)</f>
        <v>CU_ARS_2025_WOF_F2_7_plant_15</v>
      </c>
      <c r="P268" t="str">
        <f>VLOOKUP(C268,CU_ARS_2025_WOF_F2!$A$2:$K$673,3,FALSE)</f>
        <v>CU_ARS_2025_WOF_F2_7</v>
      </c>
      <c r="Q268" t="str">
        <f>VLOOKUP(C268,CU_ARS_2025_WOF_F2!$A$2:$K$673,4,FALSE)</f>
        <v>CU_ARS_2025_WOF_cross_83</v>
      </c>
      <c r="R268">
        <f>VLOOKUP(C268,CU_ARS_2025_WOF_F2!$A$2:$K$673,5,FALSE)</f>
        <v>7</v>
      </c>
      <c r="S268">
        <f>VLOOKUP(C268,CU_ARS_2025_WOF_F2!$A$2:$K$673,6,FALSE)</f>
        <v>1</v>
      </c>
      <c r="T268">
        <f>VLOOKUP(C268,CU_ARS_2025_WOF_F2!$A$2:$K$673,7,FALSE)</f>
        <v>0</v>
      </c>
      <c r="U268">
        <f>VLOOKUP(C268,CU_ARS_2025_WOF_F2!$A$2:$K$673,8,FALSE)</f>
        <v>1</v>
      </c>
      <c r="V268">
        <f>VLOOKUP(C268,CU_ARS_2025_WOF_F2!$A$2:$K$673,9,FALSE)</f>
        <v>0</v>
      </c>
      <c r="W268">
        <f>VLOOKUP(C268,CU_ARS_2025_WOF_F2!$A$2:$K$673,10,FALSE)</f>
        <v>0</v>
      </c>
      <c r="X268">
        <f>VLOOKUP(C268,CU_ARS_2025_WOF_F2!$A$2:$K$673,11,FALSE)</f>
        <v>15</v>
      </c>
      <c r="Y268" t="str">
        <f>VLOOKUP(Q268,cross_pedigree!$A$2:$B$23,2,FALSE)</f>
        <v>NC20-4452/SEGER|PI306405</v>
      </c>
    </row>
    <row r="269" spans="1:25" ht="18">
      <c r="A269" s="21" t="s">
        <v>15</v>
      </c>
      <c r="B269" s="21" t="s">
        <v>16</v>
      </c>
      <c r="C269" s="22">
        <v>753716</v>
      </c>
      <c r="D269" s="23">
        <v>3</v>
      </c>
      <c r="E269" s="24" t="str">
        <f t="shared" si="4"/>
        <v>CU_ARS_2025_WOF_F2_7_plant_8</v>
      </c>
      <c r="F269" s="21" t="s">
        <v>202</v>
      </c>
      <c r="G269" s="44" t="s">
        <v>203</v>
      </c>
      <c r="H269" s="42"/>
      <c r="I269" s="42" t="s">
        <v>1046</v>
      </c>
      <c r="J269" s="42" t="s">
        <v>1003</v>
      </c>
      <c r="K269" s="42"/>
      <c r="L269" s="42"/>
      <c r="M269" s="42"/>
      <c r="N269" t="str">
        <f>VLOOKUP(C269,CU_ARS_2025_WOF_F2!$A$2:$K$673,2,FALSE)</f>
        <v>CU_ARS_2025_WOF_F2_7_plant_8</v>
      </c>
      <c r="O269" t="str">
        <f>VLOOKUP(C269,CU_ARS_2025_WOF_F2!$A$2:$K$673,2,FALSE)</f>
        <v>CU_ARS_2025_WOF_F2_7_plant_8</v>
      </c>
      <c r="P269" t="str">
        <f>VLOOKUP(C269,CU_ARS_2025_WOF_F2!$A$2:$K$673,3,FALSE)</f>
        <v>CU_ARS_2025_WOF_F2_7</v>
      </c>
      <c r="Q269" t="str">
        <f>VLOOKUP(C269,CU_ARS_2025_WOF_F2!$A$2:$K$673,4,FALSE)</f>
        <v>CU_ARS_2025_WOF_cross_83</v>
      </c>
      <c r="R269">
        <f>VLOOKUP(C269,CU_ARS_2025_WOF_F2!$A$2:$K$673,5,FALSE)</f>
        <v>7</v>
      </c>
      <c r="S269">
        <f>VLOOKUP(C269,CU_ARS_2025_WOF_F2!$A$2:$K$673,6,FALSE)</f>
        <v>1</v>
      </c>
      <c r="T269">
        <f>VLOOKUP(C269,CU_ARS_2025_WOF_F2!$A$2:$K$673,7,FALSE)</f>
        <v>0</v>
      </c>
      <c r="U269">
        <f>VLOOKUP(C269,CU_ARS_2025_WOF_F2!$A$2:$K$673,8,FALSE)</f>
        <v>1</v>
      </c>
      <c r="V269">
        <f>VLOOKUP(C269,CU_ARS_2025_WOF_F2!$A$2:$K$673,9,FALSE)</f>
        <v>0</v>
      </c>
      <c r="W269">
        <f>VLOOKUP(C269,CU_ARS_2025_WOF_F2!$A$2:$K$673,10,FALSE)</f>
        <v>0</v>
      </c>
      <c r="X269">
        <f>VLOOKUP(C269,CU_ARS_2025_WOF_F2!$A$2:$K$673,11,FALSE)</f>
        <v>8</v>
      </c>
      <c r="Y269" t="str">
        <f>VLOOKUP(Q269,cross_pedigree!$A$2:$B$23,2,FALSE)</f>
        <v>NC20-4452/SEGER|PI306405</v>
      </c>
    </row>
    <row r="270" spans="1:25" ht="18">
      <c r="A270" s="21" t="s">
        <v>15</v>
      </c>
      <c r="B270" s="21" t="s">
        <v>16</v>
      </c>
      <c r="C270" s="22">
        <v>753724</v>
      </c>
      <c r="D270" s="23">
        <v>3</v>
      </c>
      <c r="E270" s="24" t="str">
        <f t="shared" si="4"/>
        <v>CU_ARS_2025_WOF_F2_7_plant_16</v>
      </c>
      <c r="F270" s="21" t="s">
        <v>204</v>
      </c>
      <c r="G270" s="44" t="s">
        <v>205</v>
      </c>
      <c r="H270" s="42"/>
      <c r="I270" s="42" t="s">
        <v>1046</v>
      </c>
      <c r="J270" s="42" t="s">
        <v>1003</v>
      </c>
      <c r="K270" s="42"/>
      <c r="L270" s="42"/>
      <c r="M270" s="42"/>
      <c r="N270" t="str">
        <f>VLOOKUP(C270,CU_ARS_2025_WOF_F2!$A$2:$K$673,2,FALSE)</f>
        <v>CU_ARS_2025_WOF_F2_7_plant_16</v>
      </c>
      <c r="O270" t="str">
        <f>VLOOKUP(C270,CU_ARS_2025_WOF_F2!$A$2:$K$673,2,FALSE)</f>
        <v>CU_ARS_2025_WOF_F2_7_plant_16</v>
      </c>
      <c r="P270" t="str">
        <f>VLOOKUP(C270,CU_ARS_2025_WOF_F2!$A$2:$K$673,3,FALSE)</f>
        <v>CU_ARS_2025_WOF_F2_7</v>
      </c>
      <c r="Q270" t="str">
        <f>VLOOKUP(C270,CU_ARS_2025_WOF_F2!$A$2:$K$673,4,FALSE)</f>
        <v>CU_ARS_2025_WOF_cross_83</v>
      </c>
      <c r="R270">
        <f>VLOOKUP(C270,CU_ARS_2025_WOF_F2!$A$2:$K$673,5,FALSE)</f>
        <v>7</v>
      </c>
      <c r="S270">
        <f>VLOOKUP(C270,CU_ARS_2025_WOF_F2!$A$2:$K$673,6,FALSE)</f>
        <v>1</v>
      </c>
      <c r="T270">
        <f>VLOOKUP(C270,CU_ARS_2025_WOF_F2!$A$2:$K$673,7,FALSE)</f>
        <v>0</v>
      </c>
      <c r="U270">
        <f>VLOOKUP(C270,CU_ARS_2025_WOF_F2!$A$2:$K$673,8,FALSE)</f>
        <v>1</v>
      </c>
      <c r="V270">
        <f>VLOOKUP(C270,CU_ARS_2025_WOF_F2!$A$2:$K$673,9,FALSE)</f>
        <v>0</v>
      </c>
      <c r="W270">
        <f>VLOOKUP(C270,CU_ARS_2025_WOF_F2!$A$2:$K$673,10,FALSE)</f>
        <v>0</v>
      </c>
      <c r="X270">
        <f>VLOOKUP(C270,CU_ARS_2025_WOF_F2!$A$2:$K$673,11,FALSE)</f>
        <v>16</v>
      </c>
      <c r="Y270" t="str">
        <f>VLOOKUP(Q270,cross_pedigree!$A$2:$B$23,2,FALSE)</f>
        <v>NC20-4452/SEGER|PI306405</v>
      </c>
    </row>
    <row r="271" spans="1:25" ht="18">
      <c r="A271" s="21" t="s">
        <v>15</v>
      </c>
      <c r="B271" s="21" t="s">
        <v>16</v>
      </c>
      <c r="C271" s="22">
        <v>753740</v>
      </c>
      <c r="D271" s="23">
        <v>3</v>
      </c>
      <c r="E271" s="24" t="str">
        <f t="shared" si="4"/>
        <v>CU_ARS_2025_WOF_F2_7_plant_32</v>
      </c>
      <c r="F271" s="21" t="s">
        <v>206</v>
      </c>
      <c r="G271" s="44" t="s">
        <v>207</v>
      </c>
      <c r="H271" s="42"/>
      <c r="I271" s="42" t="s">
        <v>1046</v>
      </c>
      <c r="J271" s="42" t="s">
        <v>1003</v>
      </c>
      <c r="K271" s="42"/>
      <c r="L271" s="42"/>
      <c r="M271" s="42"/>
      <c r="N271" t="str">
        <f>VLOOKUP(C271,CU_ARS_2025_WOF_F2!$A$2:$K$673,2,FALSE)</f>
        <v>CU_ARS_2025_WOF_F2_7_plant_32</v>
      </c>
      <c r="O271" t="str">
        <f>VLOOKUP(C271,CU_ARS_2025_WOF_F2!$A$2:$K$673,2,FALSE)</f>
        <v>CU_ARS_2025_WOF_F2_7_plant_32</v>
      </c>
      <c r="P271" t="str">
        <f>VLOOKUP(C271,CU_ARS_2025_WOF_F2!$A$2:$K$673,3,FALSE)</f>
        <v>CU_ARS_2025_WOF_F2_7</v>
      </c>
      <c r="Q271" t="str">
        <f>VLOOKUP(C271,CU_ARS_2025_WOF_F2!$A$2:$K$673,4,FALSE)</f>
        <v>CU_ARS_2025_WOF_cross_83</v>
      </c>
      <c r="R271">
        <f>VLOOKUP(C271,CU_ARS_2025_WOF_F2!$A$2:$K$673,5,FALSE)</f>
        <v>7</v>
      </c>
      <c r="S271">
        <f>VLOOKUP(C271,CU_ARS_2025_WOF_F2!$A$2:$K$673,6,FALSE)</f>
        <v>1</v>
      </c>
      <c r="T271">
        <f>VLOOKUP(C271,CU_ARS_2025_WOF_F2!$A$2:$K$673,7,FALSE)</f>
        <v>0</v>
      </c>
      <c r="U271">
        <f>VLOOKUP(C271,CU_ARS_2025_WOF_F2!$A$2:$K$673,8,FALSE)</f>
        <v>1</v>
      </c>
      <c r="V271">
        <f>VLOOKUP(C271,CU_ARS_2025_WOF_F2!$A$2:$K$673,9,FALSE)</f>
        <v>0</v>
      </c>
      <c r="W271">
        <f>VLOOKUP(C271,CU_ARS_2025_WOF_F2!$A$2:$K$673,10,FALSE)</f>
        <v>0</v>
      </c>
      <c r="X271">
        <f>VLOOKUP(C271,CU_ARS_2025_WOF_F2!$A$2:$K$673,11,FALSE)</f>
        <v>32</v>
      </c>
      <c r="Y271" t="str">
        <f>VLOOKUP(Q271,cross_pedigree!$A$2:$B$23,2,FALSE)</f>
        <v>NC20-4452/SEGER|PI306405</v>
      </c>
    </row>
    <row r="272" spans="1:25" ht="18">
      <c r="A272" s="21" t="s">
        <v>15</v>
      </c>
      <c r="B272" s="21" t="s">
        <v>16</v>
      </c>
      <c r="C272" s="22">
        <v>753739</v>
      </c>
      <c r="D272" s="23">
        <v>3</v>
      </c>
      <c r="E272" s="24" t="str">
        <f t="shared" si="4"/>
        <v>CU_ARS_2025_WOF_F2_7_plant_31</v>
      </c>
      <c r="F272" s="21" t="s">
        <v>91</v>
      </c>
      <c r="G272" s="44" t="s">
        <v>208</v>
      </c>
      <c r="H272" s="42"/>
      <c r="I272" s="42" t="s">
        <v>1046</v>
      </c>
      <c r="J272" s="42" t="s">
        <v>1003</v>
      </c>
      <c r="K272" s="42"/>
      <c r="L272" s="42"/>
      <c r="M272" s="42"/>
      <c r="N272" t="str">
        <f>VLOOKUP(C272,CU_ARS_2025_WOF_F2!$A$2:$K$673,2,FALSE)</f>
        <v>CU_ARS_2025_WOF_F2_7_plant_31</v>
      </c>
      <c r="O272" t="str">
        <f>VLOOKUP(C272,CU_ARS_2025_WOF_F2!$A$2:$K$673,2,FALSE)</f>
        <v>CU_ARS_2025_WOF_F2_7_plant_31</v>
      </c>
      <c r="P272" t="str">
        <f>VLOOKUP(C272,CU_ARS_2025_WOF_F2!$A$2:$K$673,3,FALSE)</f>
        <v>CU_ARS_2025_WOF_F2_7</v>
      </c>
      <c r="Q272" t="str">
        <f>VLOOKUP(C272,CU_ARS_2025_WOF_F2!$A$2:$K$673,4,FALSE)</f>
        <v>CU_ARS_2025_WOF_cross_83</v>
      </c>
      <c r="R272">
        <f>VLOOKUP(C272,CU_ARS_2025_WOF_F2!$A$2:$K$673,5,FALSE)</f>
        <v>7</v>
      </c>
      <c r="S272">
        <f>VLOOKUP(C272,CU_ARS_2025_WOF_F2!$A$2:$K$673,6,FALSE)</f>
        <v>1</v>
      </c>
      <c r="T272">
        <f>VLOOKUP(C272,CU_ARS_2025_WOF_F2!$A$2:$K$673,7,FALSE)</f>
        <v>0</v>
      </c>
      <c r="U272">
        <f>VLOOKUP(C272,CU_ARS_2025_WOF_F2!$A$2:$K$673,8,FALSE)</f>
        <v>1</v>
      </c>
      <c r="V272">
        <f>VLOOKUP(C272,CU_ARS_2025_WOF_F2!$A$2:$K$673,9,FALSE)</f>
        <v>0</v>
      </c>
      <c r="W272">
        <f>VLOOKUP(C272,CU_ARS_2025_WOF_F2!$A$2:$K$673,10,FALSE)</f>
        <v>0</v>
      </c>
      <c r="X272">
        <f>VLOOKUP(C272,CU_ARS_2025_WOF_F2!$A$2:$K$673,11,FALSE)</f>
        <v>31</v>
      </c>
      <c r="Y272" t="str">
        <f>VLOOKUP(Q272,cross_pedigree!$A$2:$B$23,2,FALSE)</f>
        <v>NC20-4452/SEGER|PI306405</v>
      </c>
    </row>
    <row r="273" spans="1:25" ht="18">
      <c r="A273" s="21" t="s">
        <v>15</v>
      </c>
      <c r="B273" s="21" t="s">
        <v>16</v>
      </c>
      <c r="C273" s="22">
        <v>753738</v>
      </c>
      <c r="D273" s="23">
        <v>3</v>
      </c>
      <c r="E273" s="24" t="str">
        <f t="shared" si="4"/>
        <v>CU_ARS_2025_WOF_F2_7_plant_30</v>
      </c>
      <c r="F273" s="21" t="s">
        <v>92</v>
      </c>
      <c r="G273" s="44" t="s">
        <v>209</v>
      </c>
      <c r="H273" s="42"/>
      <c r="I273" s="42" t="s">
        <v>1046</v>
      </c>
      <c r="J273" s="42" t="s">
        <v>1003</v>
      </c>
      <c r="K273" s="42"/>
      <c r="L273" s="42"/>
      <c r="M273" s="42"/>
      <c r="N273" t="str">
        <f>VLOOKUP(C273,CU_ARS_2025_WOF_F2!$A$2:$K$673,2,FALSE)</f>
        <v>CU_ARS_2025_WOF_F2_7_plant_30</v>
      </c>
      <c r="O273" t="str">
        <f>VLOOKUP(C273,CU_ARS_2025_WOF_F2!$A$2:$K$673,2,FALSE)</f>
        <v>CU_ARS_2025_WOF_F2_7_plant_30</v>
      </c>
      <c r="P273" t="str">
        <f>VLOOKUP(C273,CU_ARS_2025_WOF_F2!$A$2:$K$673,3,FALSE)</f>
        <v>CU_ARS_2025_WOF_F2_7</v>
      </c>
      <c r="Q273" t="str">
        <f>VLOOKUP(C273,CU_ARS_2025_WOF_F2!$A$2:$K$673,4,FALSE)</f>
        <v>CU_ARS_2025_WOF_cross_83</v>
      </c>
      <c r="R273">
        <f>VLOOKUP(C273,CU_ARS_2025_WOF_F2!$A$2:$K$673,5,FALSE)</f>
        <v>7</v>
      </c>
      <c r="S273">
        <f>VLOOKUP(C273,CU_ARS_2025_WOF_F2!$A$2:$K$673,6,FALSE)</f>
        <v>1</v>
      </c>
      <c r="T273">
        <f>VLOOKUP(C273,CU_ARS_2025_WOF_F2!$A$2:$K$673,7,FALSE)</f>
        <v>0</v>
      </c>
      <c r="U273">
        <f>VLOOKUP(C273,CU_ARS_2025_WOF_F2!$A$2:$K$673,8,FALSE)</f>
        <v>1</v>
      </c>
      <c r="V273">
        <f>VLOOKUP(C273,CU_ARS_2025_WOF_F2!$A$2:$K$673,9,FALSE)</f>
        <v>0</v>
      </c>
      <c r="W273">
        <f>VLOOKUP(C273,CU_ARS_2025_WOF_F2!$A$2:$K$673,10,FALSE)</f>
        <v>0</v>
      </c>
      <c r="X273">
        <f>VLOOKUP(C273,CU_ARS_2025_WOF_F2!$A$2:$K$673,11,FALSE)</f>
        <v>30</v>
      </c>
      <c r="Y273" t="str">
        <f>VLOOKUP(Q273,cross_pedigree!$A$2:$B$23,2,FALSE)</f>
        <v>NC20-4452/SEGER|PI306405</v>
      </c>
    </row>
    <row r="274" spans="1:25" ht="18">
      <c r="A274" s="21" t="s">
        <v>15</v>
      </c>
      <c r="B274" s="21" t="s">
        <v>16</v>
      </c>
      <c r="C274" s="22">
        <v>753730</v>
      </c>
      <c r="D274" s="23">
        <v>3</v>
      </c>
      <c r="E274" s="24" t="str">
        <f t="shared" si="4"/>
        <v>CU_ARS_2025_WOF_F2_7_plant_22</v>
      </c>
      <c r="F274" s="21" t="s">
        <v>93</v>
      </c>
      <c r="G274" s="44" t="s">
        <v>210</v>
      </c>
      <c r="H274" s="42"/>
      <c r="I274" s="42" t="s">
        <v>1046</v>
      </c>
      <c r="J274" s="42" t="s">
        <v>1003</v>
      </c>
      <c r="K274" s="42"/>
      <c r="L274" s="42"/>
      <c r="M274" s="42"/>
      <c r="N274" t="str">
        <f>VLOOKUP(C274,CU_ARS_2025_WOF_F2!$A$2:$K$673,2,FALSE)</f>
        <v>CU_ARS_2025_WOF_F2_7_plant_22</v>
      </c>
      <c r="O274" t="str">
        <f>VLOOKUP(C274,CU_ARS_2025_WOF_F2!$A$2:$K$673,2,FALSE)</f>
        <v>CU_ARS_2025_WOF_F2_7_plant_22</v>
      </c>
      <c r="P274" t="str">
        <f>VLOOKUP(C274,CU_ARS_2025_WOF_F2!$A$2:$K$673,3,FALSE)</f>
        <v>CU_ARS_2025_WOF_F2_7</v>
      </c>
      <c r="Q274" t="str">
        <f>VLOOKUP(C274,CU_ARS_2025_WOF_F2!$A$2:$K$673,4,FALSE)</f>
        <v>CU_ARS_2025_WOF_cross_83</v>
      </c>
      <c r="R274">
        <f>VLOOKUP(C274,CU_ARS_2025_WOF_F2!$A$2:$K$673,5,FALSE)</f>
        <v>7</v>
      </c>
      <c r="S274">
        <f>VLOOKUP(C274,CU_ARS_2025_WOF_F2!$A$2:$K$673,6,FALSE)</f>
        <v>1</v>
      </c>
      <c r="T274">
        <f>VLOOKUP(C274,CU_ARS_2025_WOF_F2!$A$2:$K$673,7,FALSE)</f>
        <v>0</v>
      </c>
      <c r="U274">
        <f>VLOOKUP(C274,CU_ARS_2025_WOF_F2!$A$2:$K$673,8,FALSE)</f>
        <v>1</v>
      </c>
      <c r="V274">
        <f>VLOOKUP(C274,CU_ARS_2025_WOF_F2!$A$2:$K$673,9,FALSE)</f>
        <v>0</v>
      </c>
      <c r="W274">
        <f>VLOOKUP(C274,CU_ARS_2025_WOF_F2!$A$2:$K$673,10,FALSE)</f>
        <v>0</v>
      </c>
      <c r="X274">
        <f>VLOOKUP(C274,CU_ARS_2025_WOF_F2!$A$2:$K$673,11,FALSE)</f>
        <v>22</v>
      </c>
      <c r="Y274" t="str">
        <f>VLOOKUP(Q274,cross_pedigree!$A$2:$B$23,2,FALSE)</f>
        <v>NC20-4452/SEGER|PI306405</v>
      </c>
    </row>
    <row r="275" spans="1:25" ht="18">
      <c r="A275" s="21" t="s">
        <v>15</v>
      </c>
      <c r="B275" s="21" t="s">
        <v>16</v>
      </c>
      <c r="C275" s="22">
        <v>753731</v>
      </c>
      <c r="D275" s="23">
        <v>3</v>
      </c>
      <c r="E275" s="24" t="str">
        <f t="shared" si="4"/>
        <v>CU_ARS_2025_WOF_F2_7_plant_23</v>
      </c>
      <c r="F275" s="21" t="s">
        <v>94</v>
      </c>
      <c r="G275" s="44" t="s">
        <v>211</v>
      </c>
      <c r="H275" s="42"/>
      <c r="I275" s="42" t="s">
        <v>1046</v>
      </c>
      <c r="J275" s="42" t="s">
        <v>1003</v>
      </c>
      <c r="K275" s="42"/>
      <c r="L275" s="42"/>
      <c r="M275" s="42"/>
      <c r="N275" t="str">
        <f>VLOOKUP(C275,CU_ARS_2025_WOF_F2!$A$2:$K$673,2,FALSE)</f>
        <v>CU_ARS_2025_WOF_F2_7_plant_23</v>
      </c>
      <c r="O275" t="str">
        <f>VLOOKUP(C275,CU_ARS_2025_WOF_F2!$A$2:$K$673,2,FALSE)</f>
        <v>CU_ARS_2025_WOF_F2_7_plant_23</v>
      </c>
      <c r="P275" t="str">
        <f>VLOOKUP(C275,CU_ARS_2025_WOF_F2!$A$2:$K$673,3,FALSE)</f>
        <v>CU_ARS_2025_WOF_F2_7</v>
      </c>
      <c r="Q275" t="str">
        <f>VLOOKUP(C275,CU_ARS_2025_WOF_F2!$A$2:$K$673,4,FALSE)</f>
        <v>CU_ARS_2025_WOF_cross_83</v>
      </c>
      <c r="R275">
        <f>VLOOKUP(C275,CU_ARS_2025_WOF_F2!$A$2:$K$673,5,FALSE)</f>
        <v>7</v>
      </c>
      <c r="S275">
        <f>VLOOKUP(C275,CU_ARS_2025_WOF_F2!$A$2:$K$673,6,FALSE)</f>
        <v>1</v>
      </c>
      <c r="T275">
        <f>VLOOKUP(C275,CU_ARS_2025_WOF_F2!$A$2:$K$673,7,FALSE)</f>
        <v>0</v>
      </c>
      <c r="U275">
        <f>VLOOKUP(C275,CU_ARS_2025_WOF_F2!$A$2:$K$673,8,FALSE)</f>
        <v>1</v>
      </c>
      <c r="V275">
        <f>VLOOKUP(C275,CU_ARS_2025_WOF_F2!$A$2:$K$673,9,FALSE)</f>
        <v>0</v>
      </c>
      <c r="W275">
        <f>VLOOKUP(C275,CU_ARS_2025_WOF_F2!$A$2:$K$673,10,FALSE)</f>
        <v>0</v>
      </c>
      <c r="X275">
        <f>VLOOKUP(C275,CU_ARS_2025_WOF_F2!$A$2:$K$673,11,FALSE)</f>
        <v>23</v>
      </c>
      <c r="Y275" t="str">
        <f>VLOOKUP(Q275,cross_pedigree!$A$2:$B$23,2,FALSE)</f>
        <v>NC20-4452/SEGER|PI306405</v>
      </c>
    </row>
    <row r="276" spans="1:25" ht="18">
      <c r="A276" s="21" t="s">
        <v>15</v>
      </c>
      <c r="B276" s="21" t="s">
        <v>16</v>
      </c>
      <c r="C276" s="22">
        <v>753732</v>
      </c>
      <c r="D276" s="23">
        <v>3</v>
      </c>
      <c r="E276" s="24" t="str">
        <f t="shared" si="4"/>
        <v>CU_ARS_2025_WOF_F2_7_plant_24</v>
      </c>
      <c r="F276" s="21" t="s">
        <v>49</v>
      </c>
      <c r="G276" s="44" t="s">
        <v>50</v>
      </c>
      <c r="H276" s="42"/>
      <c r="I276" s="42" t="s">
        <v>1046</v>
      </c>
      <c r="J276" s="42" t="s">
        <v>1003</v>
      </c>
      <c r="K276" s="42"/>
      <c r="L276" s="42"/>
      <c r="M276" s="42"/>
      <c r="N276" t="str">
        <f>VLOOKUP(C276,CU_ARS_2025_WOF_F2!$A$2:$K$673,2,FALSE)</f>
        <v>CU_ARS_2025_WOF_F2_7_plant_24</v>
      </c>
      <c r="O276" t="str">
        <f>VLOOKUP(C276,CU_ARS_2025_WOF_F2!$A$2:$K$673,2,FALSE)</f>
        <v>CU_ARS_2025_WOF_F2_7_plant_24</v>
      </c>
      <c r="P276" t="str">
        <f>VLOOKUP(C276,CU_ARS_2025_WOF_F2!$A$2:$K$673,3,FALSE)</f>
        <v>CU_ARS_2025_WOF_F2_7</v>
      </c>
      <c r="Q276" t="str">
        <f>VLOOKUP(C276,CU_ARS_2025_WOF_F2!$A$2:$K$673,4,FALSE)</f>
        <v>CU_ARS_2025_WOF_cross_83</v>
      </c>
      <c r="R276">
        <f>VLOOKUP(C276,CU_ARS_2025_WOF_F2!$A$2:$K$673,5,FALSE)</f>
        <v>7</v>
      </c>
      <c r="S276">
        <f>VLOOKUP(C276,CU_ARS_2025_WOF_F2!$A$2:$K$673,6,FALSE)</f>
        <v>1</v>
      </c>
      <c r="T276">
        <f>VLOOKUP(C276,CU_ARS_2025_WOF_F2!$A$2:$K$673,7,FALSE)</f>
        <v>0</v>
      </c>
      <c r="U276">
        <f>VLOOKUP(C276,CU_ARS_2025_WOF_F2!$A$2:$K$673,8,FALSE)</f>
        <v>1</v>
      </c>
      <c r="V276">
        <f>VLOOKUP(C276,CU_ARS_2025_WOF_F2!$A$2:$K$673,9,FALSE)</f>
        <v>0</v>
      </c>
      <c r="W276">
        <f>VLOOKUP(C276,CU_ARS_2025_WOF_F2!$A$2:$K$673,10,FALSE)</f>
        <v>0</v>
      </c>
      <c r="X276">
        <f>VLOOKUP(C276,CU_ARS_2025_WOF_F2!$A$2:$K$673,11,FALSE)</f>
        <v>24</v>
      </c>
      <c r="Y276" t="str">
        <f>VLOOKUP(Q276,cross_pedigree!$A$2:$B$23,2,FALSE)</f>
        <v>NC20-4452/SEGER|PI306405</v>
      </c>
    </row>
    <row r="277" spans="1:25" ht="18">
      <c r="A277" s="21" t="s">
        <v>15</v>
      </c>
      <c r="B277" s="21" t="s">
        <v>16</v>
      </c>
      <c r="C277" s="22">
        <v>753741</v>
      </c>
      <c r="D277" s="23">
        <v>3</v>
      </c>
      <c r="E277" s="24" t="str">
        <f t="shared" si="4"/>
        <v>CU_ARS_2025_WOF_F2_7_plant_33</v>
      </c>
      <c r="F277" s="21" t="s">
        <v>51</v>
      </c>
      <c r="G277" s="44" t="s">
        <v>52</v>
      </c>
      <c r="H277" s="42"/>
      <c r="I277" s="42" t="s">
        <v>1046</v>
      </c>
      <c r="J277" s="42" t="s">
        <v>1003</v>
      </c>
      <c r="K277" s="42"/>
      <c r="L277" s="42"/>
      <c r="M277" s="42"/>
      <c r="N277" t="str">
        <f>VLOOKUP(C277,CU_ARS_2025_WOF_F2!$A$2:$K$673,2,FALSE)</f>
        <v>CU_ARS_2025_WOF_F2_7_plant_33</v>
      </c>
      <c r="O277" t="str">
        <f>VLOOKUP(C277,CU_ARS_2025_WOF_F2!$A$2:$K$673,2,FALSE)</f>
        <v>CU_ARS_2025_WOF_F2_7_plant_33</v>
      </c>
      <c r="P277" t="str">
        <f>VLOOKUP(C277,CU_ARS_2025_WOF_F2!$A$2:$K$673,3,FALSE)</f>
        <v>CU_ARS_2025_WOF_F2_7</v>
      </c>
      <c r="Q277" t="str">
        <f>VLOOKUP(C277,CU_ARS_2025_WOF_F2!$A$2:$K$673,4,FALSE)</f>
        <v>CU_ARS_2025_WOF_cross_83</v>
      </c>
      <c r="R277">
        <f>VLOOKUP(C277,CU_ARS_2025_WOF_F2!$A$2:$K$673,5,FALSE)</f>
        <v>7</v>
      </c>
      <c r="S277">
        <f>VLOOKUP(C277,CU_ARS_2025_WOF_F2!$A$2:$K$673,6,FALSE)</f>
        <v>1</v>
      </c>
      <c r="T277">
        <f>VLOOKUP(C277,CU_ARS_2025_WOF_F2!$A$2:$K$673,7,FALSE)</f>
        <v>0</v>
      </c>
      <c r="U277">
        <f>VLOOKUP(C277,CU_ARS_2025_WOF_F2!$A$2:$K$673,8,FALSE)</f>
        <v>1</v>
      </c>
      <c r="V277">
        <f>VLOOKUP(C277,CU_ARS_2025_WOF_F2!$A$2:$K$673,9,FALSE)</f>
        <v>0</v>
      </c>
      <c r="W277">
        <f>VLOOKUP(C277,CU_ARS_2025_WOF_F2!$A$2:$K$673,10,FALSE)</f>
        <v>0</v>
      </c>
      <c r="X277">
        <f>VLOOKUP(C277,CU_ARS_2025_WOF_F2!$A$2:$K$673,11,FALSE)</f>
        <v>33</v>
      </c>
      <c r="Y277" t="str">
        <f>VLOOKUP(Q277,cross_pedigree!$A$2:$B$23,2,FALSE)</f>
        <v>NC20-4452/SEGER|PI306405</v>
      </c>
    </row>
    <row r="278" spans="1:25" ht="18">
      <c r="A278" s="21" t="s">
        <v>15</v>
      </c>
      <c r="B278" s="21" t="s">
        <v>16</v>
      </c>
      <c r="C278" s="22">
        <v>753749</v>
      </c>
      <c r="D278" s="23">
        <v>3</v>
      </c>
      <c r="E278" s="24" t="str">
        <f t="shared" si="4"/>
        <v>CU_ARS_2025_WOF_F2_7_plant_41</v>
      </c>
      <c r="F278" s="21" t="s">
        <v>95</v>
      </c>
      <c r="G278" s="44" t="s">
        <v>212</v>
      </c>
      <c r="H278" s="42"/>
      <c r="I278" s="42" t="s">
        <v>1046</v>
      </c>
      <c r="J278" s="42" t="s">
        <v>1003</v>
      </c>
      <c r="K278" s="42"/>
      <c r="L278" s="42"/>
      <c r="M278" s="42"/>
      <c r="N278" t="str">
        <f>VLOOKUP(C278,CU_ARS_2025_WOF_F2!$A$2:$K$673,2,FALSE)</f>
        <v>CU_ARS_2025_WOF_F2_7_plant_41</v>
      </c>
      <c r="O278" t="str">
        <f>VLOOKUP(C278,CU_ARS_2025_WOF_F2!$A$2:$K$673,2,FALSE)</f>
        <v>CU_ARS_2025_WOF_F2_7_plant_41</v>
      </c>
      <c r="P278" t="str">
        <f>VLOOKUP(C278,CU_ARS_2025_WOF_F2!$A$2:$K$673,3,FALSE)</f>
        <v>CU_ARS_2025_WOF_F2_7</v>
      </c>
      <c r="Q278" t="str">
        <f>VLOOKUP(C278,CU_ARS_2025_WOF_F2!$A$2:$K$673,4,FALSE)</f>
        <v>CU_ARS_2025_WOF_cross_83</v>
      </c>
      <c r="R278">
        <f>VLOOKUP(C278,CU_ARS_2025_WOF_F2!$A$2:$K$673,5,FALSE)</f>
        <v>7</v>
      </c>
      <c r="S278">
        <f>VLOOKUP(C278,CU_ARS_2025_WOF_F2!$A$2:$K$673,6,FALSE)</f>
        <v>1</v>
      </c>
      <c r="T278">
        <f>VLOOKUP(C278,CU_ARS_2025_WOF_F2!$A$2:$K$673,7,FALSE)</f>
        <v>0</v>
      </c>
      <c r="U278">
        <f>VLOOKUP(C278,CU_ARS_2025_WOF_F2!$A$2:$K$673,8,FALSE)</f>
        <v>1</v>
      </c>
      <c r="V278">
        <f>VLOOKUP(C278,CU_ARS_2025_WOF_F2!$A$2:$K$673,9,FALSE)</f>
        <v>0</v>
      </c>
      <c r="W278">
        <f>VLOOKUP(C278,CU_ARS_2025_WOF_F2!$A$2:$K$673,10,FALSE)</f>
        <v>0</v>
      </c>
      <c r="X278">
        <f>VLOOKUP(C278,CU_ARS_2025_WOF_F2!$A$2:$K$673,11,FALSE)</f>
        <v>41</v>
      </c>
      <c r="Y278" t="str">
        <f>VLOOKUP(Q278,cross_pedigree!$A$2:$B$23,2,FALSE)</f>
        <v>NC20-4452/SEGER|PI306405</v>
      </c>
    </row>
    <row r="279" spans="1:25" ht="18">
      <c r="A279" s="21" t="s">
        <v>15</v>
      </c>
      <c r="B279" s="21" t="s">
        <v>16</v>
      </c>
      <c r="C279" s="22">
        <v>753742</v>
      </c>
      <c r="D279" s="23">
        <v>3</v>
      </c>
      <c r="E279" s="24" t="str">
        <f t="shared" si="4"/>
        <v>CU_ARS_2025_WOF_F2_7_plant_34</v>
      </c>
      <c r="F279" s="21" t="s">
        <v>53</v>
      </c>
      <c r="G279" s="44" t="s">
        <v>54</v>
      </c>
      <c r="H279" s="42"/>
      <c r="I279" s="42" t="s">
        <v>1046</v>
      </c>
      <c r="J279" s="42" t="s">
        <v>1003</v>
      </c>
      <c r="K279" s="42"/>
      <c r="L279" s="42"/>
      <c r="M279" s="42"/>
      <c r="N279" t="str">
        <f>VLOOKUP(C279,CU_ARS_2025_WOF_F2!$A$2:$K$673,2,FALSE)</f>
        <v>CU_ARS_2025_WOF_F2_7_plant_34</v>
      </c>
      <c r="O279" t="str">
        <f>VLOOKUP(C279,CU_ARS_2025_WOF_F2!$A$2:$K$673,2,FALSE)</f>
        <v>CU_ARS_2025_WOF_F2_7_plant_34</v>
      </c>
      <c r="P279" t="str">
        <f>VLOOKUP(C279,CU_ARS_2025_WOF_F2!$A$2:$K$673,3,FALSE)</f>
        <v>CU_ARS_2025_WOF_F2_7</v>
      </c>
      <c r="Q279" t="str">
        <f>VLOOKUP(C279,CU_ARS_2025_WOF_F2!$A$2:$K$673,4,FALSE)</f>
        <v>CU_ARS_2025_WOF_cross_83</v>
      </c>
      <c r="R279">
        <f>VLOOKUP(C279,CU_ARS_2025_WOF_F2!$A$2:$K$673,5,FALSE)</f>
        <v>7</v>
      </c>
      <c r="S279">
        <f>VLOOKUP(C279,CU_ARS_2025_WOF_F2!$A$2:$K$673,6,FALSE)</f>
        <v>1</v>
      </c>
      <c r="T279">
        <f>VLOOKUP(C279,CU_ARS_2025_WOF_F2!$A$2:$K$673,7,FALSE)</f>
        <v>0</v>
      </c>
      <c r="U279">
        <f>VLOOKUP(C279,CU_ARS_2025_WOF_F2!$A$2:$K$673,8,FALSE)</f>
        <v>1</v>
      </c>
      <c r="V279">
        <f>VLOOKUP(C279,CU_ARS_2025_WOF_F2!$A$2:$K$673,9,FALSE)</f>
        <v>0</v>
      </c>
      <c r="W279">
        <f>VLOOKUP(C279,CU_ARS_2025_WOF_F2!$A$2:$K$673,10,FALSE)</f>
        <v>0</v>
      </c>
      <c r="X279">
        <f>VLOOKUP(C279,CU_ARS_2025_WOF_F2!$A$2:$K$673,11,FALSE)</f>
        <v>34</v>
      </c>
      <c r="Y279" t="str">
        <f>VLOOKUP(Q279,cross_pedigree!$A$2:$B$23,2,FALSE)</f>
        <v>NC20-4452/SEGER|PI306405</v>
      </c>
    </row>
    <row r="280" spans="1:25" ht="18">
      <c r="A280" s="21" t="s">
        <v>15</v>
      </c>
      <c r="B280" s="21" t="s">
        <v>16</v>
      </c>
      <c r="C280" s="22">
        <v>753750</v>
      </c>
      <c r="D280" s="23">
        <v>3</v>
      </c>
      <c r="E280" s="24" t="str">
        <f t="shared" si="4"/>
        <v>CU_ARS_2025_WOF_F2_7_plant_42</v>
      </c>
      <c r="F280" s="21" t="s">
        <v>55</v>
      </c>
      <c r="G280" s="44" t="s">
        <v>56</v>
      </c>
      <c r="H280" s="42"/>
      <c r="I280" s="42" t="s">
        <v>1046</v>
      </c>
      <c r="J280" s="42" t="s">
        <v>1003</v>
      </c>
      <c r="K280" s="42"/>
      <c r="L280" s="42"/>
      <c r="M280" s="42"/>
      <c r="N280" t="str">
        <f>VLOOKUP(C280,CU_ARS_2025_WOF_F2!$A$2:$K$673,2,FALSE)</f>
        <v>CU_ARS_2025_WOF_F2_7_plant_42</v>
      </c>
      <c r="O280" t="str">
        <f>VLOOKUP(C280,CU_ARS_2025_WOF_F2!$A$2:$K$673,2,FALSE)</f>
        <v>CU_ARS_2025_WOF_F2_7_plant_42</v>
      </c>
      <c r="P280" t="str">
        <f>VLOOKUP(C280,CU_ARS_2025_WOF_F2!$A$2:$K$673,3,FALSE)</f>
        <v>CU_ARS_2025_WOF_F2_7</v>
      </c>
      <c r="Q280" t="str">
        <f>VLOOKUP(C280,CU_ARS_2025_WOF_F2!$A$2:$K$673,4,FALSE)</f>
        <v>CU_ARS_2025_WOF_cross_83</v>
      </c>
      <c r="R280">
        <f>VLOOKUP(C280,CU_ARS_2025_WOF_F2!$A$2:$K$673,5,FALSE)</f>
        <v>7</v>
      </c>
      <c r="S280">
        <f>VLOOKUP(C280,CU_ARS_2025_WOF_F2!$A$2:$K$673,6,FALSE)</f>
        <v>1</v>
      </c>
      <c r="T280">
        <f>VLOOKUP(C280,CU_ARS_2025_WOF_F2!$A$2:$K$673,7,FALSE)</f>
        <v>0</v>
      </c>
      <c r="U280">
        <f>VLOOKUP(C280,CU_ARS_2025_WOF_F2!$A$2:$K$673,8,FALSE)</f>
        <v>1</v>
      </c>
      <c r="V280">
        <f>VLOOKUP(C280,CU_ARS_2025_WOF_F2!$A$2:$K$673,9,FALSE)</f>
        <v>0</v>
      </c>
      <c r="W280">
        <f>VLOOKUP(C280,CU_ARS_2025_WOF_F2!$A$2:$K$673,10,FALSE)</f>
        <v>0</v>
      </c>
      <c r="X280">
        <f>VLOOKUP(C280,CU_ARS_2025_WOF_F2!$A$2:$K$673,11,FALSE)</f>
        <v>42</v>
      </c>
      <c r="Y280" t="str">
        <f>VLOOKUP(Q280,cross_pedigree!$A$2:$B$23,2,FALSE)</f>
        <v>NC20-4452/SEGER|PI306405</v>
      </c>
    </row>
    <row r="281" spans="1:25" ht="18">
      <c r="A281" s="21" t="s">
        <v>15</v>
      </c>
      <c r="B281" s="21" t="s">
        <v>16</v>
      </c>
      <c r="C281" s="22">
        <v>753751</v>
      </c>
      <c r="D281" s="23">
        <v>3</v>
      </c>
      <c r="E281" s="24" t="str">
        <f t="shared" si="4"/>
        <v>CU_ARS_2025_WOF_F2_7_plant_43</v>
      </c>
      <c r="F281" s="21" t="s">
        <v>57</v>
      </c>
      <c r="G281" s="44" t="s">
        <v>58</v>
      </c>
      <c r="H281" s="42"/>
      <c r="I281" s="42" t="s">
        <v>1046</v>
      </c>
      <c r="J281" s="42" t="s">
        <v>1003</v>
      </c>
      <c r="K281" s="42"/>
      <c r="L281" s="42"/>
      <c r="M281" s="42"/>
      <c r="N281" t="str">
        <f>VLOOKUP(C281,CU_ARS_2025_WOF_F2!$A$2:$K$673,2,FALSE)</f>
        <v>CU_ARS_2025_WOF_F2_7_plant_43</v>
      </c>
      <c r="O281" t="str">
        <f>VLOOKUP(C281,CU_ARS_2025_WOF_F2!$A$2:$K$673,2,FALSE)</f>
        <v>CU_ARS_2025_WOF_F2_7_plant_43</v>
      </c>
      <c r="P281" t="str">
        <f>VLOOKUP(C281,CU_ARS_2025_WOF_F2!$A$2:$K$673,3,FALSE)</f>
        <v>CU_ARS_2025_WOF_F2_7</v>
      </c>
      <c r="Q281" t="str">
        <f>VLOOKUP(C281,CU_ARS_2025_WOF_F2!$A$2:$K$673,4,FALSE)</f>
        <v>CU_ARS_2025_WOF_cross_83</v>
      </c>
      <c r="R281">
        <f>VLOOKUP(C281,CU_ARS_2025_WOF_F2!$A$2:$K$673,5,FALSE)</f>
        <v>7</v>
      </c>
      <c r="S281">
        <f>VLOOKUP(C281,CU_ARS_2025_WOF_F2!$A$2:$K$673,6,FALSE)</f>
        <v>1</v>
      </c>
      <c r="T281">
        <f>VLOOKUP(C281,CU_ARS_2025_WOF_F2!$A$2:$K$673,7,FALSE)</f>
        <v>0</v>
      </c>
      <c r="U281">
        <f>VLOOKUP(C281,CU_ARS_2025_WOF_F2!$A$2:$K$673,8,FALSE)</f>
        <v>1</v>
      </c>
      <c r="V281">
        <f>VLOOKUP(C281,CU_ARS_2025_WOF_F2!$A$2:$K$673,9,FALSE)</f>
        <v>0</v>
      </c>
      <c r="W281">
        <f>VLOOKUP(C281,CU_ARS_2025_WOF_F2!$A$2:$K$673,10,FALSE)</f>
        <v>0</v>
      </c>
      <c r="X281">
        <f>VLOOKUP(C281,CU_ARS_2025_WOF_F2!$A$2:$K$673,11,FALSE)</f>
        <v>43</v>
      </c>
      <c r="Y281" t="str">
        <f>VLOOKUP(Q281,cross_pedigree!$A$2:$B$23,2,FALSE)</f>
        <v>NC20-4452/SEGER|PI306405</v>
      </c>
    </row>
    <row r="282" spans="1:25" ht="18">
      <c r="A282" s="21" t="s">
        <v>15</v>
      </c>
      <c r="B282" s="21" t="s">
        <v>16</v>
      </c>
      <c r="C282" s="22">
        <v>753743</v>
      </c>
      <c r="D282" s="23">
        <v>3</v>
      </c>
      <c r="E282" s="24" t="str">
        <f t="shared" si="4"/>
        <v>CU_ARS_2025_WOF_F2_7_plant_35</v>
      </c>
      <c r="F282" s="21" t="s">
        <v>59</v>
      </c>
      <c r="G282" s="44" t="s">
        <v>60</v>
      </c>
      <c r="H282" s="42"/>
      <c r="I282" s="42" t="s">
        <v>1046</v>
      </c>
      <c r="J282" s="42" t="s">
        <v>1003</v>
      </c>
      <c r="K282" s="42"/>
      <c r="L282" s="42"/>
      <c r="M282" s="42"/>
      <c r="N282" t="str">
        <f>VLOOKUP(C282,CU_ARS_2025_WOF_F2!$A$2:$K$673,2,FALSE)</f>
        <v>CU_ARS_2025_WOF_F2_7_plant_35</v>
      </c>
      <c r="O282" t="str">
        <f>VLOOKUP(C282,CU_ARS_2025_WOF_F2!$A$2:$K$673,2,FALSE)</f>
        <v>CU_ARS_2025_WOF_F2_7_plant_35</v>
      </c>
      <c r="P282" t="str">
        <f>VLOOKUP(C282,CU_ARS_2025_WOF_F2!$A$2:$K$673,3,FALSE)</f>
        <v>CU_ARS_2025_WOF_F2_7</v>
      </c>
      <c r="Q282" t="str">
        <f>VLOOKUP(C282,CU_ARS_2025_WOF_F2!$A$2:$K$673,4,FALSE)</f>
        <v>CU_ARS_2025_WOF_cross_83</v>
      </c>
      <c r="R282">
        <f>VLOOKUP(C282,CU_ARS_2025_WOF_F2!$A$2:$K$673,5,FALSE)</f>
        <v>7</v>
      </c>
      <c r="S282">
        <f>VLOOKUP(C282,CU_ARS_2025_WOF_F2!$A$2:$K$673,6,FALSE)</f>
        <v>1</v>
      </c>
      <c r="T282">
        <f>VLOOKUP(C282,CU_ARS_2025_WOF_F2!$A$2:$K$673,7,FALSE)</f>
        <v>0</v>
      </c>
      <c r="U282">
        <f>VLOOKUP(C282,CU_ARS_2025_WOF_F2!$A$2:$K$673,8,FALSE)</f>
        <v>1</v>
      </c>
      <c r="V282">
        <f>VLOOKUP(C282,CU_ARS_2025_WOF_F2!$A$2:$K$673,9,FALSE)</f>
        <v>0</v>
      </c>
      <c r="W282">
        <f>VLOOKUP(C282,CU_ARS_2025_WOF_F2!$A$2:$K$673,10,FALSE)</f>
        <v>0</v>
      </c>
      <c r="X282">
        <f>VLOOKUP(C282,CU_ARS_2025_WOF_F2!$A$2:$K$673,11,FALSE)</f>
        <v>35</v>
      </c>
      <c r="Y282" t="str">
        <f>VLOOKUP(Q282,cross_pedigree!$A$2:$B$23,2,FALSE)</f>
        <v>NC20-4452/SEGER|PI306405</v>
      </c>
    </row>
    <row r="283" spans="1:25" ht="18">
      <c r="A283" s="21" t="s">
        <v>15</v>
      </c>
      <c r="B283" s="21" t="s">
        <v>16</v>
      </c>
      <c r="C283" s="22">
        <v>753744</v>
      </c>
      <c r="D283" s="23">
        <v>3</v>
      </c>
      <c r="E283" s="24" t="str">
        <f t="shared" si="4"/>
        <v>CU_ARS_2025_WOF_F2_7_plant_36</v>
      </c>
      <c r="F283" s="21" t="s">
        <v>61</v>
      </c>
      <c r="G283" s="44" t="s">
        <v>62</v>
      </c>
      <c r="H283" s="42"/>
      <c r="I283" s="42" t="s">
        <v>1046</v>
      </c>
      <c r="J283" s="42" t="s">
        <v>1003</v>
      </c>
      <c r="K283" s="42"/>
      <c r="L283" s="42"/>
      <c r="M283" s="42"/>
      <c r="N283" t="str">
        <f>VLOOKUP(C283,CU_ARS_2025_WOF_F2!$A$2:$K$673,2,FALSE)</f>
        <v>CU_ARS_2025_WOF_F2_7_plant_36</v>
      </c>
      <c r="O283" t="str">
        <f>VLOOKUP(C283,CU_ARS_2025_WOF_F2!$A$2:$K$673,2,FALSE)</f>
        <v>CU_ARS_2025_WOF_F2_7_plant_36</v>
      </c>
      <c r="P283" t="str">
        <f>VLOOKUP(C283,CU_ARS_2025_WOF_F2!$A$2:$K$673,3,FALSE)</f>
        <v>CU_ARS_2025_WOF_F2_7</v>
      </c>
      <c r="Q283" t="str">
        <f>VLOOKUP(C283,CU_ARS_2025_WOF_F2!$A$2:$K$673,4,FALSE)</f>
        <v>CU_ARS_2025_WOF_cross_83</v>
      </c>
      <c r="R283">
        <f>VLOOKUP(C283,CU_ARS_2025_WOF_F2!$A$2:$K$673,5,FALSE)</f>
        <v>7</v>
      </c>
      <c r="S283">
        <f>VLOOKUP(C283,CU_ARS_2025_WOF_F2!$A$2:$K$673,6,FALSE)</f>
        <v>1</v>
      </c>
      <c r="T283">
        <f>VLOOKUP(C283,CU_ARS_2025_WOF_F2!$A$2:$K$673,7,FALSE)</f>
        <v>0</v>
      </c>
      <c r="U283">
        <f>VLOOKUP(C283,CU_ARS_2025_WOF_F2!$A$2:$K$673,8,FALSE)</f>
        <v>1</v>
      </c>
      <c r="V283">
        <f>VLOOKUP(C283,CU_ARS_2025_WOF_F2!$A$2:$K$673,9,FALSE)</f>
        <v>0</v>
      </c>
      <c r="W283">
        <f>VLOOKUP(C283,CU_ARS_2025_WOF_F2!$A$2:$K$673,10,FALSE)</f>
        <v>0</v>
      </c>
      <c r="X283">
        <f>VLOOKUP(C283,CU_ARS_2025_WOF_F2!$A$2:$K$673,11,FALSE)</f>
        <v>36</v>
      </c>
      <c r="Y283" t="str">
        <f>VLOOKUP(Q283,cross_pedigree!$A$2:$B$23,2,FALSE)</f>
        <v>NC20-4452/SEGER|PI306405</v>
      </c>
    </row>
    <row r="284" spans="1:25" ht="18">
      <c r="A284" s="21" t="s">
        <v>15</v>
      </c>
      <c r="B284" s="21" t="s">
        <v>16</v>
      </c>
      <c r="C284" s="22">
        <v>753752</v>
      </c>
      <c r="D284" s="23">
        <v>3</v>
      </c>
      <c r="E284" s="24" t="str">
        <f t="shared" si="4"/>
        <v>CU_ARS_2025_WOF_F2_7_plant_44</v>
      </c>
      <c r="F284" s="21" t="s">
        <v>63</v>
      </c>
      <c r="G284" s="44" t="s">
        <v>64</v>
      </c>
      <c r="H284" s="42"/>
      <c r="I284" s="42" t="s">
        <v>1046</v>
      </c>
      <c r="J284" s="42" t="s">
        <v>1003</v>
      </c>
      <c r="K284" s="42"/>
      <c r="L284" s="42"/>
      <c r="M284" s="42"/>
      <c r="N284" t="str">
        <f>VLOOKUP(C284,CU_ARS_2025_WOF_F2!$A$2:$K$673,2,FALSE)</f>
        <v>CU_ARS_2025_WOF_F2_7_plant_44</v>
      </c>
      <c r="O284" t="str">
        <f>VLOOKUP(C284,CU_ARS_2025_WOF_F2!$A$2:$K$673,2,FALSE)</f>
        <v>CU_ARS_2025_WOF_F2_7_plant_44</v>
      </c>
      <c r="P284" t="str">
        <f>VLOOKUP(C284,CU_ARS_2025_WOF_F2!$A$2:$K$673,3,FALSE)</f>
        <v>CU_ARS_2025_WOF_F2_7</v>
      </c>
      <c r="Q284" t="str">
        <f>VLOOKUP(C284,CU_ARS_2025_WOF_F2!$A$2:$K$673,4,FALSE)</f>
        <v>CU_ARS_2025_WOF_cross_83</v>
      </c>
      <c r="R284">
        <f>VLOOKUP(C284,CU_ARS_2025_WOF_F2!$A$2:$K$673,5,FALSE)</f>
        <v>7</v>
      </c>
      <c r="S284">
        <f>VLOOKUP(C284,CU_ARS_2025_WOF_F2!$A$2:$K$673,6,FALSE)</f>
        <v>1</v>
      </c>
      <c r="T284">
        <f>VLOOKUP(C284,CU_ARS_2025_WOF_F2!$A$2:$K$673,7,FALSE)</f>
        <v>0</v>
      </c>
      <c r="U284">
        <f>VLOOKUP(C284,CU_ARS_2025_WOF_F2!$A$2:$K$673,8,FALSE)</f>
        <v>1</v>
      </c>
      <c r="V284">
        <f>VLOOKUP(C284,CU_ARS_2025_WOF_F2!$A$2:$K$673,9,FALSE)</f>
        <v>0</v>
      </c>
      <c r="W284">
        <f>VLOOKUP(C284,CU_ARS_2025_WOF_F2!$A$2:$K$673,10,FALSE)</f>
        <v>0</v>
      </c>
      <c r="X284">
        <f>VLOOKUP(C284,CU_ARS_2025_WOF_F2!$A$2:$K$673,11,FALSE)</f>
        <v>44</v>
      </c>
      <c r="Y284" t="str">
        <f>VLOOKUP(Q284,cross_pedigree!$A$2:$B$23,2,FALSE)</f>
        <v>NC20-4452/SEGER|PI306405</v>
      </c>
    </row>
    <row r="285" spans="1:25" ht="18">
      <c r="A285" s="21" t="s">
        <v>15</v>
      </c>
      <c r="B285" s="21" t="s">
        <v>16</v>
      </c>
      <c r="C285" s="22">
        <v>753745</v>
      </c>
      <c r="D285" s="23">
        <v>3</v>
      </c>
      <c r="E285" s="24" t="str">
        <f t="shared" si="4"/>
        <v>CU_ARS_2025_WOF_F2_7_plant_37</v>
      </c>
      <c r="F285" s="21" t="s">
        <v>65</v>
      </c>
      <c r="G285" s="44" t="s">
        <v>66</v>
      </c>
      <c r="H285" s="42"/>
      <c r="I285" s="42" t="s">
        <v>1046</v>
      </c>
      <c r="J285" s="42" t="s">
        <v>1003</v>
      </c>
      <c r="K285" s="42"/>
      <c r="L285" s="42"/>
      <c r="M285" s="42"/>
      <c r="N285" t="str">
        <f>VLOOKUP(C285,CU_ARS_2025_WOF_F2!$A$2:$K$673,2,FALSE)</f>
        <v>CU_ARS_2025_WOF_F2_7_plant_37</v>
      </c>
      <c r="O285" t="str">
        <f>VLOOKUP(C285,CU_ARS_2025_WOF_F2!$A$2:$K$673,2,FALSE)</f>
        <v>CU_ARS_2025_WOF_F2_7_plant_37</v>
      </c>
      <c r="P285" t="str">
        <f>VLOOKUP(C285,CU_ARS_2025_WOF_F2!$A$2:$K$673,3,FALSE)</f>
        <v>CU_ARS_2025_WOF_F2_7</v>
      </c>
      <c r="Q285" t="str">
        <f>VLOOKUP(C285,CU_ARS_2025_WOF_F2!$A$2:$K$673,4,FALSE)</f>
        <v>CU_ARS_2025_WOF_cross_83</v>
      </c>
      <c r="R285">
        <f>VLOOKUP(C285,CU_ARS_2025_WOF_F2!$A$2:$K$673,5,FALSE)</f>
        <v>7</v>
      </c>
      <c r="S285">
        <f>VLOOKUP(C285,CU_ARS_2025_WOF_F2!$A$2:$K$673,6,FALSE)</f>
        <v>1</v>
      </c>
      <c r="T285">
        <f>VLOOKUP(C285,CU_ARS_2025_WOF_F2!$A$2:$K$673,7,FALSE)</f>
        <v>0</v>
      </c>
      <c r="U285">
        <f>VLOOKUP(C285,CU_ARS_2025_WOF_F2!$A$2:$K$673,8,FALSE)</f>
        <v>1</v>
      </c>
      <c r="V285">
        <f>VLOOKUP(C285,CU_ARS_2025_WOF_F2!$A$2:$K$673,9,FALSE)</f>
        <v>0</v>
      </c>
      <c r="W285">
        <f>VLOOKUP(C285,CU_ARS_2025_WOF_F2!$A$2:$K$673,10,FALSE)</f>
        <v>0</v>
      </c>
      <c r="X285">
        <f>VLOOKUP(C285,CU_ARS_2025_WOF_F2!$A$2:$K$673,11,FALSE)</f>
        <v>37</v>
      </c>
      <c r="Y285" t="str">
        <f>VLOOKUP(Q285,cross_pedigree!$A$2:$B$23,2,FALSE)</f>
        <v>NC20-4452/SEGER|PI306405</v>
      </c>
    </row>
    <row r="286" spans="1:25" ht="18">
      <c r="A286" s="21" t="s">
        <v>15</v>
      </c>
      <c r="B286" s="21" t="s">
        <v>16</v>
      </c>
      <c r="C286" s="22">
        <v>753753</v>
      </c>
      <c r="D286" s="23">
        <v>3</v>
      </c>
      <c r="E286" s="24" t="str">
        <f t="shared" si="4"/>
        <v>CU_ARS_2025_WOF_F2_7_plant_45</v>
      </c>
      <c r="F286" s="21" t="s">
        <v>67</v>
      </c>
      <c r="G286" s="44" t="s">
        <v>68</v>
      </c>
      <c r="H286" s="42"/>
      <c r="I286" s="42" t="s">
        <v>1046</v>
      </c>
      <c r="J286" s="42" t="s">
        <v>1003</v>
      </c>
      <c r="K286" s="42"/>
      <c r="L286" s="42"/>
      <c r="M286" s="42"/>
      <c r="N286" t="str">
        <f>VLOOKUP(C286,CU_ARS_2025_WOF_F2!$A$2:$K$673,2,FALSE)</f>
        <v>CU_ARS_2025_WOF_F2_7_plant_45</v>
      </c>
      <c r="O286" t="str">
        <f>VLOOKUP(C286,CU_ARS_2025_WOF_F2!$A$2:$K$673,2,FALSE)</f>
        <v>CU_ARS_2025_WOF_F2_7_plant_45</v>
      </c>
      <c r="P286" t="str">
        <f>VLOOKUP(C286,CU_ARS_2025_WOF_F2!$A$2:$K$673,3,FALSE)</f>
        <v>CU_ARS_2025_WOF_F2_7</v>
      </c>
      <c r="Q286" t="str">
        <f>VLOOKUP(C286,CU_ARS_2025_WOF_F2!$A$2:$K$673,4,FALSE)</f>
        <v>CU_ARS_2025_WOF_cross_83</v>
      </c>
      <c r="R286">
        <f>VLOOKUP(C286,CU_ARS_2025_WOF_F2!$A$2:$K$673,5,FALSE)</f>
        <v>7</v>
      </c>
      <c r="S286">
        <f>VLOOKUP(C286,CU_ARS_2025_WOF_F2!$A$2:$K$673,6,FALSE)</f>
        <v>1</v>
      </c>
      <c r="T286">
        <f>VLOOKUP(C286,CU_ARS_2025_WOF_F2!$A$2:$K$673,7,FALSE)</f>
        <v>0</v>
      </c>
      <c r="U286">
        <f>VLOOKUP(C286,CU_ARS_2025_WOF_F2!$A$2:$K$673,8,FALSE)</f>
        <v>1</v>
      </c>
      <c r="V286">
        <f>VLOOKUP(C286,CU_ARS_2025_WOF_F2!$A$2:$K$673,9,FALSE)</f>
        <v>0</v>
      </c>
      <c r="W286">
        <f>VLOOKUP(C286,CU_ARS_2025_WOF_F2!$A$2:$K$673,10,FALSE)</f>
        <v>0</v>
      </c>
      <c r="X286">
        <f>VLOOKUP(C286,CU_ARS_2025_WOF_F2!$A$2:$K$673,11,FALSE)</f>
        <v>45</v>
      </c>
      <c r="Y286" t="str">
        <f>VLOOKUP(Q286,cross_pedigree!$A$2:$B$23,2,FALSE)</f>
        <v>NC20-4452/SEGER|PI306405</v>
      </c>
    </row>
    <row r="287" spans="1:25" ht="18">
      <c r="A287" s="21" t="s">
        <v>15</v>
      </c>
      <c r="B287" s="21" t="s">
        <v>16</v>
      </c>
      <c r="C287" s="22">
        <v>753764</v>
      </c>
      <c r="D287" s="23">
        <v>3</v>
      </c>
      <c r="E287" s="24" t="str">
        <f t="shared" si="4"/>
        <v>CU_ARS_2025_WOF_F2_7_plant_56</v>
      </c>
      <c r="F287" s="21" t="s">
        <v>96</v>
      </c>
      <c r="G287" s="44" t="s">
        <v>213</v>
      </c>
      <c r="H287" s="42"/>
      <c r="I287" s="42" t="s">
        <v>1046</v>
      </c>
      <c r="J287" s="42" t="s">
        <v>1003</v>
      </c>
      <c r="K287" s="42"/>
      <c r="L287" s="42"/>
      <c r="M287" s="42"/>
      <c r="N287" t="str">
        <f>VLOOKUP(C287,CU_ARS_2025_WOF_F2!$A$2:$K$673,2,FALSE)</f>
        <v>CU_ARS_2025_WOF_F2_7_plant_56</v>
      </c>
      <c r="O287" t="str">
        <f>VLOOKUP(C287,CU_ARS_2025_WOF_F2!$A$2:$K$673,2,FALSE)</f>
        <v>CU_ARS_2025_WOF_F2_7_plant_56</v>
      </c>
      <c r="P287" t="str">
        <f>VLOOKUP(C287,CU_ARS_2025_WOF_F2!$A$2:$K$673,3,FALSE)</f>
        <v>CU_ARS_2025_WOF_F2_7</v>
      </c>
      <c r="Q287" t="str">
        <f>VLOOKUP(C287,CU_ARS_2025_WOF_F2!$A$2:$K$673,4,FALSE)</f>
        <v>CU_ARS_2025_WOF_cross_83</v>
      </c>
      <c r="R287">
        <f>VLOOKUP(C287,CU_ARS_2025_WOF_F2!$A$2:$K$673,5,FALSE)</f>
        <v>7</v>
      </c>
      <c r="S287">
        <f>VLOOKUP(C287,CU_ARS_2025_WOF_F2!$A$2:$K$673,6,FALSE)</f>
        <v>1</v>
      </c>
      <c r="T287">
        <f>VLOOKUP(C287,CU_ARS_2025_WOF_F2!$A$2:$K$673,7,FALSE)</f>
        <v>0</v>
      </c>
      <c r="U287">
        <f>VLOOKUP(C287,CU_ARS_2025_WOF_F2!$A$2:$K$673,8,FALSE)</f>
        <v>1</v>
      </c>
      <c r="V287">
        <f>VLOOKUP(C287,CU_ARS_2025_WOF_F2!$A$2:$K$673,9,FALSE)</f>
        <v>0</v>
      </c>
      <c r="W287">
        <f>VLOOKUP(C287,CU_ARS_2025_WOF_F2!$A$2:$K$673,10,FALSE)</f>
        <v>0</v>
      </c>
      <c r="X287">
        <f>VLOOKUP(C287,CU_ARS_2025_WOF_F2!$A$2:$K$673,11,FALSE)</f>
        <v>56</v>
      </c>
      <c r="Y287" t="str">
        <f>VLOOKUP(Q287,cross_pedigree!$A$2:$B$23,2,FALSE)</f>
        <v>NC20-4452/SEGER|PI306405</v>
      </c>
    </row>
    <row r="288" spans="1:25" ht="18">
      <c r="A288" s="21" t="s">
        <v>15</v>
      </c>
      <c r="B288" s="21" t="s">
        <v>16</v>
      </c>
      <c r="C288" s="22">
        <v>753763</v>
      </c>
      <c r="D288" s="23">
        <v>3</v>
      </c>
      <c r="E288" s="24" t="str">
        <f t="shared" si="4"/>
        <v>CU_ARS_2025_WOF_F2_7_plant_55</v>
      </c>
      <c r="F288" s="21" t="s">
        <v>97</v>
      </c>
      <c r="G288" s="44" t="s">
        <v>214</v>
      </c>
      <c r="H288" s="42"/>
      <c r="I288" s="42" t="s">
        <v>1046</v>
      </c>
      <c r="J288" s="42" t="s">
        <v>1003</v>
      </c>
      <c r="K288" s="42"/>
      <c r="L288" s="42"/>
      <c r="M288" s="42"/>
      <c r="N288" t="str">
        <f>VLOOKUP(C288,CU_ARS_2025_WOF_F2!$A$2:$K$673,2,FALSE)</f>
        <v>CU_ARS_2025_WOF_F2_7_plant_55</v>
      </c>
      <c r="O288" t="str">
        <f>VLOOKUP(C288,CU_ARS_2025_WOF_F2!$A$2:$K$673,2,FALSE)</f>
        <v>CU_ARS_2025_WOF_F2_7_plant_55</v>
      </c>
      <c r="P288" t="str">
        <f>VLOOKUP(C288,CU_ARS_2025_WOF_F2!$A$2:$K$673,3,FALSE)</f>
        <v>CU_ARS_2025_WOF_F2_7</v>
      </c>
      <c r="Q288" t="str">
        <f>VLOOKUP(C288,CU_ARS_2025_WOF_F2!$A$2:$K$673,4,FALSE)</f>
        <v>CU_ARS_2025_WOF_cross_83</v>
      </c>
      <c r="R288">
        <f>VLOOKUP(C288,CU_ARS_2025_WOF_F2!$A$2:$K$673,5,FALSE)</f>
        <v>7</v>
      </c>
      <c r="S288">
        <f>VLOOKUP(C288,CU_ARS_2025_WOF_F2!$A$2:$K$673,6,FALSE)</f>
        <v>1</v>
      </c>
      <c r="T288">
        <f>VLOOKUP(C288,CU_ARS_2025_WOF_F2!$A$2:$K$673,7,FALSE)</f>
        <v>0</v>
      </c>
      <c r="U288">
        <f>VLOOKUP(C288,CU_ARS_2025_WOF_F2!$A$2:$K$673,8,FALSE)</f>
        <v>1</v>
      </c>
      <c r="V288">
        <f>VLOOKUP(C288,CU_ARS_2025_WOF_F2!$A$2:$K$673,9,FALSE)</f>
        <v>0</v>
      </c>
      <c r="W288">
        <f>VLOOKUP(C288,CU_ARS_2025_WOF_F2!$A$2:$K$673,10,FALSE)</f>
        <v>0</v>
      </c>
      <c r="X288">
        <f>VLOOKUP(C288,CU_ARS_2025_WOF_F2!$A$2:$K$673,11,FALSE)</f>
        <v>55</v>
      </c>
      <c r="Y288" t="str">
        <f>VLOOKUP(Q288,cross_pedigree!$A$2:$B$23,2,FALSE)</f>
        <v>NC20-4452/SEGER|PI306405</v>
      </c>
    </row>
    <row r="289" spans="1:25" ht="18">
      <c r="A289" s="21" t="s">
        <v>15</v>
      </c>
      <c r="B289" s="21" t="s">
        <v>16</v>
      </c>
      <c r="C289" s="22">
        <v>753762</v>
      </c>
      <c r="D289" s="23">
        <v>3</v>
      </c>
      <c r="E289" s="24" t="str">
        <f t="shared" si="4"/>
        <v>CU_ARS_2025_WOF_F2_7_plant_54</v>
      </c>
      <c r="F289" s="21" t="s">
        <v>47</v>
      </c>
      <c r="G289" s="44" t="s">
        <v>48</v>
      </c>
      <c r="H289" s="42"/>
      <c r="I289" s="42" t="s">
        <v>1046</v>
      </c>
      <c r="J289" s="42" t="s">
        <v>1003</v>
      </c>
      <c r="K289" s="42"/>
      <c r="L289" s="42"/>
      <c r="M289" s="42"/>
      <c r="N289" t="str">
        <f>VLOOKUP(C289,CU_ARS_2025_WOF_F2!$A$2:$K$673,2,FALSE)</f>
        <v>CU_ARS_2025_WOF_F2_7_plant_54</v>
      </c>
      <c r="O289" t="str">
        <f>VLOOKUP(C289,CU_ARS_2025_WOF_F2!$A$2:$K$673,2,FALSE)</f>
        <v>CU_ARS_2025_WOF_F2_7_plant_54</v>
      </c>
      <c r="P289" t="str">
        <f>VLOOKUP(C289,CU_ARS_2025_WOF_F2!$A$2:$K$673,3,FALSE)</f>
        <v>CU_ARS_2025_WOF_F2_7</v>
      </c>
      <c r="Q289" t="str">
        <f>VLOOKUP(C289,CU_ARS_2025_WOF_F2!$A$2:$K$673,4,FALSE)</f>
        <v>CU_ARS_2025_WOF_cross_83</v>
      </c>
      <c r="R289">
        <f>VLOOKUP(C289,CU_ARS_2025_WOF_F2!$A$2:$K$673,5,FALSE)</f>
        <v>7</v>
      </c>
      <c r="S289">
        <f>VLOOKUP(C289,CU_ARS_2025_WOF_F2!$A$2:$K$673,6,FALSE)</f>
        <v>1</v>
      </c>
      <c r="T289">
        <f>VLOOKUP(C289,CU_ARS_2025_WOF_F2!$A$2:$K$673,7,FALSE)</f>
        <v>0</v>
      </c>
      <c r="U289">
        <f>VLOOKUP(C289,CU_ARS_2025_WOF_F2!$A$2:$K$673,8,FALSE)</f>
        <v>1</v>
      </c>
      <c r="V289">
        <f>VLOOKUP(C289,CU_ARS_2025_WOF_F2!$A$2:$K$673,9,FALSE)</f>
        <v>0</v>
      </c>
      <c r="W289">
        <f>VLOOKUP(C289,CU_ARS_2025_WOF_F2!$A$2:$K$673,10,FALSE)</f>
        <v>0</v>
      </c>
      <c r="X289">
        <f>VLOOKUP(C289,CU_ARS_2025_WOF_F2!$A$2:$K$673,11,FALSE)</f>
        <v>54</v>
      </c>
      <c r="Y289" t="str">
        <f>VLOOKUP(Q289,cross_pedigree!$A$2:$B$23,2,FALSE)</f>
        <v>NC20-4452/SEGER|PI306405</v>
      </c>
    </row>
    <row r="290" spans="1:25" ht="18">
      <c r="A290" s="21" t="s">
        <v>15</v>
      </c>
      <c r="B290" s="21" t="s">
        <v>16</v>
      </c>
      <c r="C290" s="22">
        <v>753746</v>
      </c>
      <c r="D290" s="23">
        <v>4</v>
      </c>
      <c r="E290" s="24" t="str">
        <f t="shared" si="4"/>
        <v>CU_ARS_2025_WOF_F2_7_plant_38</v>
      </c>
      <c r="F290" s="21" t="s">
        <v>100</v>
      </c>
      <c r="G290" s="44" t="s">
        <v>101</v>
      </c>
      <c r="H290" s="42"/>
      <c r="I290" s="42" t="s">
        <v>1046</v>
      </c>
      <c r="J290" s="42" t="s">
        <v>1003</v>
      </c>
      <c r="K290" s="42"/>
      <c r="L290" s="42"/>
      <c r="M290" s="42"/>
      <c r="N290" t="str">
        <f>VLOOKUP(C290,CU_ARS_2025_WOF_F2!$A$2:$K$673,2,FALSE)</f>
        <v>CU_ARS_2025_WOF_F2_7_plant_38</v>
      </c>
      <c r="O290" t="str">
        <f>VLOOKUP(C290,CU_ARS_2025_WOF_F2!$A$2:$K$673,2,FALSE)</f>
        <v>CU_ARS_2025_WOF_F2_7_plant_38</v>
      </c>
      <c r="P290" t="str">
        <f>VLOOKUP(C290,CU_ARS_2025_WOF_F2!$A$2:$K$673,3,FALSE)</f>
        <v>CU_ARS_2025_WOF_F2_7</v>
      </c>
      <c r="Q290" t="str">
        <f>VLOOKUP(C290,CU_ARS_2025_WOF_F2!$A$2:$K$673,4,FALSE)</f>
        <v>CU_ARS_2025_WOF_cross_83</v>
      </c>
      <c r="R290">
        <f>VLOOKUP(C290,CU_ARS_2025_WOF_F2!$A$2:$K$673,5,FALSE)</f>
        <v>7</v>
      </c>
      <c r="S290">
        <f>VLOOKUP(C290,CU_ARS_2025_WOF_F2!$A$2:$K$673,6,FALSE)</f>
        <v>1</v>
      </c>
      <c r="T290">
        <f>VLOOKUP(C290,CU_ARS_2025_WOF_F2!$A$2:$K$673,7,FALSE)</f>
        <v>0</v>
      </c>
      <c r="U290">
        <f>VLOOKUP(C290,CU_ARS_2025_WOF_F2!$A$2:$K$673,8,FALSE)</f>
        <v>1</v>
      </c>
      <c r="V290">
        <f>VLOOKUP(C290,CU_ARS_2025_WOF_F2!$A$2:$K$673,9,FALSE)</f>
        <v>0</v>
      </c>
      <c r="W290">
        <f>VLOOKUP(C290,CU_ARS_2025_WOF_F2!$A$2:$K$673,10,FALSE)</f>
        <v>0</v>
      </c>
      <c r="X290">
        <f>VLOOKUP(C290,CU_ARS_2025_WOF_F2!$A$2:$K$673,11,FALSE)</f>
        <v>38</v>
      </c>
      <c r="Y290" t="str">
        <f>VLOOKUP(Q290,cross_pedigree!$A$2:$B$23,2,FALSE)</f>
        <v>NC20-4452/SEGER|PI306405</v>
      </c>
    </row>
    <row r="291" spans="1:25" ht="18">
      <c r="A291" s="21" t="s">
        <v>15</v>
      </c>
      <c r="B291" s="21" t="s">
        <v>16</v>
      </c>
      <c r="C291" s="22">
        <v>753747</v>
      </c>
      <c r="D291" s="23">
        <v>4</v>
      </c>
      <c r="E291" s="24" t="str">
        <f t="shared" si="4"/>
        <v>CU_ARS_2025_WOF_F2_7_plant_39</v>
      </c>
      <c r="F291" s="21" t="s">
        <v>102</v>
      </c>
      <c r="G291" s="44" t="s">
        <v>103</v>
      </c>
      <c r="H291" s="42"/>
      <c r="I291" s="42" t="s">
        <v>1046</v>
      </c>
      <c r="J291" s="42" t="s">
        <v>1003</v>
      </c>
      <c r="K291" s="42"/>
      <c r="L291" s="42"/>
      <c r="M291" s="42"/>
      <c r="N291" t="str">
        <f>VLOOKUP(C291,CU_ARS_2025_WOF_F2!$A$2:$K$673,2,FALSE)</f>
        <v>CU_ARS_2025_WOF_F2_7_plant_39</v>
      </c>
      <c r="O291" t="str">
        <f>VLOOKUP(C291,CU_ARS_2025_WOF_F2!$A$2:$K$673,2,FALSE)</f>
        <v>CU_ARS_2025_WOF_F2_7_plant_39</v>
      </c>
      <c r="P291" t="str">
        <f>VLOOKUP(C291,CU_ARS_2025_WOF_F2!$A$2:$K$673,3,FALSE)</f>
        <v>CU_ARS_2025_WOF_F2_7</v>
      </c>
      <c r="Q291" t="str">
        <f>VLOOKUP(C291,CU_ARS_2025_WOF_F2!$A$2:$K$673,4,FALSE)</f>
        <v>CU_ARS_2025_WOF_cross_83</v>
      </c>
      <c r="R291">
        <f>VLOOKUP(C291,CU_ARS_2025_WOF_F2!$A$2:$K$673,5,FALSE)</f>
        <v>7</v>
      </c>
      <c r="S291">
        <f>VLOOKUP(C291,CU_ARS_2025_WOF_F2!$A$2:$K$673,6,FALSE)</f>
        <v>1</v>
      </c>
      <c r="T291">
        <f>VLOOKUP(C291,CU_ARS_2025_WOF_F2!$A$2:$K$673,7,FALSE)</f>
        <v>0</v>
      </c>
      <c r="U291">
        <f>VLOOKUP(C291,CU_ARS_2025_WOF_F2!$A$2:$K$673,8,FALSE)</f>
        <v>1</v>
      </c>
      <c r="V291">
        <f>VLOOKUP(C291,CU_ARS_2025_WOF_F2!$A$2:$K$673,9,FALSE)</f>
        <v>0</v>
      </c>
      <c r="W291">
        <f>VLOOKUP(C291,CU_ARS_2025_WOF_F2!$A$2:$K$673,10,FALSE)</f>
        <v>0</v>
      </c>
      <c r="X291">
        <f>VLOOKUP(C291,CU_ARS_2025_WOF_F2!$A$2:$K$673,11,FALSE)</f>
        <v>39</v>
      </c>
      <c r="Y291" t="str">
        <f>VLOOKUP(Q291,cross_pedigree!$A$2:$B$23,2,FALSE)</f>
        <v>NC20-4452/SEGER|PI306405</v>
      </c>
    </row>
    <row r="292" spans="1:25" ht="18">
      <c r="A292" s="21" t="s">
        <v>15</v>
      </c>
      <c r="B292" s="21" t="s">
        <v>16</v>
      </c>
      <c r="C292" s="22">
        <v>753748</v>
      </c>
      <c r="D292" s="23">
        <v>4</v>
      </c>
      <c r="E292" s="24" t="str">
        <f t="shared" si="4"/>
        <v>CU_ARS_2025_WOF_F2_7_plant_40</v>
      </c>
      <c r="F292" s="21" t="s">
        <v>104</v>
      </c>
      <c r="G292" s="44" t="s">
        <v>105</v>
      </c>
      <c r="H292" s="42"/>
      <c r="I292" s="42" t="s">
        <v>1046</v>
      </c>
      <c r="J292" s="42" t="s">
        <v>1003</v>
      </c>
      <c r="K292" s="42"/>
      <c r="L292" s="42"/>
      <c r="M292" s="42"/>
      <c r="N292" t="str">
        <f>VLOOKUP(C292,CU_ARS_2025_WOF_F2!$A$2:$K$673,2,FALSE)</f>
        <v>CU_ARS_2025_WOF_F2_7_plant_40</v>
      </c>
      <c r="O292" t="str">
        <f>VLOOKUP(C292,CU_ARS_2025_WOF_F2!$A$2:$K$673,2,FALSE)</f>
        <v>CU_ARS_2025_WOF_F2_7_plant_40</v>
      </c>
      <c r="P292" t="str">
        <f>VLOOKUP(C292,CU_ARS_2025_WOF_F2!$A$2:$K$673,3,FALSE)</f>
        <v>CU_ARS_2025_WOF_F2_7</v>
      </c>
      <c r="Q292" t="str">
        <f>VLOOKUP(C292,CU_ARS_2025_WOF_F2!$A$2:$K$673,4,FALSE)</f>
        <v>CU_ARS_2025_WOF_cross_83</v>
      </c>
      <c r="R292">
        <f>VLOOKUP(C292,CU_ARS_2025_WOF_F2!$A$2:$K$673,5,FALSE)</f>
        <v>7</v>
      </c>
      <c r="S292">
        <f>VLOOKUP(C292,CU_ARS_2025_WOF_F2!$A$2:$K$673,6,FALSE)</f>
        <v>1</v>
      </c>
      <c r="T292">
        <f>VLOOKUP(C292,CU_ARS_2025_WOF_F2!$A$2:$K$673,7,FALSE)</f>
        <v>0</v>
      </c>
      <c r="U292">
        <f>VLOOKUP(C292,CU_ARS_2025_WOF_F2!$A$2:$K$673,8,FALSE)</f>
        <v>1</v>
      </c>
      <c r="V292">
        <f>VLOOKUP(C292,CU_ARS_2025_WOF_F2!$A$2:$K$673,9,FALSE)</f>
        <v>0</v>
      </c>
      <c r="W292">
        <f>VLOOKUP(C292,CU_ARS_2025_WOF_F2!$A$2:$K$673,10,FALSE)</f>
        <v>0</v>
      </c>
      <c r="X292">
        <f>VLOOKUP(C292,CU_ARS_2025_WOF_F2!$A$2:$K$673,11,FALSE)</f>
        <v>40</v>
      </c>
      <c r="Y292" t="str">
        <f>VLOOKUP(Q292,cross_pedigree!$A$2:$B$23,2,FALSE)</f>
        <v>NC20-4452/SEGER|PI306405</v>
      </c>
    </row>
    <row r="293" spans="1:25" ht="18">
      <c r="A293" s="21" t="s">
        <v>15</v>
      </c>
      <c r="B293" s="21" t="s">
        <v>16</v>
      </c>
      <c r="C293" s="22">
        <v>753756</v>
      </c>
      <c r="D293" s="23">
        <v>4</v>
      </c>
      <c r="E293" s="24" t="str">
        <f t="shared" si="4"/>
        <v>CU_ARS_2025_WOF_F2_7_plant_48</v>
      </c>
      <c r="F293" s="21" t="s">
        <v>69</v>
      </c>
      <c r="G293" s="44" t="s">
        <v>106</v>
      </c>
      <c r="H293" s="42"/>
      <c r="I293" s="42" t="s">
        <v>1046</v>
      </c>
      <c r="J293" s="42" t="s">
        <v>1003</v>
      </c>
      <c r="K293" s="42"/>
      <c r="L293" s="42"/>
      <c r="M293" s="42"/>
      <c r="N293" t="str">
        <f>VLOOKUP(C293,CU_ARS_2025_WOF_F2!$A$2:$K$673,2,FALSE)</f>
        <v>CU_ARS_2025_WOF_F2_7_plant_48</v>
      </c>
      <c r="O293" t="str">
        <f>VLOOKUP(C293,CU_ARS_2025_WOF_F2!$A$2:$K$673,2,FALSE)</f>
        <v>CU_ARS_2025_WOF_F2_7_plant_48</v>
      </c>
      <c r="P293" t="str">
        <f>VLOOKUP(C293,CU_ARS_2025_WOF_F2!$A$2:$K$673,3,FALSE)</f>
        <v>CU_ARS_2025_WOF_F2_7</v>
      </c>
      <c r="Q293" t="str">
        <f>VLOOKUP(C293,CU_ARS_2025_WOF_F2!$A$2:$K$673,4,FALSE)</f>
        <v>CU_ARS_2025_WOF_cross_83</v>
      </c>
      <c r="R293">
        <f>VLOOKUP(C293,CU_ARS_2025_WOF_F2!$A$2:$K$673,5,FALSE)</f>
        <v>7</v>
      </c>
      <c r="S293">
        <f>VLOOKUP(C293,CU_ARS_2025_WOF_F2!$A$2:$K$673,6,FALSE)</f>
        <v>1</v>
      </c>
      <c r="T293">
        <f>VLOOKUP(C293,CU_ARS_2025_WOF_F2!$A$2:$K$673,7,FALSE)</f>
        <v>0</v>
      </c>
      <c r="U293">
        <f>VLOOKUP(C293,CU_ARS_2025_WOF_F2!$A$2:$K$673,8,FALSE)</f>
        <v>1</v>
      </c>
      <c r="V293">
        <f>VLOOKUP(C293,CU_ARS_2025_WOF_F2!$A$2:$K$673,9,FALSE)</f>
        <v>0</v>
      </c>
      <c r="W293">
        <f>VLOOKUP(C293,CU_ARS_2025_WOF_F2!$A$2:$K$673,10,FALSE)</f>
        <v>0</v>
      </c>
      <c r="X293">
        <f>VLOOKUP(C293,CU_ARS_2025_WOF_F2!$A$2:$K$673,11,FALSE)</f>
        <v>48</v>
      </c>
      <c r="Y293" t="str">
        <f>VLOOKUP(Q293,cross_pedigree!$A$2:$B$23,2,FALSE)</f>
        <v>NC20-4452/SEGER|PI306405</v>
      </c>
    </row>
    <row r="294" spans="1:25" ht="18">
      <c r="A294" s="21" t="s">
        <v>15</v>
      </c>
      <c r="B294" s="21" t="s">
        <v>16</v>
      </c>
      <c r="C294" s="22">
        <v>753754</v>
      </c>
      <c r="D294" s="23">
        <v>4</v>
      </c>
      <c r="E294" s="24" t="str">
        <f t="shared" si="4"/>
        <v>CU_ARS_2025_WOF_F2_7_plant_46</v>
      </c>
      <c r="F294" s="21" t="s">
        <v>71</v>
      </c>
      <c r="G294" s="44" t="s">
        <v>107</v>
      </c>
      <c r="H294" s="42"/>
      <c r="I294" s="42" t="s">
        <v>1046</v>
      </c>
      <c r="J294" s="42" t="s">
        <v>1003</v>
      </c>
      <c r="K294" s="42"/>
      <c r="L294" s="42"/>
      <c r="M294" s="42"/>
      <c r="N294" t="str">
        <f>VLOOKUP(C294,CU_ARS_2025_WOF_F2!$A$2:$K$673,2,FALSE)</f>
        <v>CU_ARS_2025_WOF_F2_7_plant_46</v>
      </c>
      <c r="O294" t="str">
        <f>VLOOKUP(C294,CU_ARS_2025_WOF_F2!$A$2:$K$673,2,FALSE)</f>
        <v>CU_ARS_2025_WOF_F2_7_plant_46</v>
      </c>
      <c r="P294" t="str">
        <f>VLOOKUP(C294,CU_ARS_2025_WOF_F2!$A$2:$K$673,3,FALSE)</f>
        <v>CU_ARS_2025_WOF_F2_7</v>
      </c>
      <c r="Q294" t="str">
        <f>VLOOKUP(C294,CU_ARS_2025_WOF_F2!$A$2:$K$673,4,FALSE)</f>
        <v>CU_ARS_2025_WOF_cross_83</v>
      </c>
      <c r="R294">
        <f>VLOOKUP(C294,CU_ARS_2025_WOF_F2!$A$2:$K$673,5,FALSE)</f>
        <v>7</v>
      </c>
      <c r="S294">
        <f>VLOOKUP(C294,CU_ARS_2025_WOF_F2!$A$2:$K$673,6,FALSE)</f>
        <v>1</v>
      </c>
      <c r="T294">
        <f>VLOOKUP(C294,CU_ARS_2025_WOF_F2!$A$2:$K$673,7,FALSE)</f>
        <v>0</v>
      </c>
      <c r="U294">
        <f>VLOOKUP(C294,CU_ARS_2025_WOF_F2!$A$2:$K$673,8,FALSE)</f>
        <v>1</v>
      </c>
      <c r="V294">
        <f>VLOOKUP(C294,CU_ARS_2025_WOF_F2!$A$2:$K$673,9,FALSE)</f>
        <v>0</v>
      </c>
      <c r="W294">
        <f>VLOOKUP(C294,CU_ARS_2025_WOF_F2!$A$2:$K$673,10,FALSE)</f>
        <v>0</v>
      </c>
      <c r="X294">
        <f>VLOOKUP(C294,CU_ARS_2025_WOF_F2!$A$2:$K$673,11,FALSE)</f>
        <v>46</v>
      </c>
      <c r="Y294" t="str">
        <f>VLOOKUP(Q294,cross_pedigree!$A$2:$B$23,2,FALSE)</f>
        <v>NC20-4452/SEGER|PI306405</v>
      </c>
    </row>
    <row r="295" spans="1:25" ht="18">
      <c r="A295" s="21" t="s">
        <v>15</v>
      </c>
      <c r="B295" s="21" t="s">
        <v>16</v>
      </c>
      <c r="C295" s="22">
        <v>753755</v>
      </c>
      <c r="D295" s="23">
        <v>4</v>
      </c>
      <c r="E295" s="24" t="str">
        <f t="shared" si="4"/>
        <v>CU_ARS_2025_WOF_F2_7_plant_47</v>
      </c>
      <c r="F295" s="21" t="s">
        <v>73</v>
      </c>
      <c r="G295" s="44" t="s">
        <v>108</v>
      </c>
      <c r="H295" s="42"/>
      <c r="I295" s="42" t="s">
        <v>1046</v>
      </c>
      <c r="J295" s="42" t="s">
        <v>1003</v>
      </c>
      <c r="K295" s="42"/>
      <c r="L295" s="42"/>
      <c r="M295" s="42"/>
      <c r="N295" t="str">
        <f>VLOOKUP(C295,CU_ARS_2025_WOF_F2!$A$2:$K$673,2,FALSE)</f>
        <v>CU_ARS_2025_WOF_F2_7_plant_47</v>
      </c>
      <c r="O295" t="str">
        <f>VLOOKUP(C295,CU_ARS_2025_WOF_F2!$A$2:$K$673,2,FALSE)</f>
        <v>CU_ARS_2025_WOF_F2_7_plant_47</v>
      </c>
      <c r="P295" t="str">
        <f>VLOOKUP(C295,CU_ARS_2025_WOF_F2!$A$2:$K$673,3,FALSE)</f>
        <v>CU_ARS_2025_WOF_F2_7</v>
      </c>
      <c r="Q295" t="str">
        <f>VLOOKUP(C295,CU_ARS_2025_WOF_F2!$A$2:$K$673,4,FALSE)</f>
        <v>CU_ARS_2025_WOF_cross_83</v>
      </c>
      <c r="R295">
        <f>VLOOKUP(C295,CU_ARS_2025_WOF_F2!$A$2:$K$673,5,FALSE)</f>
        <v>7</v>
      </c>
      <c r="S295">
        <f>VLOOKUP(C295,CU_ARS_2025_WOF_F2!$A$2:$K$673,6,FALSE)</f>
        <v>1</v>
      </c>
      <c r="T295">
        <f>VLOOKUP(C295,CU_ARS_2025_WOF_F2!$A$2:$K$673,7,FALSE)</f>
        <v>0</v>
      </c>
      <c r="U295">
        <f>VLOOKUP(C295,CU_ARS_2025_WOF_F2!$A$2:$K$673,8,FALSE)</f>
        <v>1</v>
      </c>
      <c r="V295">
        <f>VLOOKUP(C295,CU_ARS_2025_WOF_F2!$A$2:$K$673,9,FALSE)</f>
        <v>0</v>
      </c>
      <c r="W295">
        <f>VLOOKUP(C295,CU_ARS_2025_WOF_F2!$A$2:$K$673,10,FALSE)</f>
        <v>0</v>
      </c>
      <c r="X295">
        <f>VLOOKUP(C295,CU_ARS_2025_WOF_F2!$A$2:$K$673,11,FALSE)</f>
        <v>47</v>
      </c>
      <c r="Y295" t="str">
        <f>VLOOKUP(Q295,cross_pedigree!$A$2:$B$23,2,FALSE)</f>
        <v>NC20-4452/SEGER|PI306405</v>
      </c>
    </row>
    <row r="296" spans="1:25" ht="18">
      <c r="A296" s="21" t="s">
        <v>15</v>
      </c>
      <c r="B296" s="21" t="s">
        <v>16</v>
      </c>
      <c r="C296" s="22">
        <v>753757</v>
      </c>
      <c r="D296" s="23">
        <v>4</v>
      </c>
      <c r="E296" s="24" t="str">
        <f t="shared" si="4"/>
        <v>CU_ARS_2025_WOF_F2_7_plant_49</v>
      </c>
      <c r="F296" s="21" t="s">
        <v>75</v>
      </c>
      <c r="G296" s="44" t="s">
        <v>109</v>
      </c>
      <c r="H296" s="42"/>
      <c r="I296" s="42" t="s">
        <v>1046</v>
      </c>
      <c r="J296" s="42" t="s">
        <v>1003</v>
      </c>
      <c r="K296" s="42"/>
      <c r="L296" s="42"/>
      <c r="M296" s="42"/>
      <c r="N296" t="str">
        <f>VLOOKUP(C296,CU_ARS_2025_WOF_F2!$A$2:$K$673,2,FALSE)</f>
        <v>CU_ARS_2025_WOF_F2_7_plant_49</v>
      </c>
      <c r="O296" t="str">
        <f>VLOOKUP(C296,CU_ARS_2025_WOF_F2!$A$2:$K$673,2,FALSE)</f>
        <v>CU_ARS_2025_WOF_F2_7_plant_49</v>
      </c>
      <c r="P296" t="str">
        <f>VLOOKUP(C296,CU_ARS_2025_WOF_F2!$A$2:$K$673,3,FALSE)</f>
        <v>CU_ARS_2025_WOF_F2_7</v>
      </c>
      <c r="Q296" t="str">
        <f>VLOOKUP(C296,CU_ARS_2025_WOF_F2!$A$2:$K$673,4,FALSE)</f>
        <v>CU_ARS_2025_WOF_cross_83</v>
      </c>
      <c r="R296">
        <f>VLOOKUP(C296,CU_ARS_2025_WOF_F2!$A$2:$K$673,5,FALSE)</f>
        <v>7</v>
      </c>
      <c r="S296">
        <f>VLOOKUP(C296,CU_ARS_2025_WOF_F2!$A$2:$K$673,6,FALSE)</f>
        <v>1</v>
      </c>
      <c r="T296">
        <f>VLOOKUP(C296,CU_ARS_2025_WOF_F2!$A$2:$K$673,7,FALSE)</f>
        <v>0</v>
      </c>
      <c r="U296">
        <f>VLOOKUP(C296,CU_ARS_2025_WOF_F2!$A$2:$K$673,8,FALSE)</f>
        <v>1</v>
      </c>
      <c r="V296">
        <f>VLOOKUP(C296,CU_ARS_2025_WOF_F2!$A$2:$K$673,9,FALSE)</f>
        <v>0</v>
      </c>
      <c r="W296">
        <f>VLOOKUP(C296,CU_ARS_2025_WOF_F2!$A$2:$K$673,10,FALSE)</f>
        <v>0</v>
      </c>
      <c r="X296">
        <f>VLOOKUP(C296,CU_ARS_2025_WOF_F2!$A$2:$K$673,11,FALSE)</f>
        <v>49</v>
      </c>
      <c r="Y296" t="str">
        <f>VLOOKUP(Q296,cross_pedigree!$A$2:$B$23,2,FALSE)</f>
        <v>NC20-4452/SEGER|PI306405</v>
      </c>
    </row>
    <row r="297" spans="1:25" ht="18">
      <c r="A297" s="21" t="s">
        <v>15</v>
      </c>
      <c r="B297" s="21" t="s">
        <v>16</v>
      </c>
      <c r="C297" s="22">
        <v>753765</v>
      </c>
      <c r="D297" s="23">
        <v>4</v>
      </c>
      <c r="E297" s="24" t="str">
        <f t="shared" si="4"/>
        <v>CU_ARS_2025_WOF_F2_7_plant_57</v>
      </c>
      <c r="F297" s="21" t="s">
        <v>77</v>
      </c>
      <c r="G297" s="44" t="s">
        <v>110</v>
      </c>
      <c r="H297" s="42"/>
      <c r="I297" s="42" t="s">
        <v>1046</v>
      </c>
      <c r="J297" s="42" t="s">
        <v>1003</v>
      </c>
      <c r="K297" s="42"/>
      <c r="L297" s="42"/>
      <c r="M297" s="42"/>
      <c r="N297" t="str">
        <f>VLOOKUP(C297,CU_ARS_2025_WOF_F2!$A$2:$K$673,2,FALSE)</f>
        <v>CU_ARS_2025_WOF_F2_7_plant_57</v>
      </c>
      <c r="O297" t="str">
        <f>VLOOKUP(C297,CU_ARS_2025_WOF_F2!$A$2:$K$673,2,FALSE)</f>
        <v>CU_ARS_2025_WOF_F2_7_plant_57</v>
      </c>
      <c r="P297" t="str">
        <f>VLOOKUP(C297,CU_ARS_2025_WOF_F2!$A$2:$K$673,3,FALSE)</f>
        <v>CU_ARS_2025_WOF_F2_7</v>
      </c>
      <c r="Q297" t="str">
        <f>VLOOKUP(C297,CU_ARS_2025_WOF_F2!$A$2:$K$673,4,FALSE)</f>
        <v>CU_ARS_2025_WOF_cross_83</v>
      </c>
      <c r="R297">
        <f>VLOOKUP(C297,CU_ARS_2025_WOF_F2!$A$2:$K$673,5,FALSE)</f>
        <v>7</v>
      </c>
      <c r="S297">
        <f>VLOOKUP(C297,CU_ARS_2025_WOF_F2!$A$2:$K$673,6,FALSE)</f>
        <v>1</v>
      </c>
      <c r="T297">
        <f>VLOOKUP(C297,CU_ARS_2025_WOF_F2!$A$2:$K$673,7,FALSE)</f>
        <v>0</v>
      </c>
      <c r="U297">
        <f>VLOOKUP(C297,CU_ARS_2025_WOF_F2!$A$2:$K$673,8,FALSE)</f>
        <v>1</v>
      </c>
      <c r="V297">
        <f>VLOOKUP(C297,CU_ARS_2025_WOF_F2!$A$2:$K$673,9,FALSE)</f>
        <v>0</v>
      </c>
      <c r="W297">
        <f>VLOOKUP(C297,CU_ARS_2025_WOF_F2!$A$2:$K$673,10,FALSE)</f>
        <v>0</v>
      </c>
      <c r="X297">
        <f>VLOOKUP(C297,CU_ARS_2025_WOF_F2!$A$2:$K$673,11,FALSE)</f>
        <v>57</v>
      </c>
      <c r="Y297" t="str">
        <f>VLOOKUP(Q297,cross_pedigree!$A$2:$B$23,2,FALSE)</f>
        <v>NC20-4452/SEGER|PI306405</v>
      </c>
    </row>
    <row r="298" spans="1:25" ht="18">
      <c r="A298" s="21" t="s">
        <v>15</v>
      </c>
      <c r="B298" s="21" t="s">
        <v>16</v>
      </c>
      <c r="C298" s="22">
        <v>753758</v>
      </c>
      <c r="D298" s="23">
        <v>4</v>
      </c>
      <c r="E298" s="24" t="str">
        <f t="shared" si="4"/>
        <v>CU_ARS_2025_WOF_F2_7_plant_50</v>
      </c>
      <c r="F298" s="21" t="s">
        <v>79</v>
      </c>
      <c r="G298" s="44" t="s">
        <v>111</v>
      </c>
      <c r="H298" s="42"/>
      <c r="I298" s="42" t="s">
        <v>1046</v>
      </c>
      <c r="J298" s="42" t="s">
        <v>1003</v>
      </c>
      <c r="K298" s="42"/>
      <c r="L298" s="42"/>
      <c r="M298" s="42"/>
      <c r="N298" t="str">
        <f>VLOOKUP(C298,CU_ARS_2025_WOF_F2!$A$2:$K$673,2,FALSE)</f>
        <v>CU_ARS_2025_WOF_F2_7_plant_50</v>
      </c>
      <c r="O298" t="str">
        <f>VLOOKUP(C298,CU_ARS_2025_WOF_F2!$A$2:$K$673,2,FALSE)</f>
        <v>CU_ARS_2025_WOF_F2_7_plant_50</v>
      </c>
      <c r="P298" t="str">
        <f>VLOOKUP(C298,CU_ARS_2025_WOF_F2!$A$2:$K$673,3,FALSE)</f>
        <v>CU_ARS_2025_WOF_F2_7</v>
      </c>
      <c r="Q298" t="str">
        <f>VLOOKUP(C298,CU_ARS_2025_WOF_F2!$A$2:$K$673,4,FALSE)</f>
        <v>CU_ARS_2025_WOF_cross_83</v>
      </c>
      <c r="R298">
        <f>VLOOKUP(C298,CU_ARS_2025_WOF_F2!$A$2:$K$673,5,FALSE)</f>
        <v>7</v>
      </c>
      <c r="S298">
        <f>VLOOKUP(C298,CU_ARS_2025_WOF_F2!$A$2:$K$673,6,FALSE)</f>
        <v>1</v>
      </c>
      <c r="T298">
        <f>VLOOKUP(C298,CU_ARS_2025_WOF_F2!$A$2:$K$673,7,FALSE)</f>
        <v>0</v>
      </c>
      <c r="U298">
        <f>VLOOKUP(C298,CU_ARS_2025_WOF_F2!$A$2:$K$673,8,FALSE)</f>
        <v>1</v>
      </c>
      <c r="V298">
        <f>VLOOKUP(C298,CU_ARS_2025_WOF_F2!$A$2:$K$673,9,FALSE)</f>
        <v>0</v>
      </c>
      <c r="W298">
        <f>VLOOKUP(C298,CU_ARS_2025_WOF_F2!$A$2:$K$673,10,FALSE)</f>
        <v>0</v>
      </c>
      <c r="X298">
        <f>VLOOKUP(C298,CU_ARS_2025_WOF_F2!$A$2:$K$673,11,FALSE)</f>
        <v>50</v>
      </c>
      <c r="Y298" t="str">
        <f>VLOOKUP(Q298,cross_pedigree!$A$2:$B$23,2,FALSE)</f>
        <v>NC20-4452/SEGER|PI306405</v>
      </c>
    </row>
    <row r="299" spans="1:25" ht="18">
      <c r="A299" s="21" t="s">
        <v>15</v>
      </c>
      <c r="B299" s="21" t="s">
        <v>16</v>
      </c>
      <c r="C299" s="22">
        <v>753759</v>
      </c>
      <c r="D299" s="23">
        <v>4</v>
      </c>
      <c r="E299" s="24" t="str">
        <f t="shared" si="4"/>
        <v>CU_ARS_2025_WOF_F2_7_plant_51</v>
      </c>
      <c r="F299" s="21" t="s">
        <v>81</v>
      </c>
      <c r="G299" s="44" t="s">
        <v>112</v>
      </c>
      <c r="H299" s="42"/>
      <c r="I299" s="42" t="s">
        <v>1046</v>
      </c>
      <c r="J299" s="42" t="s">
        <v>1003</v>
      </c>
      <c r="K299" s="42"/>
      <c r="L299" s="42"/>
      <c r="M299" s="42"/>
      <c r="N299" t="str">
        <f>VLOOKUP(C299,CU_ARS_2025_WOF_F2!$A$2:$K$673,2,FALSE)</f>
        <v>CU_ARS_2025_WOF_F2_7_plant_51</v>
      </c>
      <c r="O299" t="str">
        <f>VLOOKUP(C299,CU_ARS_2025_WOF_F2!$A$2:$K$673,2,FALSE)</f>
        <v>CU_ARS_2025_WOF_F2_7_plant_51</v>
      </c>
      <c r="P299" t="str">
        <f>VLOOKUP(C299,CU_ARS_2025_WOF_F2!$A$2:$K$673,3,FALSE)</f>
        <v>CU_ARS_2025_WOF_F2_7</v>
      </c>
      <c r="Q299" t="str">
        <f>VLOOKUP(C299,CU_ARS_2025_WOF_F2!$A$2:$K$673,4,FALSE)</f>
        <v>CU_ARS_2025_WOF_cross_83</v>
      </c>
      <c r="R299">
        <f>VLOOKUP(C299,CU_ARS_2025_WOF_F2!$A$2:$K$673,5,FALSE)</f>
        <v>7</v>
      </c>
      <c r="S299">
        <f>VLOOKUP(C299,CU_ARS_2025_WOF_F2!$A$2:$K$673,6,FALSE)</f>
        <v>1</v>
      </c>
      <c r="T299">
        <f>VLOOKUP(C299,CU_ARS_2025_WOF_F2!$A$2:$K$673,7,FALSE)</f>
        <v>0</v>
      </c>
      <c r="U299">
        <f>VLOOKUP(C299,CU_ARS_2025_WOF_F2!$A$2:$K$673,8,FALSE)</f>
        <v>1</v>
      </c>
      <c r="V299">
        <f>VLOOKUP(C299,CU_ARS_2025_WOF_F2!$A$2:$K$673,9,FALSE)</f>
        <v>0</v>
      </c>
      <c r="W299">
        <f>VLOOKUP(C299,CU_ARS_2025_WOF_F2!$A$2:$K$673,10,FALSE)</f>
        <v>0</v>
      </c>
      <c r="X299">
        <f>VLOOKUP(C299,CU_ARS_2025_WOF_F2!$A$2:$K$673,11,FALSE)</f>
        <v>51</v>
      </c>
      <c r="Y299" t="str">
        <f>VLOOKUP(Q299,cross_pedigree!$A$2:$B$23,2,FALSE)</f>
        <v>NC20-4452/SEGER|PI306405</v>
      </c>
    </row>
    <row r="300" spans="1:25" ht="18">
      <c r="A300" s="21" t="s">
        <v>15</v>
      </c>
      <c r="B300" s="21" t="s">
        <v>16</v>
      </c>
      <c r="C300" s="22">
        <v>753766</v>
      </c>
      <c r="D300" s="23">
        <v>4</v>
      </c>
      <c r="E300" s="24" t="str">
        <f t="shared" si="4"/>
        <v>CU_ARS_2025_WOF_F2_7_plant_58</v>
      </c>
      <c r="F300" s="21" t="s">
        <v>82</v>
      </c>
      <c r="G300" s="44" t="s">
        <v>113</v>
      </c>
      <c r="H300" s="42"/>
      <c r="I300" s="42" t="s">
        <v>1046</v>
      </c>
      <c r="J300" s="42" t="s">
        <v>1003</v>
      </c>
      <c r="K300" s="42"/>
      <c r="L300" s="42"/>
      <c r="M300" s="42"/>
      <c r="N300" t="str">
        <f>VLOOKUP(C300,CU_ARS_2025_WOF_F2!$A$2:$K$673,2,FALSE)</f>
        <v>CU_ARS_2025_WOF_F2_7_plant_58</v>
      </c>
      <c r="O300" t="str">
        <f>VLOOKUP(C300,CU_ARS_2025_WOF_F2!$A$2:$K$673,2,FALSE)</f>
        <v>CU_ARS_2025_WOF_F2_7_plant_58</v>
      </c>
      <c r="P300" t="str">
        <f>VLOOKUP(C300,CU_ARS_2025_WOF_F2!$A$2:$K$673,3,FALSE)</f>
        <v>CU_ARS_2025_WOF_F2_7</v>
      </c>
      <c r="Q300" t="str">
        <f>VLOOKUP(C300,CU_ARS_2025_WOF_F2!$A$2:$K$673,4,FALSE)</f>
        <v>CU_ARS_2025_WOF_cross_83</v>
      </c>
      <c r="R300">
        <f>VLOOKUP(C300,CU_ARS_2025_WOF_F2!$A$2:$K$673,5,FALSE)</f>
        <v>7</v>
      </c>
      <c r="S300">
        <f>VLOOKUP(C300,CU_ARS_2025_WOF_F2!$A$2:$K$673,6,FALSE)</f>
        <v>1</v>
      </c>
      <c r="T300">
        <f>VLOOKUP(C300,CU_ARS_2025_WOF_F2!$A$2:$K$673,7,FALSE)</f>
        <v>0</v>
      </c>
      <c r="U300">
        <f>VLOOKUP(C300,CU_ARS_2025_WOF_F2!$A$2:$K$673,8,FALSE)</f>
        <v>1</v>
      </c>
      <c r="V300">
        <f>VLOOKUP(C300,CU_ARS_2025_WOF_F2!$A$2:$K$673,9,FALSE)</f>
        <v>0</v>
      </c>
      <c r="W300">
        <f>VLOOKUP(C300,CU_ARS_2025_WOF_F2!$A$2:$K$673,10,FALSE)</f>
        <v>0</v>
      </c>
      <c r="X300">
        <f>VLOOKUP(C300,CU_ARS_2025_WOF_F2!$A$2:$K$673,11,FALSE)</f>
        <v>58</v>
      </c>
      <c r="Y300" t="str">
        <f>VLOOKUP(Q300,cross_pedigree!$A$2:$B$23,2,FALSE)</f>
        <v>NC20-4452/SEGER|PI306405</v>
      </c>
    </row>
    <row r="301" spans="1:25" ht="18">
      <c r="A301" s="21" t="s">
        <v>15</v>
      </c>
      <c r="B301" s="21" t="s">
        <v>16</v>
      </c>
      <c r="C301" s="22">
        <v>753767</v>
      </c>
      <c r="D301" s="23">
        <v>4</v>
      </c>
      <c r="E301" s="24" t="str">
        <f t="shared" si="4"/>
        <v>CU_ARS_2025_WOF_F2_7_plant_59</v>
      </c>
      <c r="F301" s="21" t="s">
        <v>83</v>
      </c>
      <c r="G301" s="44" t="s">
        <v>114</v>
      </c>
      <c r="H301" s="42"/>
      <c r="I301" s="42" t="s">
        <v>1046</v>
      </c>
      <c r="J301" s="42" t="s">
        <v>1003</v>
      </c>
      <c r="K301" s="42"/>
      <c r="L301" s="42"/>
      <c r="M301" s="42"/>
      <c r="N301" t="str">
        <f>VLOOKUP(C301,CU_ARS_2025_WOF_F2!$A$2:$K$673,2,FALSE)</f>
        <v>CU_ARS_2025_WOF_F2_7_plant_59</v>
      </c>
      <c r="O301" t="str">
        <f>VLOOKUP(C301,CU_ARS_2025_WOF_F2!$A$2:$K$673,2,FALSE)</f>
        <v>CU_ARS_2025_WOF_F2_7_plant_59</v>
      </c>
      <c r="P301" t="str">
        <f>VLOOKUP(C301,CU_ARS_2025_WOF_F2!$A$2:$K$673,3,FALSE)</f>
        <v>CU_ARS_2025_WOF_F2_7</v>
      </c>
      <c r="Q301" t="str">
        <f>VLOOKUP(C301,CU_ARS_2025_WOF_F2!$A$2:$K$673,4,FALSE)</f>
        <v>CU_ARS_2025_WOF_cross_83</v>
      </c>
      <c r="R301">
        <f>VLOOKUP(C301,CU_ARS_2025_WOF_F2!$A$2:$K$673,5,FALSE)</f>
        <v>7</v>
      </c>
      <c r="S301">
        <f>VLOOKUP(C301,CU_ARS_2025_WOF_F2!$A$2:$K$673,6,FALSE)</f>
        <v>1</v>
      </c>
      <c r="T301">
        <f>VLOOKUP(C301,CU_ARS_2025_WOF_F2!$A$2:$K$673,7,FALSE)</f>
        <v>0</v>
      </c>
      <c r="U301">
        <f>VLOOKUP(C301,CU_ARS_2025_WOF_F2!$A$2:$K$673,8,FALSE)</f>
        <v>1</v>
      </c>
      <c r="V301">
        <f>VLOOKUP(C301,CU_ARS_2025_WOF_F2!$A$2:$K$673,9,FALSE)</f>
        <v>0</v>
      </c>
      <c r="W301">
        <f>VLOOKUP(C301,CU_ARS_2025_WOF_F2!$A$2:$K$673,10,FALSE)</f>
        <v>0</v>
      </c>
      <c r="X301">
        <f>VLOOKUP(C301,CU_ARS_2025_WOF_F2!$A$2:$K$673,11,FALSE)</f>
        <v>59</v>
      </c>
      <c r="Y301" t="str">
        <f>VLOOKUP(Q301,cross_pedigree!$A$2:$B$23,2,FALSE)</f>
        <v>NC20-4452/SEGER|PI306405</v>
      </c>
    </row>
    <row r="302" spans="1:25" ht="18">
      <c r="A302" s="21" t="s">
        <v>15</v>
      </c>
      <c r="B302" s="21" t="s">
        <v>16</v>
      </c>
      <c r="C302" s="22">
        <v>753760</v>
      </c>
      <c r="D302" s="23">
        <v>4</v>
      </c>
      <c r="E302" s="24" t="str">
        <f t="shared" si="4"/>
        <v>CU_ARS_2025_WOF_F2_7_plant_52</v>
      </c>
      <c r="F302" s="21" t="s">
        <v>84</v>
      </c>
      <c r="G302" s="44" t="s">
        <v>115</v>
      </c>
      <c r="H302" s="42"/>
      <c r="I302" s="42" t="s">
        <v>1046</v>
      </c>
      <c r="J302" s="42" t="s">
        <v>1003</v>
      </c>
      <c r="K302" s="42"/>
      <c r="L302" s="42"/>
      <c r="M302" s="42"/>
      <c r="N302" t="str">
        <f>VLOOKUP(C302,CU_ARS_2025_WOF_F2!$A$2:$K$673,2,FALSE)</f>
        <v>CU_ARS_2025_WOF_F2_7_plant_52</v>
      </c>
      <c r="O302" t="str">
        <f>VLOOKUP(C302,CU_ARS_2025_WOF_F2!$A$2:$K$673,2,FALSE)</f>
        <v>CU_ARS_2025_WOF_F2_7_plant_52</v>
      </c>
      <c r="P302" t="str">
        <f>VLOOKUP(C302,CU_ARS_2025_WOF_F2!$A$2:$K$673,3,FALSE)</f>
        <v>CU_ARS_2025_WOF_F2_7</v>
      </c>
      <c r="Q302" t="str">
        <f>VLOOKUP(C302,CU_ARS_2025_WOF_F2!$A$2:$K$673,4,FALSE)</f>
        <v>CU_ARS_2025_WOF_cross_83</v>
      </c>
      <c r="R302">
        <f>VLOOKUP(C302,CU_ARS_2025_WOF_F2!$A$2:$K$673,5,FALSE)</f>
        <v>7</v>
      </c>
      <c r="S302">
        <f>VLOOKUP(C302,CU_ARS_2025_WOF_F2!$A$2:$K$673,6,FALSE)</f>
        <v>1</v>
      </c>
      <c r="T302">
        <f>VLOOKUP(C302,CU_ARS_2025_WOF_F2!$A$2:$K$673,7,FALSE)</f>
        <v>0</v>
      </c>
      <c r="U302">
        <f>VLOOKUP(C302,CU_ARS_2025_WOF_F2!$A$2:$K$673,8,FALSE)</f>
        <v>1</v>
      </c>
      <c r="V302">
        <f>VLOOKUP(C302,CU_ARS_2025_WOF_F2!$A$2:$K$673,9,FALSE)</f>
        <v>0</v>
      </c>
      <c r="W302">
        <f>VLOOKUP(C302,CU_ARS_2025_WOF_F2!$A$2:$K$673,10,FALSE)</f>
        <v>0</v>
      </c>
      <c r="X302">
        <f>VLOOKUP(C302,CU_ARS_2025_WOF_F2!$A$2:$K$673,11,FALSE)</f>
        <v>52</v>
      </c>
      <c r="Y302" t="str">
        <f>VLOOKUP(Q302,cross_pedigree!$A$2:$B$23,2,FALSE)</f>
        <v>NC20-4452/SEGER|PI306405</v>
      </c>
    </row>
    <row r="303" spans="1:25" ht="18">
      <c r="A303" s="21" t="s">
        <v>15</v>
      </c>
      <c r="B303" s="21" t="s">
        <v>16</v>
      </c>
      <c r="C303" s="22">
        <v>753761</v>
      </c>
      <c r="D303" s="23">
        <v>4</v>
      </c>
      <c r="E303" s="24" t="str">
        <f t="shared" si="4"/>
        <v>CU_ARS_2025_WOF_F2_7_plant_53</v>
      </c>
      <c r="F303" s="21" t="s">
        <v>85</v>
      </c>
      <c r="G303" s="44" t="s">
        <v>116</v>
      </c>
      <c r="H303" s="42"/>
      <c r="I303" s="42" t="s">
        <v>1046</v>
      </c>
      <c r="J303" s="42" t="s">
        <v>1003</v>
      </c>
      <c r="K303" s="42"/>
      <c r="L303" s="42"/>
      <c r="M303" s="42"/>
      <c r="N303" t="str">
        <f>VLOOKUP(C303,CU_ARS_2025_WOF_F2!$A$2:$K$673,2,FALSE)</f>
        <v>CU_ARS_2025_WOF_F2_7_plant_53</v>
      </c>
      <c r="O303" t="str">
        <f>VLOOKUP(C303,CU_ARS_2025_WOF_F2!$A$2:$K$673,2,FALSE)</f>
        <v>CU_ARS_2025_WOF_F2_7_plant_53</v>
      </c>
      <c r="P303" t="str">
        <f>VLOOKUP(C303,CU_ARS_2025_WOF_F2!$A$2:$K$673,3,FALSE)</f>
        <v>CU_ARS_2025_WOF_F2_7</v>
      </c>
      <c r="Q303" t="str">
        <f>VLOOKUP(C303,CU_ARS_2025_WOF_F2!$A$2:$K$673,4,FALSE)</f>
        <v>CU_ARS_2025_WOF_cross_83</v>
      </c>
      <c r="R303">
        <f>VLOOKUP(C303,CU_ARS_2025_WOF_F2!$A$2:$K$673,5,FALSE)</f>
        <v>7</v>
      </c>
      <c r="S303">
        <f>VLOOKUP(C303,CU_ARS_2025_WOF_F2!$A$2:$K$673,6,FALSE)</f>
        <v>1</v>
      </c>
      <c r="T303">
        <f>VLOOKUP(C303,CU_ARS_2025_WOF_F2!$A$2:$K$673,7,FALSE)</f>
        <v>0</v>
      </c>
      <c r="U303">
        <f>VLOOKUP(C303,CU_ARS_2025_WOF_F2!$A$2:$K$673,8,FALSE)</f>
        <v>1</v>
      </c>
      <c r="V303">
        <f>VLOOKUP(C303,CU_ARS_2025_WOF_F2!$A$2:$K$673,9,FALSE)</f>
        <v>0</v>
      </c>
      <c r="W303">
        <f>VLOOKUP(C303,CU_ARS_2025_WOF_F2!$A$2:$K$673,10,FALSE)</f>
        <v>0</v>
      </c>
      <c r="X303">
        <f>VLOOKUP(C303,CU_ARS_2025_WOF_F2!$A$2:$K$673,11,FALSE)</f>
        <v>53</v>
      </c>
      <c r="Y303" t="str">
        <f>VLOOKUP(Q303,cross_pedigree!$A$2:$B$23,2,FALSE)</f>
        <v>NC20-4452/SEGER|PI306405</v>
      </c>
    </row>
    <row r="304" spans="1:25" ht="18">
      <c r="A304" s="21" t="s">
        <v>15</v>
      </c>
      <c r="B304" s="21" t="s">
        <v>16</v>
      </c>
      <c r="C304" s="22">
        <v>753768</v>
      </c>
      <c r="D304" s="23">
        <v>4</v>
      </c>
      <c r="E304" s="24" t="str">
        <f t="shared" si="4"/>
        <v>CU_ARS_2025_WOF_F2_7_plant_60</v>
      </c>
      <c r="F304" s="21" t="s">
        <v>117</v>
      </c>
      <c r="G304" s="44" t="s">
        <v>118</v>
      </c>
      <c r="H304" s="42"/>
      <c r="I304" s="42" t="s">
        <v>1046</v>
      </c>
      <c r="J304" s="42" t="s">
        <v>1003</v>
      </c>
      <c r="K304" s="42"/>
      <c r="L304" s="42"/>
      <c r="M304" s="42"/>
      <c r="N304" t="str">
        <f>VLOOKUP(C304,CU_ARS_2025_WOF_F2!$A$2:$K$673,2,FALSE)</f>
        <v>CU_ARS_2025_WOF_F2_7_plant_60</v>
      </c>
      <c r="O304" t="str">
        <f>VLOOKUP(C304,CU_ARS_2025_WOF_F2!$A$2:$K$673,2,FALSE)</f>
        <v>CU_ARS_2025_WOF_F2_7_plant_60</v>
      </c>
      <c r="P304" t="str">
        <f>VLOOKUP(C304,CU_ARS_2025_WOF_F2!$A$2:$K$673,3,FALSE)</f>
        <v>CU_ARS_2025_WOF_F2_7</v>
      </c>
      <c r="Q304" t="str">
        <f>VLOOKUP(C304,CU_ARS_2025_WOF_F2!$A$2:$K$673,4,FALSE)</f>
        <v>CU_ARS_2025_WOF_cross_83</v>
      </c>
      <c r="R304">
        <f>VLOOKUP(C304,CU_ARS_2025_WOF_F2!$A$2:$K$673,5,FALSE)</f>
        <v>7</v>
      </c>
      <c r="S304">
        <f>VLOOKUP(C304,CU_ARS_2025_WOF_F2!$A$2:$K$673,6,FALSE)</f>
        <v>1</v>
      </c>
      <c r="T304">
        <f>VLOOKUP(C304,CU_ARS_2025_WOF_F2!$A$2:$K$673,7,FALSE)</f>
        <v>0</v>
      </c>
      <c r="U304">
        <f>VLOOKUP(C304,CU_ARS_2025_WOF_F2!$A$2:$K$673,8,FALSE)</f>
        <v>1</v>
      </c>
      <c r="V304">
        <f>VLOOKUP(C304,CU_ARS_2025_WOF_F2!$A$2:$K$673,9,FALSE)</f>
        <v>0</v>
      </c>
      <c r="W304">
        <f>VLOOKUP(C304,CU_ARS_2025_WOF_F2!$A$2:$K$673,10,FALSE)</f>
        <v>0</v>
      </c>
      <c r="X304">
        <f>VLOOKUP(C304,CU_ARS_2025_WOF_F2!$A$2:$K$673,11,FALSE)</f>
        <v>60</v>
      </c>
      <c r="Y304" t="str">
        <f>VLOOKUP(Q304,cross_pedigree!$A$2:$B$23,2,FALSE)</f>
        <v>NC20-4452/SEGER|PI306405</v>
      </c>
    </row>
    <row r="305" spans="1:25" ht="18">
      <c r="A305" s="21" t="s">
        <v>15</v>
      </c>
      <c r="B305" s="21" t="s">
        <v>16</v>
      </c>
      <c r="C305" s="22">
        <v>753769</v>
      </c>
      <c r="D305" s="23">
        <v>4</v>
      </c>
      <c r="E305" s="24" t="str">
        <f t="shared" si="4"/>
        <v>CU_ARS_2025_WOF_F2_7_plant_61</v>
      </c>
      <c r="F305" s="21" t="s">
        <v>119</v>
      </c>
      <c r="G305" s="44" t="s">
        <v>120</v>
      </c>
      <c r="H305" s="42"/>
      <c r="I305" s="42" t="s">
        <v>1046</v>
      </c>
      <c r="J305" s="42" t="s">
        <v>1003</v>
      </c>
      <c r="K305" s="42"/>
      <c r="L305" s="42"/>
      <c r="M305" s="42"/>
      <c r="N305" t="str">
        <f>VLOOKUP(C305,CU_ARS_2025_WOF_F2!$A$2:$K$673,2,FALSE)</f>
        <v>CU_ARS_2025_WOF_F2_7_plant_61</v>
      </c>
      <c r="O305" t="str">
        <f>VLOOKUP(C305,CU_ARS_2025_WOF_F2!$A$2:$K$673,2,FALSE)</f>
        <v>CU_ARS_2025_WOF_F2_7_plant_61</v>
      </c>
      <c r="P305" t="str">
        <f>VLOOKUP(C305,CU_ARS_2025_WOF_F2!$A$2:$K$673,3,FALSE)</f>
        <v>CU_ARS_2025_WOF_F2_7</v>
      </c>
      <c r="Q305" t="str">
        <f>VLOOKUP(C305,CU_ARS_2025_WOF_F2!$A$2:$K$673,4,FALSE)</f>
        <v>CU_ARS_2025_WOF_cross_83</v>
      </c>
      <c r="R305">
        <f>VLOOKUP(C305,CU_ARS_2025_WOF_F2!$A$2:$K$673,5,FALSE)</f>
        <v>7</v>
      </c>
      <c r="S305">
        <f>VLOOKUP(C305,CU_ARS_2025_WOF_F2!$A$2:$K$673,6,FALSE)</f>
        <v>1</v>
      </c>
      <c r="T305">
        <f>VLOOKUP(C305,CU_ARS_2025_WOF_F2!$A$2:$K$673,7,FALSE)</f>
        <v>0</v>
      </c>
      <c r="U305">
        <f>VLOOKUP(C305,CU_ARS_2025_WOF_F2!$A$2:$K$673,8,FALSE)</f>
        <v>1</v>
      </c>
      <c r="V305">
        <f>VLOOKUP(C305,CU_ARS_2025_WOF_F2!$A$2:$K$673,9,FALSE)</f>
        <v>0</v>
      </c>
      <c r="W305">
        <f>VLOOKUP(C305,CU_ARS_2025_WOF_F2!$A$2:$K$673,10,FALSE)</f>
        <v>0</v>
      </c>
      <c r="X305">
        <f>VLOOKUP(C305,CU_ARS_2025_WOF_F2!$A$2:$K$673,11,FALSE)</f>
        <v>61</v>
      </c>
      <c r="Y305" t="str">
        <f>VLOOKUP(Q305,cross_pedigree!$A$2:$B$23,2,FALSE)</f>
        <v>NC20-4452/SEGER|PI306405</v>
      </c>
    </row>
    <row r="306" spans="1:25" ht="18">
      <c r="A306" s="21" t="s">
        <v>15</v>
      </c>
      <c r="B306" s="21" t="s">
        <v>16</v>
      </c>
      <c r="C306" s="22">
        <v>753770</v>
      </c>
      <c r="D306" s="23">
        <v>4</v>
      </c>
      <c r="E306" s="24" t="str">
        <f t="shared" si="4"/>
        <v>CU_ARS_2025_WOF_F2_7_plant_62</v>
      </c>
      <c r="F306" s="21" t="s">
        <v>121</v>
      </c>
      <c r="G306" s="44" t="s">
        <v>122</v>
      </c>
      <c r="H306" s="42"/>
      <c r="I306" s="42" t="s">
        <v>1046</v>
      </c>
      <c r="J306" s="42" t="s">
        <v>1003</v>
      </c>
      <c r="K306" s="42"/>
      <c r="L306" s="42"/>
      <c r="M306" s="42"/>
      <c r="N306" t="str">
        <f>VLOOKUP(C306,CU_ARS_2025_WOF_F2!$A$2:$K$673,2,FALSE)</f>
        <v>CU_ARS_2025_WOF_F2_7_plant_62</v>
      </c>
      <c r="O306" t="str">
        <f>VLOOKUP(C306,CU_ARS_2025_WOF_F2!$A$2:$K$673,2,FALSE)</f>
        <v>CU_ARS_2025_WOF_F2_7_plant_62</v>
      </c>
      <c r="P306" t="str">
        <f>VLOOKUP(C306,CU_ARS_2025_WOF_F2!$A$2:$K$673,3,FALSE)</f>
        <v>CU_ARS_2025_WOF_F2_7</v>
      </c>
      <c r="Q306" t="str">
        <f>VLOOKUP(C306,CU_ARS_2025_WOF_F2!$A$2:$K$673,4,FALSE)</f>
        <v>CU_ARS_2025_WOF_cross_83</v>
      </c>
      <c r="R306">
        <f>VLOOKUP(C306,CU_ARS_2025_WOF_F2!$A$2:$K$673,5,FALSE)</f>
        <v>7</v>
      </c>
      <c r="S306">
        <f>VLOOKUP(C306,CU_ARS_2025_WOF_F2!$A$2:$K$673,6,FALSE)</f>
        <v>1</v>
      </c>
      <c r="T306">
        <f>VLOOKUP(C306,CU_ARS_2025_WOF_F2!$A$2:$K$673,7,FALSE)</f>
        <v>0</v>
      </c>
      <c r="U306">
        <f>VLOOKUP(C306,CU_ARS_2025_WOF_F2!$A$2:$K$673,8,FALSE)</f>
        <v>1</v>
      </c>
      <c r="V306">
        <f>VLOOKUP(C306,CU_ARS_2025_WOF_F2!$A$2:$K$673,9,FALSE)</f>
        <v>0</v>
      </c>
      <c r="W306">
        <f>VLOOKUP(C306,CU_ARS_2025_WOF_F2!$A$2:$K$673,10,FALSE)</f>
        <v>0</v>
      </c>
      <c r="X306">
        <f>VLOOKUP(C306,CU_ARS_2025_WOF_F2!$A$2:$K$673,11,FALSE)</f>
        <v>62</v>
      </c>
      <c r="Y306" t="str">
        <f>VLOOKUP(Q306,cross_pedigree!$A$2:$B$23,2,FALSE)</f>
        <v>NC20-4452/SEGER|PI306405</v>
      </c>
    </row>
    <row r="307" spans="1:25" ht="18">
      <c r="A307" s="21" t="s">
        <v>15</v>
      </c>
      <c r="B307" s="21" t="s">
        <v>16</v>
      </c>
      <c r="C307" s="22">
        <v>753771</v>
      </c>
      <c r="D307" s="23">
        <v>4</v>
      </c>
      <c r="E307" s="24" t="str">
        <f t="shared" si="4"/>
        <v>CU_ARS_2025_WOF_F2_7_plant_63</v>
      </c>
      <c r="F307" s="21" t="s">
        <v>123</v>
      </c>
      <c r="G307" s="44" t="s">
        <v>124</v>
      </c>
      <c r="H307" s="42"/>
      <c r="I307" s="42" t="s">
        <v>1046</v>
      </c>
      <c r="J307" s="42" t="s">
        <v>1003</v>
      </c>
      <c r="K307" s="42"/>
      <c r="L307" s="42"/>
      <c r="M307" s="42"/>
      <c r="N307" t="str">
        <f>VLOOKUP(C307,CU_ARS_2025_WOF_F2!$A$2:$K$673,2,FALSE)</f>
        <v>CU_ARS_2025_WOF_F2_7_plant_63</v>
      </c>
      <c r="O307" t="str">
        <f>VLOOKUP(C307,CU_ARS_2025_WOF_F2!$A$2:$K$673,2,FALSE)</f>
        <v>CU_ARS_2025_WOF_F2_7_plant_63</v>
      </c>
      <c r="P307" t="str">
        <f>VLOOKUP(C307,CU_ARS_2025_WOF_F2!$A$2:$K$673,3,FALSE)</f>
        <v>CU_ARS_2025_WOF_F2_7</v>
      </c>
      <c r="Q307" t="str">
        <f>VLOOKUP(C307,CU_ARS_2025_WOF_F2!$A$2:$K$673,4,FALSE)</f>
        <v>CU_ARS_2025_WOF_cross_83</v>
      </c>
      <c r="R307">
        <f>VLOOKUP(C307,CU_ARS_2025_WOF_F2!$A$2:$K$673,5,FALSE)</f>
        <v>7</v>
      </c>
      <c r="S307">
        <f>VLOOKUP(C307,CU_ARS_2025_WOF_F2!$A$2:$K$673,6,FALSE)</f>
        <v>1</v>
      </c>
      <c r="T307">
        <f>VLOOKUP(C307,CU_ARS_2025_WOF_F2!$A$2:$K$673,7,FALSE)</f>
        <v>0</v>
      </c>
      <c r="U307">
        <f>VLOOKUP(C307,CU_ARS_2025_WOF_F2!$A$2:$K$673,8,FALSE)</f>
        <v>1</v>
      </c>
      <c r="V307">
        <f>VLOOKUP(C307,CU_ARS_2025_WOF_F2!$A$2:$K$673,9,FALSE)</f>
        <v>0</v>
      </c>
      <c r="W307">
        <f>VLOOKUP(C307,CU_ARS_2025_WOF_F2!$A$2:$K$673,10,FALSE)</f>
        <v>0</v>
      </c>
      <c r="X307">
        <f>VLOOKUP(C307,CU_ARS_2025_WOF_F2!$A$2:$K$673,11,FALSE)</f>
        <v>63</v>
      </c>
      <c r="Y307" t="str">
        <f>VLOOKUP(Q307,cross_pedigree!$A$2:$B$23,2,FALSE)</f>
        <v>NC20-4452/SEGER|PI306405</v>
      </c>
    </row>
    <row r="308" spans="1:25" ht="18">
      <c r="A308" s="21" t="s">
        <v>15</v>
      </c>
      <c r="B308" s="21" t="s">
        <v>16</v>
      </c>
      <c r="C308" s="22">
        <v>753772</v>
      </c>
      <c r="D308" s="23">
        <v>4</v>
      </c>
      <c r="E308" s="24" t="str">
        <f t="shared" si="4"/>
        <v>CU_ARS_2025_WOF_F2_7_plant_64</v>
      </c>
      <c r="F308" s="21" t="s">
        <v>125</v>
      </c>
      <c r="G308" s="44" t="s">
        <v>126</v>
      </c>
      <c r="H308" s="42"/>
      <c r="I308" s="42" t="s">
        <v>1046</v>
      </c>
      <c r="J308" s="42" t="s">
        <v>1003</v>
      </c>
      <c r="K308" s="42"/>
      <c r="L308" s="42"/>
      <c r="M308" s="42"/>
      <c r="N308" t="str">
        <f>VLOOKUP(C308,CU_ARS_2025_WOF_F2!$A$2:$K$673,2,FALSE)</f>
        <v>CU_ARS_2025_WOF_F2_7_plant_64</v>
      </c>
      <c r="O308" t="str">
        <f>VLOOKUP(C308,CU_ARS_2025_WOF_F2!$A$2:$K$673,2,FALSE)</f>
        <v>CU_ARS_2025_WOF_F2_7_plant_64</v>
      </c>
      <c r="P308" t="str">
        <f>VLOOKUP(C308,CU_ARS_2025_WOF_F2!$A$2:$K$673,3,FALSE)</f>
        <v>CU_ARS_2025_WOF_F2_7</v>
      </c>
      <c r="Q308" t="str">
        <f>VLOOKUP(C308,CU_ARS_2025_WOF_F2!$A$2:$K$673,4,FALSE)</f>
        <v>CU_ARS_2025_WOF_cross_83</v>
      </c>
      <c r="R308">
        <f>VLOOKUP(C308,CU_ARS_2025_WOF_F2!$A$2:$K$673,5,FALSE)</f>
        <v>7</v>
      </c>
      <c r="S308">
        <f>VLOOKUP(C308,CU_ARS_2025_WOF_F2!$A$2:$K$673,6,FALSE)</f>
        <v>1</v>
      </c>
      <c r="T308">
        <f>VLOOKUP(C308,CU_ARS_2025_WOF_F2!$A$2:$K$673,7,FALSE)</f>
        <v>0</v>
      </c>
      <c r="U308">
        <f>VLOOKUP(C308,CU_ARS_2025_WOF_F2!$A$2:$K$673,8,FALSE)</f>
        <v>1</v>
      </c>
      <c r="V308">
        <f>VLOOKUP(C308,CU_ARS_2025_WOF_F2!$A$2:$K$673,9,FALSE)</f>
        <v>0</v>
      </c>
      <c r="W308">
        <f>VLOOKUP(C308,CU_ARS_2025_WOF_F2!$A$2:$K$673,10,FALSE)</f>
        <v>0</v>
      </c>
      <c r="X308">
        <f>VLOOKUP(C308,CU_ARS_2025_WOF_F2!$A$2:$K$673,11,FALSE)</f>
        <v>64</v>
      </c>
      <c r="Y308" t="str">
        <f>VLOOKUP(Q308,cross_pedigree!$A$2:$B$23,2,FALSE)</f>
        <v>NC20-4452/SEGER|PI306405</v>
      </c>
    </row>
    <row r="309" spans="1:25" ht="18">
      <c r="A309" s="21" t="s">
        <v>15</v>
      </c>
      <c r="B309" s="21" t="s">
        <v>16</v>
      </c>
      <c r="C309" s="22">
        <v>753778</v>
      </c>
      <c r="D309" s="23">
        <v>4</v>
      </c>
      <c r="E309" s="24" t="str">
        <f t="shared" si="4"/>
        <v>CU_ARS_2025_WOF_F2_7_plant_70</v>
      </c>
      <c r="F309" s="21" t="s">
        <v>86</v>
      </c>
      <c r="G309" s="44" t="s">
        <v>127</v>
      </c>
      <c r="H309" s="42"/>
      <c r="I309" s="42" t="s">
        <v>1046</v>
      </c>
      <c r="J309" s="42" t="s">
        <v>1003</v>
      </c>
      <c r="K309" s="42"/>
      <c r="L309" s="42"/>
      <c r="M309" s="42"/>
      <c r="N309" t="str">
        <f>VLOOKUP(C309,CU_ARS_2025_WOF_F2!$A$2:$K$673,2,FALSE)</f>
        <v>CU_ARS_2025_WOF_F2_7_plant_70</v>
      </c>
      <c r="O309" t="str">
        <f>VLOOKUP(C309,CU_ARS_2025_WOF_F2!$A$2:$K$673,2,FALSE)</f>
        <v>CU_ARS_2025_WOF_F2_7_plant_70</v>
      </c>
      <c r="P309" t="str">
        <f>VLOOKUP(C309,CU_ARS_2025_WOF_F2!$A$2:$K$673,3,FALSE)</f>
        <v>CU_ARS_2025_WOF_F2_7</v>
      </c>
      <c r="Q309" t="str">
        <f>VLOOKUP(C309,CU_ARS_2025_WOF_F2!$A$2:$K$673,4,FALSE)</f>
        <v>CU_ARS_2025_WOF_cross_83</v>
      </c>
      <c r="R309">
        <f>VLOOKUP(C309,CU_ARS_2025_WOF_F2!$A$2:$K$673,5,FALSE)</f>
        <v>7</v>
      </c>
      <c r="S309">
        <f>VLOOKUP(C309,CU_ARS_2025_WOF_F2!$A$2:$K$673,6,FALSE)</f>
        <v>1</v>
      </c>
      <c r="T309">
        <f>VLOOKUP(C309,CU_ARS_2025_WOF_F2!$A$2:$K$673,7,FALSE)</f>
        <v>0</v>
      </c>
      <c r="U309">
        <f>VLOOKUP(C309,CU_ARS_2025_WOF_F2!$A$2:$K$673,8,FALSE)</f>
        <v>1</v>
      </c>
      <c r="V309">
        <f>VLOOKUP(C309,CU_ARS_2025_WOF_F2!$A$2:$K$673,9,FALSE)</f>
        <v>0</v>
      </c>
      <c r="W309">
        <f>VLOOKUP(C309,CU_ARS_2025_WOF_F2!$A$2:$K$673,10,FALSE)</f>
        <v>0</v>
      </c>
      <c r="X309">
        <f>VLOOKUP(C309,CU_ARS_2025_WOF_F2!$A$2:$K$673,11,FALSE)</f>
        <v>70</v>
      </c>
      <c r="Y309" t="str">
        <f>VLOOKUP(Q309,cross_pedigree!$A$2:$B$23,2,FALSE)</f>
        <v>NC20-4452/SEGER|PI306405</v>
      </c>
    </row>
    <row r="310" spans="1:25" ht="18">
      <c r="A310" s="21" t="s">
        <v>15</v>
      </c>
      <c r="B310" s="21" t="s">
        <v>16</v>
      </c>
      <c r="C310" s="22">
        <v>753779</v>
      </c>
      <c r="D310" s="23">
        <v>4</v>
      </c>
      <c r="E310" s="24" t="str">
        <f t="shared" si="4"/>
        <v>CU_ARS_2025_WOF_F2_7_plant_71</v>
      </c>
      <c r="F310" s="21" t="s">
        <v>87</v>
      </c>
      <c r="G310" s="44" t="s">
        <v>128</v>
      </c>
      <c r="H310" s="42"/>
      <c r="I310" s="42" t="s">
        <v>1046</v>
      </c>
      <c r="J310" s="42" t="s">
        <v>1003</v>
      </c>
      <c r="K310" s="42"/>
      <c r="L310" s="42"/>
      <c r="M310" s="42"/>
      <c r="N310" t="str">
        <f>VLOOKUP(C310,CU_ARS_2025_WOF_F2!$A$2:$K$673,2,FALSE)</f>
        <v>CU_ARS_2025_WOF_F2_7_plant_71</v>
      </c>
      <c r="O310" t="str">
        <f>VLOOKUP(C310,CU_ARS_2025_WOF_F2!$A$2:$K$673,2,FALSE)</f>
        <v>CU_ARS_2025_WOF_F2_7_plant_71</v>
      </c>
      <c r="P310" t="str">
        <f>VLOOKUP(C310,CU_ARS_2025_WOF_F2!$A$2:$K$673,3,FALSE)</f>
        <v>CU_ARS_2025_WOF_F2_7</v>
      </c>
      <c r="Q310" t="str">
        <f>VLOOKUP(C310,CU_ARS_2025_WOF_F2!$A$2:$K$673,4,FALSE)</f>
        <v>CU_ARS_2025_WOF_cross_83</v>
      </c>
      <c r="R310">
        <f>VLOOKUP(C310,CU_ARS_2025_WOF_F2!$A$2:$K$673,5,FALSE)</f>
        <v>7</v>
      </c>
      <c r="S310">
        <f>VLOOKUP(C310,CU_ARS_2025_WOF_F2!$A$2:$K$673,6,FALSE)</f>
        <v>1</v>
      </c>
      <c r="T310">
        <f>VLOOKUP(C310,CU_ARS_2025_WOF_F2!$A$2:$K$673,7,FALSE)</f>
        <v>0</v>
      </c>
      <c r="U310">
        <f>VLOOKUP(C310,CU_ARS_2025_WOF_F2!$A$2:$K$673,8,FALSE)</f>
        <v>1</v>
      </c>
      <c r="V310">
        <f>VLOOKUP(C310,CU_ARS_2025_WOF_F2!$A$2:$K$673,9,FALSE)</f>
        <v>0</v>
      </c>
      <c r="W310">
        <f>VLOOKUP(C310,CU_ARS_2025_WOF_F2!$A$2:$K$673,10,FALSE)</f>
        <v>0</v>
      </c>
      <c r="X310">
        <f>VLOOKUP(C310,CU_ARS_2025_WOF_F2!$A$2:$K$673,11,FALSE)</f>
        <v>71</v>
      </c>
      <c r="Y310" t="str">
        <f>VLOOKUP(Q310,cross_pedigree!$A$2:$B$23,2,FALSE)</f>
        <v>NC20-4452/SEGER|PI306405</v>
      </c>
    </row>
    <row r="311" spans="1:25" ht="18">
      <c r="A311" s="21" t="s">
        <v>15</v>
      </c>
      <c r="B311" s="21" t="s">
        <v>16</v>
      </c>
      <c r="C311" s="22">
        <v>753773</v>
      </c>
      <c r="D311" s="23">
        <v>4</v>
      </c>
      <c r="E311" s="24" t="str">
        <f t="shared" si="4"/>
        <v>CU_ARS_2025_WOF_F2_7_plant_65</v>
      </c>
      <c r="F311" s="21" t="s">
        <v>88</v>
      </c>
      <c r="G311" s="44" t="s">
        <v>129</v>
      </c>
      <c r="H311" s="42"/>
      <c r="I311" s="42" t="s">
        <v>1046</v>
      </c>
      <c r="J311" s="42" t="s">
        <v>1003</v>
      </c>
      <c r="K311" s="42"/>
      <c r="L311" s="42"/>
      <c r="M311" s="42"/>
      <c r="N311" t="str">
        <f>VLOOKUP(C311,CU_ARS_2025_WOF_F2!$A$2:$K$673,2,FALSE)</f>
        <v>CU_ARS_2025_WOF_F2_7_plant_65</v>
      </c>
      <c r="O311" t="str">
        <f>VLOOKUP(C311,CU_ARS_2025_WOF_F2!$A$2:$K$673,2,FALSE)</f>
        <v>CU_ARS_2025_WOF_F2_7_plant_65</v>
      </c>
      <c r="P311" t="str">
        <f>VLOOKUP(C311,CU_ARS_2025_WOF_F2!$A$2:$K$673,3,FALSE)</f>
        <v>CU_ARS_2025_WOF_F2_7</v>
      </c>
      <c r="Q311" t="str">
        <f>VLOOKUP(C311,CU_ARS_2025_WOF_F2!$A$2:$K$673,4,FALSE)</f>
        <v>CU_ARS_2025_WOF_cross_83</v>
      </c>
      <c r="R311">
        <f>VLOOKUP(C311,CU_ARS_2025_WOF_F2!$A$2:$K$673,5,FALSE)</f>
        <v>7</v>
      </c>
      <c r="S311">
        <f>VLOOKUP(C311,CU_ARS_2025_WOF_F2!$A$2:$K$673,6,FALSE)</f>
        <v>1</v>
      </c>
      <c r="T311">
        <f>VLOOKUP(C311,CU_ARS_2025_WOF_F2!$A$2:$K$673,7,FALSE)</f>
        <v>0</v>
      </c>
      <c r="U311">
        <f>VLOOKUP(C311,CU_ARS_2025_WOF_F2!$A$2:$K$673,8,FALSE)</f>
        <v>1</v>
      </c>
      <c r="V311">
        <f>VLOOKUP(C311,CU_ARS_2025_WOF_F2!$A$2:$K$673,9,FALSE)</f>
        <v>0</v>
      </c>
      <c r="W311">
        <f>VLOOKUP(C311,CU_ARS_2025_WOF_F2!$A$2:$K$673,10,FALSE)</f>
        <v>0</v>
      </c>
      <c r="X311">
        <f>VLOOKUP(C311,CU_ARS_2025_WOF_F2!$A$2:$K$673,11,FALSE)</f>
        <v>65</v>
      </c>
      <c r="Y311" t="str">
        <f>VLOOKUP(Q311,cross_pedigree!$A$2:$B$23,2,FALSE)</f>
        <v>NC20-4452/SEGER|PI306405</v>
      </c>
    </row>
    <row r="312" spans="1:25" ht="18">
      <c r="A312" s="21" t="s">
        <v>15</v>
      </c>
      <c r="B312" s="21" t="s">
        <v>16</v>
      </c>
      <c r="C312" s="22">
        <v>753774</v>
      </c>
      <c r="D312" s="23">
        <v>4</v>
      </c>
      <c r="E312" s="24" t="str">
        <f t="shared" si="4"/>
        <v>CU_ARS_2025_WOF_F2_7_plant_66</v>
      </c>
      <c r="F312" s="21" t="s">
        <v>89</v>
      </c>
      <c r="G312" s="44" t="s">
        <v>130</v>
      </c>
      <c r="H312" s="42"/>
      <c r="I312" s="42" t="s">
        <v>1046</v>
      </c>
      <c r="J312" s="42" t="s">
        <v>1003</v>
      </c>
      <c r="K312" s="42"/>
      <c r="L312" s="42"/>
      <c r="M312" s="42"/>
      <c r="N312" t="str">
        <f>VLOOKUP(C312,CU_ARS_2025_WOF_F2!$A$2:$K$673,2,FALSE)</f>
        <v>CU_ARS_2025_WOF_F2_7_plant_66</v>
      </c>
      <c r="O312" t="str">
        <f>VLOOKUP(C312,CU_ARS_2025_WOF_F2!$A$2:$K$673,2,FALSE)</f>
        <v>CU_ARS_2025_WOF_F2_7_plant_66</v>
      </c>
      <c r="P312" t="str">
        <f>VLOOKUP(C312,CU_ARS_2025_WOF_F2!$A$2:$K$673,3,FALSE)</f>
        <v>CU_ARS_2025_WOF_F2_7</v>
      </c>
      <c r="Q312" t="str">
        <f>VLOOKUP(C312,CU_ARS_2025_WOF_F2!$A$2:$K$673,4,FALSE)</f>
        <v>CU_ARS_2025_WOF_cross_83</v>
      </c>
      <c r="R312">
        <f>VLOOKUP(C312,CU_ARS_2025_WOF_F2!$A$2:$K$673,5,FALSE)</f>
        <v>7</v>
      </c>
      <c r="S312">
        <f>VLOOKUP(C312,CU_ARS_2025_WOF_F2!$A$2:$K$673,6,FALSE)</f>
        <v>1</v>
      </c>
      <c r="T312">
        <f>VLOOKUP(C312,CU_ARS_2025_WOF_F2!$A$2:$K$673,7,FALSE)</f>
        <v>0</v>
      </c>
      <c r="U312">
        <f>VLOOKUP(C312,CU_ARS_2025_WOF_F2!$A$2:$K$673,8,FALSE)</f>
        <v>1</v>
      </c>
      <c r="V312">
        <f>VLOOKUP(C312,CU_ARS_2025_WOF_F2!$A$2:$K$673,9,FALSE)</f>
        <v>0</v>
      </c>
      <c r="W312">
        <f>VLOOKUP(C312,CU_ARS_2025_WOF_F2!$A$2:$K$673,10,FALSE)</f>
        <v>0</v>
      </c>
      <c r="X312">
        <f>VLOOKUP(C312,CU_ARS_2025_WOF_F2!$A$2:$K$673,11,FALSE)</f>
        <v>66</v>
      </c>
      <c r="Y312" t="str">
        <f>VLOOKUP(Q312,cross_pedigree!$A$2:$B$23,2,FALSE)</f>
        <v>NC20-4452/SEGER|PI306405</v>
      </c>
    </row>
    <row r="313" spans="1:25" ht="18">
      <c r="A313" s="21" t="s">
        <v>15</v>
      </c>
      <c r="B313" s="21" t="s">
        <v>16</v>
      </c>
      <c r="C313" s="22">
        <v>753775</v>
      </c>
      <c r="D313" s="23">
        <v>4</v>
      </c>
      <c r="E313" s="24" t="str">
        <f t="shared" si="4"/>
        <v>CU_ARS_2025_WOF_F2_7_plant_67</v>
      </c>
      <c r="F313" s="21" t="s">
        <v>90</v>
      </c>
      <c r="G313" s="44" t="s">
        <v>131</v>
      </c>
      <c r="H313" s="42"/>
      <c r="I313" s="42" t="s">
        <v>1046</v>
      </c>
      <c r="J313" s="42" t="s">
        <v>1003</v>
      </c>
      <c r="K313" s="42"/>
      <c r="L313" s="42"/>
      <c r="M313" s="42"/>
      <c r="N313" t="str">
        <f>VLOOKUP(C313,CU_ARS_2025_WOF_F2!$A$2:$K$673,2,FALSE)</f>
        <v>CU_ARS_2025_WOF_F2_7_plant_67</v>
      </c>
      <c r="O313" t="str">
        <f>VLOOKUP(C313,CU_ARS_2025_WOF_F2!$A$2:$K$673,2,FALSE)</f>
        <v>CU_ARS_2025_WOF_F2_7_plant_67</v>
      </c>
      <c r="P313" t="str">
        <f>VLOOKUP(C313,CU_ARS_2025_WOF_F2!$A$2:$K$673,3,FALSE)</f>
        <v>CU_ARS_2025_WOF_F2_7</v>
      </c>
      <c r="Q313" t="str">
        <f>VLOOKUP(C313,CU_ARS_2025_WOF_F2!$A$2:$K$673,4,FALSE)</f>
        <v>CU_ARS_2025_WOF_cross_83</v>
      </c>
      <c r="R313">
        <f>VLOOKUP(C313,CU_ARS_2025_WOF_F2!$A$2:$K$673,5,FALSE)</f>
        <v>7</v>
      </c>
      <c r="S313">
        <f>VLOOKUP(C313,CU_ARS_2025_WOF_F2!$A$2:$K$673,6,FALSE)</f>
        <v>1</v>
      </c>
      <c r="T313">
        <f>VLOOKUP(C313,CU_ARS_2025_WOF_F2!$A$2:$K$673,7,FALSE)</f>
        <v>0</v>
      </c>
      <c r="U313">
        <f>VLOOKUP(C313,CU_ARS_2025_WOF_F2!$A$2:$K$673,8,FALSE)</f>
        <v>1</v>
      </c>
      <c r="V313">
        <f>VLOOKUP(C313,CU_ARS_2025_WOF_F2!$A$2:$K$673,9,FALSE)</f>
        <v>0</v>
      </c>
      <c r="W313">
        <f>VLOOKUP(C313,CU_ARS_2025_WOF_F2!$A$2:$K$673,10,FALSE)</f>
        <v>0</v>
      </c>
      <c r="X313">
        <f>VLOOKUP(C313,CU_ARS_2025_WOF_F2!$A$2:$K$673,11,FALSE)</f>
        <v>67</v>
      </c>
      <c r="Y313" t="str">
        <f>VLOOKUP(Q313,cross_pedigree!$A$2:$B$23,2,FALSE)</f>
        <v>NC20-4452/SEGER|PI306405</v>
      </c>
    </row>
    <row r="314" spans="1:25" ht="18">
      <c r="A314" s="21" t="s">
        <v>15</v>
      </c>
      <c r="B314" s="21" t="s">
        <v>16</v>
      </c>
      <c r="C314" s="22">
        <v>753776</v>
      </c>
      <c r="D314" s="23">
        <v>4</v>
      </c>
      <c r="E314" s="24" t="str">
        <f t="shared" si="4"/>
        <v>CU_ARS_2025_WOF_F2_7_plant_68</v>
      </c>
      <c r="F314" s="21" t="s">
        <v>132</v>
      </c>
      <c r="G314" s="44" t="s">
        <v>133</v>
      </c>
      <c r="H314" s="42"/>
      <c r="I314" s="42" t="s">
        <v>1046</v>
      </c>
      <c r="J314" s="42" t="s">
        <v>1003</v>
      </c>
      <c r="K314" s="42"/>
      <c r="L314" s="42"/>
      <c r="M314" s="42"/>
      <c r="N314" t="str">
        <f>VLOOKUP(C314,CU_ARS_2025_WOF_F2!$A$2:$K$673,2,FALSE)</f>
        <v>CU_ARS_2025_WOF_F2_7_plant_68</v>
      </c>
      <c r="O314" t="str">
        <f>VLOOKUP(C314,CU_ARS_2025_WOF_F2!$A$2:$K$673,2,FALSE)</f>
        <v>CU_ARS_2025_WOF_F2_7_plant_68</v>
      </c>
      <c r="P314" t="str">
        <f>VLOOKUP(C314,CU_ARS_2025_WOF_F2!$A$2:$K$673,3,FALSE)</f>
        <v>CU_ARS_2025_WOF_F2_7</v>
      </c>
      <c r="Q314" t="str">
        <f>VLOOKUP(C314,CU_ARS_2025_WOF_F2!$A$2:$K$673,4,FALSE)</f>
        <v>CU_ARS_2025_WOF_cross_83</v>
      </c>
      <c r="R314">
        <f>VLOOKUP(C314,CU_ARS_2025_WOF_F2!$A$2:$K$673,5,FALSE)</f>
        <v>7</v>
      </c>
      <c r="S314">
        <f>VLOOKUP(C314,CU_ARS_2025_WOF_F2!$A$2:$K$673,6,FALSE)</f>
        <v>1</v>
      </c>
      <c r="T314">
        <f>VLOOKUP(C314,CU_ARS_2025_WOF_F2!$A$2:$K$673,7,FALSE)</f>
        <v>0</v>
      </c>
      <c r="U314">
        <f>VLOOKUP(C314,CU_ARS_2025_WOF_F2!$A$2:$K$673,8,FALSE)</f>
        <v>1</v>
      </c>
      <c r="V314">
        <f>VLOOKUP(C314,CU_ARS_2025_WOF_F2!$A$2:$K$673,9,FALSE)</f>
        <v>0</v>
      </c>
      <c r="W314">
        <f>VLOOKUP(C314,CU_ARS_2025_WOF_F2!$A$2:$K$673,10,FALSE)</f>
        <v>0</v>
      </c>
      <c r="X314">
        <f>VLOOKUP(C314,CU_ARS_2025_WOF_F2!$A$2:$K$673,11,FALSE)</f>
        <v>68</v>
      </c>
      <c r="Y314" t="str">
        <f>VLOOKUP(Q314,cross_pedigree!$A$2:$B$23,2,FALSE)</f>
        <v>NC20-4452/SEGER|PI306405</v>
      </c>
    </row>
    <row r="315" spans="1:25" ht="18">
      <c r="A315" s="21" t="s">
        <v>15</v>
      </c>
      <c r="B315" s="21" t="s">
        <v>16</v>
      </c>
      <c r="C315" s="22">
        <v>753777</v>
      </c>
      <c r="D315" s="23">
        <v>4</v>
      </c>
      <c r="E315" s="24" t="str">
        <f t="shared" si="4"/>
        <v>CU_ARS_2025_WOF_F2_7_plant_69</v>
      </c>
      <c r="F315" s="21" t="s">
        <v>134</v>
      </c>
      <c r="G315" s="44" t="s">
        <v>135</v>
      </c>
      <c r="H315" s="42"/>
      <c r="I315" s="42" t="s">
        <v>1046</v>
      </c>
      <c r="J315" s="42" t="s">
        <v>1003</v>
      </c>
      <c r="K315" s="42"/>
      <c r="L315" s="42"/>
      <c r="M315" s="42"/>
      <c r="N315" t="str">
        <f>VLOOKUP(C315,CU_ARS_2025_WOF_F2!$A$2:$K$673,2,FALSE)</f>
        <v>CU_ARS_2025_WOF_F2_7_plant_69</v>
      </c>
      <c r="O315" t="str">
        <f>VLOOKUP(C315,CU_ARS_2025_WOF_F2!$A$2:$K$673,2,FALSE)</f>
        <v>CU_ARS_2025_WOF_F2_7_plant_69</v>
      </c>
      <c r="P315" t="str">
        <f>VLOOKUP(C315,CU_ARS_2025_WOF_F2!$A$2:$K$673,3,FALSE)</f>
        <v>CU_ARS_2025_WOF_F2_7</v>
      </c>
      <c r="Q315" t="str">
        <f>VLOOKUP(C315,CU_ARS_2025_WOF_F2!$A$2:$K$673,4,FALSE)</f>
        <v>CU_ARS_2025_WOF_cross_83</v>
      </c>
      <c r="R315">
        <f>VLOOKUP(C315,CU_ARS_2025_WOF_F2!$A$2:$K$673,5,FALSE)</f>
        <v>7</v>
      </c>
      <c r="S315">
        <f>VLOOKUP(C315,CU_ARS_2025_WOF_F2!$A$2:$K$673,6,FALSE)</f>
        <v>1</v>
      </c>
      <c r="T315">
        <f>VLOOKUP(C315,CU_ARS_2025_WOF_F2!$A$2:$K$673,7,FALSE)</f>
        <v>0</v>
      </c>
      <c r="U315">
        <f>VLOOKUP(C315,CU_ARS_2025_WOF_F2!$A$2:$K$673,8,FALSE)</f>
        <v>1</v>
      </c>
      <c r="V315">
        <f>VLOOKUP(C315,CU_ARS_2025_WOF_F2!$A$2:$K$673,9,FALSE)</f>
        <v>0</v>
      </c>
      <c r="W315">
        <f>VLOOKUP(C315,CU_ARS_2025_WOF_F2!$A$2:$K$673,10,FALSE)</f>
        <v>0</v>
      </c>
      <c r="X315">
        <f>VLOOKUP(C315,CU_ARS_2025_WOF_F2!$A$2:$K$673,11,FALSE)</f>
        <v>69</v>
      </c>
      <c r="Y315" t="str">
        <f>VLOOKUP(Q315,cross_pedigree!$A$2:$B$23,2,FALSE)</f>
        <v>NC20-4452/SEGER|PI306405</v>
      </c>
    </row>
    <row r="316" spans="1:25" ht="18">
      <c r="A316" s="21" t="s">
        <v>15</v>
      </c>
      <c r="B316" s="21" t="s">
        <v>16</v>
      </c>
      <c r="C316" s="22">
        <v>753932</v>
      </c>
      <c r="D316" s="23">
        <v>4</v>
      </c>
      <c r="E316" s="24" t="str">
        <f t="shared" si="4"/>
        <v>CU_ARS_2025_WOF_F2_5_plant_1</v>
      </c>
      <c r="F316" s="21" t="s">
        <v>136</v>
      </c>
      <c r="G316" s="44" t="s">
        <v>137</v>
      </c>
      <c r="H316" s="42"/>
      <c r="I316" s="42" t="s">
        <v>1035</v>
      </c>
      <c r="J316" s="42" t="s">
        <v>1003</v>
      </c>
      <c r="K316" s="42"/>
      <c r="L316" s="42"/>
      <c r="M316" s="42"/>
      <c r="N316" t="str">
        <f>VLOOKUP(C316,CU_ARS_2025_WOF_F2!$A$2:$K$673,2,FALSE)</f>
        <v>CU_ARS_2025_WOF_F2_5_plant_1</v>
      </c>
      <c r="O316" t="str">
        <f>VLOOKUP(C316,CU_ARS_2025_WOF_F2!$A$2:$K$673,2,FALSE)</f>
        <v>CU_ARS_2025_WOF_F2_5_plant_1</v>
      </c>
      <c r="P316" t="str">
        <f>VLOOKUP(C316,CU_ARS_2025_WOF_F2!$A$2:$K$673,3,FALSE)</f>
        <v>CU_ARS_2025_WOF_F2_5</v>
      </c>
      <c r="Q316" t="str">
        <f>VLOOKUP(C316,CU_ARS_2025_WOF_F2!$A$2:$K$673,4,FALSE)</f>
        <v>CU_ARS_2025_WOF_cross_54</v>
      </c>
      <c r="R316">
        <f>VLOOKUP(C316,CU_ARS_2025_WOF_F2!$A$2:$K$673,5,FALSE)</f>
        <v>5</v>
      </c>
      <c r="S316">
        <f>VLOOKUP(C316,CU_ARS_2025_WOF_F2!$A$2:$K$673,6,FALSE)</f>
        <v>1</v>
      </c>
      <c r="T316">
        <f>VLOOKUP(C316,CU_ARS_2025_WOF_F2!$A$2:$K$673,7,FALSE)</f>
        <v>0</v>
      </c>
      <c r="U316">
        <f>VLOOKUP(C316,CU_ARS_2025_WOF_F2!$A$2:$K$673,8,FALSE)</f>
        <v>1</v>
      </c>
      <c r="V316">
        <f>VLOOKUP(C316,CU_ARS_2025_WOF_F2!$A$2:$K$673,9,FALSE)</f>
        <v>0</v>
      </c>
      <c r="W316">
        <f>VLOOKUP(C316,CU_ARS_2025_WOF_F2!$A$2:$K$673,10,FALSE)</f>
        <v>0</v>
      </c>
      <c r="X316">
        <f>VLOOKUP(C316,CU_ARS_2025_WOF_F2!$A$2:$K$673,11,FALSE)</f>
        <v>1</v>
      </c>
      <c r="Y316" t="str">
        <f>VLOOKUP(Q316,cross_pedigree!$A$2:$B$23,2,FALSE)</f>
        <v>Gerard 227/NF13-4126-4_3</v>
      </c>
    </row>
    <row r="317" spans="1:25" ht="18">
      <c r="A317" s="21" t="s">
        <v>15</v>
      </c>
      <c r="B317" s="21" t="s">
        <v>16</v>
      </c>
      <c r="C317" s="22">
        <v>753933</v>
      </c>
      <c r="D317" s="23">
        <v>4</v>
      </c>
      <c r="E317" s="24" t="str">
        <f t="shared" si="4"/>
        <v>CU_ARS_2025_WOF_F2_5_plant_2</v>
      </c>
      <c r="F317" s="21" t="s">
        <v>138</v>
      </c>
      <c r="G317" s="44" t="s">
        <v>139</v>
      </c>
      <c r="H317" s="42"/>
      <c r="I317" s="42" t="s">
        <v>1035</v>
      </c>
      <c r="J317" s="42" t="s">
        <v>1003</v>
      </c>
      <c r="K317" s="42"/>
      <c r="L317" s="42"/>
      <c r="M317" s="42"/>
      <c r="N317" t="str">
        <f>VLOOKUP(C317,CU_ARS_2025_WOF_F2!$A$2:$K$673,2,FALSE)</f>
        <v>CU_ARS_2025_WOF_F2_5_plant_2</v>
      </c>
      <c r="O317" t="str">
        <f>VLOOKUP(C317,CU_ARS_2025_WOF_F2!$A$2:$K$673,2,FALSE)</f>
        <v>CU_ARS_2025_WOF_F2_5_plant_2</v>
      </c>
      <c r="P317" t="str">
        <f>VLOOKUP(C317,CU_ARS_2025_WOF_F2!$A$2:$K$673,3,FALSE)</f>
        <v>CU_ARS_2025_WOF_F2_5</v>
      </c>
      <c r="Q317" t="str">
        <f>VLOOKUP(C317,CU_ARS_2025_WOF_F2!$A$2:$K$673,4,FALSE)</f>
        <v>CU_ARS_2025_WOF_cross_54</v>
      </c>
      <c r="R317">
        <f>VLOOKUP(C317,CU_ARS_2025_WOF_F2!$A$2:$K$673,5,FALSE)</f>
        <v>5</v>
      </c>
      <c r="S317">
        <f>VLOOKUP(C317,CU_ARS_2025_WOF_F2!$A$2:$K$673,6,FALSE)</f>
        <v>1</v>
      </c>
      <c r="T317">
        <f>VLOOKUP(C317,CU_ARS_2025_WOF_F2!$A$2:$K$673,7,FALSE)</f>
        <v>0</v>
      </c>
      <c r="U317">
        <f>VLOOKUP(C317,CU_ARS_2025_WOF_F2!$A$2:$K$673,8,FALSE)</f>
        <v>1</v>
      </c>
      <c r="V317">
        <f>VLOOKUP(C317,CU_ARS_2025_WOF_F2!$A$2:$K$673,9,FALSE)</f>
        <v>0</v>
      </c>
      <c r="W317">
        <f>VLOOKUP(C317,CU_ARS_2025_WOF_F2!$A$2:$K$673,10,FALSE)</f>
        <v>0</v>
      </c>
      <c r="X317">
        <f>VLOOKUP(C317,CU_ARS_2025_WOF_F2!$A$2:$K$673,11,FALSE)</f>
        <v>2</v>
      </c>
      <c r="Y317" t="str">
        <f>VLOOKUP(Q317,cross_pedigree!$A$2:$B$23,2,FALSE)</f>
        <v>Gerard 227/NF13-4126-4_3</v>
      </c>
    </row>
    <row r="318" spans="1:25" ht="18">
      <c r="A318" s="21" t="s">
        <v>15</v>
      </c>
      <c r="B318" s="21" t="s">
        <v>16</v>
      </c>
      <c r="C318" s="22">
        <v>753934</v>
      </c>
      <c r="D318" s="23">
        <v>4</v>
      </c>
      <c r="E318" s="24" t="str">
        <f t="shared" si="4"/>
        <v>CU_ARS_2025_WOF_F2_5_plant_3</v>
      </c>
      <c r="F318" s="21" t="s">
        <v>140</v>
      </c>
      <c r="G318" s="44" t="s">
        <v>141</v>
      </c>
      <c r="H318" s="42"/>
      <c r="I318" s="42" t="s">
        <v>1035</v>
      </c>
      <c r="J318" s="42" t="s">
        <v>1003</v>
      </c>
      <c r="K318" s="42"/>
      <c r="L318" s="42"/>
      <c r="M318" s="42"/>
      <c r="N318" t="str">
        <f>VLOOKUP(C318,CU_ARS_2025_WOF_F2!$A$2:$K$673,2,FALSE)</f>
        <v>CU_ARS_2025_WOF_F2_5_plant_3</v>
      </c>
      <c r="O318" t="str">
        <f>VLOOKUP(C318,CU_ARS_2025_WOF_F2!$A$2:$K$673,2,FALSE)</f>
        <v>CU_ARS_2025_WOF_F2_5_plant_3</v>
      </c>
      <c r="P318" t="str">
        <f>VLOOKUP(C318,CU_ARS_2025_WOF_F2!$A$2:$K$673,3,FALSE)</f>
        <v>CU_ARS_2025_WOF_F2_5</v>
      </c>
      <c r="Q318" t="str">
        <f>VLOOKUP(C318,CU_ARS_2025_WOF_F2!$A$2:$K$673,4,FALSE)</f>
        <v>CU_ARS_2025_WOF_cross_54</v>
      </c>
      <c r="R318">
        <f>VLOOKUP(C318,CU_ARS_2025_WOF_F2!$A$2:$K$673,5,FALSE)</f>
        <v>5</v>
      </c>
      <c r="S318">
        <f>VLOOKUP(C318,CU_ARS_2025_WOF_F2!$A$2:$K$673,6,FALSE)</f>
        <v>1</v>
      </c>
      <c r="T318">
        <f>VLOOKUP(C318,CU_ARS_2025_WOF_F2!$A$2:$K$673,7,FALSE)</f>
        <v>0</v>
      </c>
      <c r="U318">
        <f>VLOOKUP(C318,CU_ARS_2025_WOF_F2!$A$2:$K$673,8,FALSE)</f>
        <v>1</v>
      </c>
      <c r="V318">
        <f>VLOOKUP(C318,CU_ARS_2025_WOF_F2!$A$2:$K$673,9,FALSE)</f>
        <v>0</v>
      </c>
      <c r="W318">
        <f>VLOOKUP(C318,CU_ARS_2025_WOF_F2!$A$2:$K$673,10,FALSE)</f>
        <v>0</v>
      </c>
      <c r="X318">
        <f>VLOOKUP(C318,CU_ARS_2025_WOF_F2!$A$2:$K$673,11,FALSE)</f>
        <v>3</v>
      </c>
      <c r="Y318" t="str">
        <f>VLOOKUP(Q318,cross_pedigree!$A$2:$B$23,2,FALSE)</f>
        <v>Gerard 227/NF13-4126-4_3</v>
      </c>
    </row>
    <row r="319" spans="1:25" ht="18">
      <c r="A319" s="21" t="s">
        <v>15</v>
      </c>
      <c r="B319" s="21" t="s">
        <v>16</v>
      </c>
      <c r="C319" s="22">
        <v>753935</v>
      </c>
      <c r="D319" s="23">
        <v>4</v>
      </c>
      <c r="E319" s="24" t="str">
        <f t="shared" si="4"/>
        <v>CU_ARS_2025_WOF_F2_5_plant_4</v>
      </c>
      <c r="F319" s="21" t="s">
        <v>142</v>
      </c>
      <c r="G319" s="44" t="s">
        <v>143</v>
      </c>
      <c r="H319" s="42"/>
      <c r="I319" s="42" t="s">
        <v>1035</v>
      </c>
      <c r="J319" s="42" t="s">
        <v>1003</v>
      </c>
      <c r="K319" s="42"/>
      <c r="L319" s="42"/>
      <c r="M319" s="42"/>
      <c r="N319" t="str">
        <f>VLOOKUP(C319,CU_ARS_2025_WOF_F2!$A$2:$K$673,2,FALSE)</f>
        <v>CU_ARS_2025_WOF_F2_5_plant_4</v>
      </c>
      <c r="O319" t="str">
        <f>VLOOKUP(C319,CU_ARS_2025_WOF_F2!$A$2:$K$673,2,FALSE)</f>
        <v>CU_ARS_2025_WOF_F2_5_plant_4</v>
      </c>
      <c r="P319" t="str">
        <f>VLOOKUP(C319,CU_ARS_2025_WOF_F2!$A$2:$K$673,3,FALSE)</f>
        <v>CU_ARS_2025_WOF_F2_5</v>
      </c>
      <c r="Q319" t="str">
        <f>VLOOKUP(C319,CU_ARS_2025_WOF_F2!$A$2:$K$673,4,FALSE)</f>
        <v>CU_ARS_2025_WOF_cross_54</v>
      </c>
      <c r="R319">
        <f>VLOOKUP(C319,CU_ARS_2025_WOF_F2!$A$2:$K$673,5,FALSE)</f>
        <v>5</v>
      </c>
      <c r="S319">
        <f>VLOOKUP(C319,CU_ARS_2025_WOF_F2!$A$2:$K$673,6,FALSE)</f>
        <v>1</v>
      </c>
      <c r="T319">
        <f>VLOOKUP(C319,CU_ARS_2025_WOF_F2!$A$2:$K$673,7,FALSE)</f>
        <v>0</v>
      </c>
      <c r="U319">
        <f>VLOOKUP(C319,CU_ARS_2025_WOF_F2!$A$2:$K$673,8,FALSE)</f>
        <v>1</v>
      </c>
      <c r="V319">
        <f>VLOOKUP(C319,CU_ARS_2025_WOF_F2!$A$2:$K$673,9,FALSE)</f>
        <v>0</v>
      </c>
      <c r="W319">
        <f>VLOOKUP(C319,CU_ARS_2025_WOF_F2!$A$2:$K$673,10,FALSE)</f>
        <v>0</v>
      </c>
      <c r="X319">
        <f>VLOOKUP(C319,CU_ARS_2025_WOF_F2!$A$2:$K$673,11,FALSE)</f>
        <v>4</v>
      </c>
      <c r="Y319" t="str">
        <f>VLOOKUP(Q319,cross_pedigree!$A$2:$B$23,2,FALSE)</f>
        <v>Gerard 227/NF13-4126-4_3</v>
      </c>
    </row>
    <row r="320" spans="1:25" ht="18">
      <c r="A320" s="21" t="s">
        <v>15</v>
      </c>
      <c r="B320" s="21" t="s">
        <v>16</v>
      </c>
      <c r="C320" s="22">
        <v>753936</v>
      </c>
      <c r="D320" s="23">
        <v>4</v>
      </c>
      <c r="E320" s="24" t="str">
        <f t="shared" si="4"/>
        <v>CU_ARS_2025_WOF_F2_5_plant_5</v>
      </c>
      <c r="F320" s="21" t="s">
        <v>144</v>
      </c>
      <c r="G320" s="44" t="s">
        <v>145</v>
      </c>
      <c r="H320" s="42"/>
      <c r="I320" s="42" t="s">
        <v>1035</v>
      </c>
      <c r="J320" s="42" t="s">
        <v>1003</v>
      </c>
      <c r="K320" s="42"/>
      <c r="L320" s="42"/>
      <c r="M320" s="42"/>
      <c r="N320" t="str">
        <f>VLOOKUP(C320,CU_ARS_2025_WOF_F2!$A$2:$K$673,2,FALSE)</f>
        <v>CU_ARS_2025_WOF_F2_5_plant_5</v>
      </c>
      <c r="O320" t="str">
        <f>VLOOKUP(C320,CU_ARS_2025_WOF_F2!$A$2:$K$673,2,FALSE)</f>
        <v>CU_ARS_2025_WOF_F2_5_plant_5</v>
      </c>
      <c r="P320" t="str">
        <f>VLOOKUP(C320,CU_ARS_2025_WOF_F2!$A$2:$K$673,3,FALSE)</f>
        <v>CU_ARS_2025_WOF_F2_5</v>
      </c>
      <c r="Q320" t="str">
        <f>VLOOKUP(C320,CU_ARS_2025_WOF_F2!$A$2:$K$673,4,FALSE)</f>
        <v>CU_ARS_2025_WOF_cross_54</v>
      </c>
      <c r="R320">
        <f>VLOOKUP(C320,CU_ARS_2025_WOF_F2!$A$2:$K$673,5,FALSE)</f>
        <v>5</v>
      </c>
      <c r="S320">
        <f>VLOOKUP(C320,CU_ARS_2025_WOF_F2!$A$2:$K$673,6,FALSE)</f>
        <v>1</v>
      </c>
      <c r="T320">
        <f>VLOOKUP(C320,CU_ARS_2025_WOF_F2!$A$2:$K$673,7,FALSE)</f>
        <v>0</v>
      </c>
      <c r="U320">
        <f>VLOOKUP(C320,CU_ARS_2025_WOF_F2!$A$2:$K$673,8,FALSE)</f>
        <v>1</v>
      </c>
      <c r="V320">
        <f>VLOOKUP(C320,CU_ARS_2025_WOF_F2!$A$2:$K$673,9,FALSE)</f>
        <v>0</v>
      </c>
      <c r="W320">
        <f>VLOOKUP(C320,CU_ARS_2025_WOF_F2!$A$2:$K$673,10,FALSE)</f>
        <v>0</v>
      </c>
      <c r="X320">
        <f>VLOOKUP(C320,CU_ARS_2025_WOF_F2!$A$2:$K$673,11,FALSE)</f>
        <v>5</v>
      </c>
      <c r="Y320" t="str">
        <f>VLOOKUP(Q320,cross_pedigree!$A$2:$B$23,2,FALSE)</f>
        <v>Gerard 227/NF13-4126-4_3</v>
      </c>
    </row>
    <row r="321" spans="1:25" ht="18">
      <c r="A321" s="21" t="s">
        <v>15</v>
      </c>
      <c r="B321" s="21" t="s">
        <v>16</v>
      </c>
      <c r="C321" s="22">
        <v>753940</v>
      </c>
      <c r="D321" s="23">
        <v>4</v>
      </c>
      <c r="E321" s="24" t="str">
        <f t="shared" si="4"/>
        <v>CU_ARS_2025_WOF_F2_5_plant_9</v>
      </c>
      <c r="F321" s="21" t="s">
        <v>146</v>
      </c>
      <c r="G321" s="44" t="s">
        <v>147</v>
      </c>
      <c r="H321" s="42"/>
      <c r="I321" s="42" t="s">
        <v>1035</v>
      </c>
      <c r="J321" s="42" t="s">
        <v>1003</v>
      </c>
      <c r="K321" s="42"/>
      <c r="L321" s="42"/>
      <c r="M321" s="42"/>
      <c r="N321" t="str">
        <f>VLOOKUP(C321,CU_ARS_2025_WOF_F2!$A$2:$K$673,2,FALSE)</f>
        <v>CU_ARS_2025_WOF_F2_5_plant_9</v>
      </c>
      <c r="O321" t="str">
        <f>VLOOKUP(C321,CU_ARS_2025_WOF_F2!$A$2:$K$673,2,FALSE)</f>
        <v>CU_ARS_2025_WOF_F2_5_plant_9</v>
      </c>
      <c r="P321" t="str">
        <f>VLOOKUP(C321,CU_ARS_2025_WOF_F2!$A$2:$K$673,3,FALSE)</f>
        <v>CU_ARS_2025_WOF_F2_5</v>
      </c>
      <c r="Q321" t="str">
        <f>VLOOKUP(C321,CU_ARS_2025_WOF_F2!$A$2:$K$673,4,FALSE)</f>
        <v>CU_ARS_2025_WOF_cross_54</v>
      </c>
      <c r="R321">
        <f>VLOOKUP(C321,CU_ARS_2025_WOF_F2!$A$2:$K$673,5,FALSE)</f>
        <v>5</v>
      </c>
      <c r="S321">
        <f>VLOOKUP(C321,CU_ARS_2025_WOF_F2!$A$2:$K$673,6,FALSE)</f>
        <v>1</v>
      </c>
      <c r="T321">
        <f>VLOOKUP(C321,CU_ARS_2025_WOF_F2!$A$2:$K$673,7,FALSE)</f>
        <v>0</v>
      </c>
      <c r="U321">
        <f>VLOOKUP(C321,CU_ARS_2025_WOF_F2!$A$2:$K$673,8,FALSE)</f>
        <v>1</v>
      </c>
      <c r="V321">
        <f>VLOOKUP(C321,CU_ARS_2025_WOF_F2!$A$2:$K$673,9,FALSE)</f>
        <v>0</v>
      </c>
      <c r="W321">
        <f>VLOOKUP(C321,CU_ARS_2025_WOF_F2!$A$2:$K$673,10,FALSE)</f>
        <v>0</v>
      </c>
      <c r="X321">
        <f>VLOOKUP(C321,CU_ARS_2025_WOF_F2!$A$2:$K$673,11,FALSE)</f>
        <v>9</v>
      </c>
      <c r="Y321" t="str">
        <f>VLOOKUP(Q321,cross_pedigree!$A$2:$B$23,2,FALSE)</f>
        <v>Gerard 227/NF13-4126-4_3</v>
      </c>
    </row>
    <row r="322" spans="1:25" ht="18">
      <c r="A322" s="21" t="s">
        <v>15</v>
      </c>
      <c r="B322" s="21" t="s">
        <v>16</v>
      </c>
      <c r="C322" s="22">
        <v>753941</v>
      </c>
      <c r="D322" s="23">
        <v>4</v>
      </c>
      <c r="E322" s="24" t="str">
        <f t="shared" si="4"/>
        <v>CU_ARS_2025_WOF_F2_5_plant_10</v>
      </c>
      <c r="F322" s="21" t="s">
        <v>148</v>
      </c>
      <c r="G322" s="44" t="s">
        <v>149</v>
      </c>
      <c r="H322" s="42"/>
      <c r="I322" s="42" t="s">
        <v>1035</v>
      </c>
      <c r="J322" s="42" t="s">
        <v>1003</v>
      </c>
      <c r="K322" s="42"/>
      <c r="L322" s="42"/>
      <c r="M322" s="42"/>
      <c r="N322" t="str">
        <f>VLOOKUP(C322,CU_ARS_2025_WOF_F2!$A$2:$K$673,2,FALSE)</f>
        <v>CU_ARS_2025_WOF_F2_5_plant_10</v>
      </c>
      <c r="O322" t="str">
        <f>VLOOKUP(C322,CU_ARS_2025_WOF_F2!$A$2:$K$673,2,FALSE)</f>
        <v>CU_ARS_2025_WOF_F2_5_plant_10</v>
      </c>
      <c r="P322" t="str">
        <f>VLOOKUP(C322,CU_ARS_2025_WOF_F2!$A$2:$K$673,3,FALSE)</f>
        <v>CU_ARS_2025_WOF_F2_5</v>
      </c>
      <c r="Q322" t="str">
        <f>VLOOKUP(C322,CU_ARS_2025_WOF_F2!$A$2:$K$673,4,FALSE)</f>
        <v>CU_ARS_2025_WOF_cross_54</v>
      </c>
      <c r="R322">
        <f>VLOOKUP(C322,CU_ARS_2025_WOF_F2!$A$2:$K$673,5,FALSE)</f>
        <v>5</v>
      </c>
      <c r="S322">
        <f>VLOOKUP(C322,CU_ARS_2025_WOF_F2!$A$2:$K$673,6,FALSE)</f>
        <v>1</v>
      </c>
      <c r="T322">
        <f>VLOOKUP(C322,CU_ARS_2025_WOF_F2!$A$2:$K$673,7,FALSE)</f>
        <v>0</v>
      </c>
      <c r="U322">
        <f>VLOOKUP(C322,CU_ARS_2025_WOF_F2!$A$2:$K$673,8,FALSE)</f>
        <v>1</v>
      </c>
      <c r="V322">
        <f>VLOOKUP(C322,CU_ARS_2025_WOF_F2!$A$2:$K$673,9,FALSE)</f>
        <v>0</v>
      </c>
      <c r="W322">
        <f>VLOOKUP(C322,CU_ARS_2025_WOF_F2!$A$2:$K$673,10,FALSE)</f>
        <v>0</v>
      </c>
      <c r="X322">
        <f>VLOOKUP(C322,CU_ARS_2025_WOF_F2!$A$2:$K$673,11,FALSE)</f>
        <v>10</v>
      </c>
      <c r="Y322" t="str">
        <f>VLOOKUP(Q322,cross_pedigree!$A$2:$B$23,2,FALSE)</f>
        <v>Gerard 227/NF13-4126-4_3</v>
      </c>
    </row>
    <row r="323" spans="1:25" ht="18">
      <c r="A323" s="21" t="s">
        <v>15</v>
      </c>
      <c r="B323" s="21" t="s">
        <v>16</v>
      </c>
      <c r="C323" s="22">
        <v>753942</v>
      </c>
      <c r="D323" s="23">
        <v>4</v>
      </c>
      <c r="E323" s="24" t="str">
        <f t="shared" ref="E323:E386" si="5">O323</f>
        <v>CU_ARS_2025_WOF_F2_5_plant_11</v>
      </c>
      <c r="F323" s="21" t="s">
        <v>150</v>
      </c>
      <c r="G323" s="44" t="s">
        <v>151</v>
      </c>
      <c r="H323" s="42"/>
      <c r="I323" s="42" t="s">
        <v>1035</v>
      </c>
      <c r="J323" s="42" t="s">
        <v>1003</v>
      </c>
      <c r="K323" s="42"/>
      <c r="L323" s="42"/>
      <c r="M323" s="42"/>
      <c r="N323" t="str">
        <f>VLOOKUP(C323,CU_ARS_2025_WOF_F2!$A$2:$K$673,2,FALSE)</f>
        <v>CU_ARS_2025_WOF_F2_5_plant_11</v>
      </c>
      <c r="O323" t="str">
        <f>VLOOKUP(C323,CU_ARS_2025_WOF_F2!$A$2:$K$673,2,FALSE)</f>
        <v>CU_ARS_2025_WOF_F2_5_plant_11</v>
      </c>
      <c r="P323" t="str">
        <f>VLOOKUP(C323,CU_ARS_2025_WOF_F2!$A$2:$K$673,3,FALSE)</f>
        <v>CU_ARS_2025_WOF_F2_5</v>
      </c>
      <c r="Q323" t="str">
        <f>VLOOKUP(C323,CU_ARS_2025_WOF_F2!$A$2:$K$673,4,FALSE)</f>
        <v>CU_ARS_2025_WOF_cross_54</v>
      </c>
      <c r="R323">
        <f>VLOOKUP(C323,CU_ARS_2025_WOF_F2!$A$2:$K$673,5,FALSE)</f>
        <v>5</v>
      </c>
      <c r="S323">
        <f>VLOOKUP(C323,CU_ARS_2025_WOF_F2!$A$2:$K$673,6,FALSE)</f>
        <v>1</v>
      </c>
      <c r="T323">
        <f>VLOOKUP(C323,CU_ARS_2025_WOF_F2!$A$2:$K$673,7,FALSE)</f>
        <v>0</v>
      </c>
      <c r="U323">
        <f>VLOOKUP(C323,CU_ARS_2025_WOF_F2!$A$2:$K$673,8,FALSE)</f>
        <v>1</v>
      </c>
      <c r="V323">
        <f>VLOOKUP(C323,CU_ARS_2025_WOF_F2!$A$2:$K$673,9,FALSE)</f>
        <v>0</v>
      </c>
      <c r="W323">
        <f>VLOOKUP(C323,CU_ARS_2025_WOF_F2!$A$2:$K$673,10,FALSE)</f>
        <v>0</v>
      </c>
      <c r="X323">
        <f>VLOOKUP(C323,CU_ARS_2025_WOF_F2!$A$2:$K$673,11,FALSE)</f>
        <v>11</v>
      </c>
      <c r="Y323" t="str">
        <f>VLOOKUP(Q323,cross_pedigree!$A$2:$B$23,2,FALSE)</f>
        <v>Gerard 227/NF13-4126-4_3</v>
      </c>
    </row>
    <row r="324" spans="1:25" ht="18">
      <c r="A324" s="21" t="s">
        <v>15</v>
      </c>
      <c r="B324" s="21" t="s">
        <v>16</v>
      </c>
      <c r="C324" s="22">
        <v>753943</v>
      </c>
      <c r="D324" s="23">
        <v>4</v>
      </c>
      <c r="E324" s="24" t="str">
        <f t="shared" si="5"/>
        <v>CU_ARS_2025_WOF_F2_5_plant_12</v>
      </c>
      <c r="F324" s="21" t="s">
        <v>13</v>
      </c>
      <c r="G324" s="44" t="s">
        <v>14</v>
      </c>
      <c r="H324" s="42"/>
      <c r="I324" s="42" t="s">
        <v>1035</v>
      </c>
      <c r="J324" s="42" t="s">
        <v>1003</v>
      </c>
      <c r="K324" s="42"/>
      <c r="L324" s="42"/>
      <c r="M324" s="42"/>
      <c r="N324" t="str">
        <f>VLOOKUP(C324,CU_ARS_2025_WOF_F2!$A$2:$K$673,2,FALSE)</f>
        <v>CU_ARS_2025_WOF_F2_5_plant_12</v>
      </c>
      <c r="O324" t="str">
        <f>VLOOKUP(C324,CU_ARS_2025_WOF_F2!$A$2:$K$673,2,FALSE)</f>
        <v>CU_ARS_2025_WOF_F2_5_plant_12</v>
      </c>
      <c r="P324" t="str">
        <f>VLOOKUP(C324,CU_ARS_2025_WOF_F2!$A$2:$K$673,3,FALSE)</f>
        <v>CU_ARS_2025_WOF_F2_5</v>
      </c>
      <c r="Q324" t="str">
        <f>VLOOKUP(C324,CU_ARS_2025_WOF_F2!$A$2:$K$673,4,FALSE)</f>
        <v>CU_ARS_2025_WOF_cross_54</v>
      </c>
      <c r="R324">
        <f>VLOOKUP(C324,CU_ARS_2025_WOF_F2!$A$2:$K$673,5,FALSE)</f>
        <v>5</v>
      </c>
      <c r="S324">
        <f>VLOOKUP(C324,CU_ARS_2025_WOF_F2!$A$2:$K$673,6,FALSE)</f>
        <v>1</v>
      </c>
      <c r="T324">
        <f>VLOOKUP(C324,CU_ARS_2025_WOF_F2!$A$2:$K$673,7,FALSE)</f>
        <v>0</v>
      </c>
      <c r="U324">
        <f>VLOOKUP(C324,CU_ARS_2025_WOF_F2!$A$2:$K$673,8,FALSE)</f>
        <v>1</v>
      </c>
      <c r="V324">
        <f>VLOOKUP(C324,CU_ARS_2025_WOF_F2!$A$2:$K$673,9,FALSE)</f>
        <v>0</v>
      </c>
      <c r="W324">
        <f>VLOOKUP(C324,CU_ARS_2025_WOF_F2!$A$2:$K$673,10,FALSE)</f>
        <v>0</v>
      </c>
      <c r="X324">
        <f>VLOOKUP(C324,CU_ARS_2025_WOF_F2!$A$2:$K$673,11,FALSE)</f>
        <v>12</v>
      </c>
      <c r="Y324" t="str">
        <f>VLOOKUP(Q324,cross_pedigree!$A$2:$B$23,2,FALSE)</f>
        <v>Gerard 227/NF13-4126-4_3</v>
      </c>
    </row>
    <row r="325" spans="1:25" ht="18">
      <c r="A325" s="21" t="s">
        <v>15</v>
      </c>
      <c r="B325" s="21" t="s">
        <v>16</v>
      </c>
      <c r="C325" s="22">
        <v>753944</v>
      </c>
      <c r="D325" s="23">
        <v>4</v>
      </c>
      <c r="E325" s="24" t="str">
        <f t="shared" si="5"/>
        <v>CU_ARS_2025_WOF_F2_5_plant_13</v>
      </c>
      <c r="F325" s="21" t="s">
        <v>17</v>
      </c>
      <c r="G325" s="44" t="s">
        <v>18</v>
      </c>
      <c r="H325" s="42"/>
      <c r="I325" s="42" t="s">
        <v>1035</v>
      </c>
      <c r="J325" s="42" t="s">
        <v>1003</v>
      </c>
      <c r="K325" s="42"/>
      <c r="L325" s="42"/>
      <c r="M325" s="42"/>
      <c r="N325" t="str">
        <f>VLOOKUP(C325,CU_ARS_2025_WOF_F2!$A$2:$K$673,2,FALSE)</f>
        <v>CU_ARS_2025_WOF_F2_5_plant_13</v>
      </c>
      <c r="O325" t="str">
        <f>VLOOKUP(C325,CU_ARS_2025_WOF_F2!$A$2:$K$673,2,FALSE)</f>
        <v>CU_ARS_2025_WOF_F2_5_plant_13</v>
      </c>
      <c r="P325" t="str">
        <f>VLOOKUP(C325,CU_ARS_2025_WOF_F2!$A$2:$K$673,3,FALSE)</f>
        <v>CU_ARS_2025_WOF_F2_5</v>
      </c>
      <c r="Q325" t="str">
        <f>VLOOKUP(C325,CU_ARS_2025_WOF_F2!$A$2:$K$673,4,FALSE)</f>
        <v>CU_ARS_2025_WOF_cross_54</v>
      </c>
      <c r="R325">
        <f>VLOOKUP(C325,CU_ARS_2025_WOF_F2!$A$2:$K$673,5,FALSE)</f>
        <v>5</v>
      </c>
      <c r="S325">
        <f>VLOOKUP(C325,CU_ARS_2025_WOF_F2!$A$2:$K$673,6,FALSE)</f>
        <v>1</v>
      </c>
      <c r="T325">
        <f>VLOOKUP(C325,CU_ARS_2025_WOF_F2!$A$2:$K$673,7,FALSE)</f>
        <v>0</v>
      </c>
      <c r="U325">
        <f>VLOOKUP(C325,CU_ARS_2025_WOF_F2!$A$2:$K$673,8,FALSE)</f>
        <v>1</v>
      </c>
      <c r="V325">
        <f>VLOOKUP(C325,CU_ARS_2025_WOF_F2!$A$2:$K$673,9,FALSE)</f>
        <v>0</v>
      </c>
      <c r="W325">
        <f>VLOOKUP(C325,CU_ARS_2025_WOF_F2!$A$2:$K$673,10,FALSE)</f>
        <v>0</v>
      </c>
      <c r="X325">
        <f>VLOOKUP(C325,CU_ARS_2025_WOF_F2!$A$2:$K$673,11,FALSE)</f>
        <v>13</v>
      </c>
      <c r="Y325" t="str">
        <f>VLOOKUP(Q325,cross_pedigree!$A$2:$B$23,2,FALSE)</f>
        <v>Gerard 227/NF13-4126-4_3</v>
      </c>
    </row>
    <row r="326" spans="1:25" ht="18">
      <c r="A326" s="21" t="s">
        <v>15</v>
      </c>
      <c r="B326" s="21" t="s">
        <v>16</v>
      </c>
      <c r="C326" s="22">
        <v>753961</v>
      </c>
      <c r="D326" s="23">
        <v>4</v>
      </c>
      <c r="E326" s="24" t="str">
        <f t="shared" si="5"/>
        <v>CU_ARS_2025_WOF_F2_5_plant_30</v>
      </c>
      <c r="F326" s="21" t="s">
        <v>19</v>
      </c>
      <c r="G326" s="44" t="s">
        <v>20</v>
      </c>
      <c r="H326" s="42"/>
      <c r="I326" s="42" t="s">
        <v>1035</v>
      </c>
      <c r="J326" s="42" t="s">
        <v>1003</v>
      </c>
      <c r="K326" s="42"/>
      <c r="L326" s="42"/>
      <c r="M326" s="42"/>
      <c r="N326" t="str">
        <f>VLOOKUP(C326,CU_ARS_2025_WOF_F2!$A$2:$K$673,2,FALSE)</f>
        <v>CU_ARS_2025_WOF_F2_5_plant_30</v>
      </c>
      <c r="O326" t="str">
        <f>VLOOKUP(C326,CU_ARS_2025_WOF_F2!$A$2:$K$673,2,FALSE)</f>
        <v>CU_ARS_2025_WOF_F2_5_plant_30</v>
      </c>
      <c r="P326" t="str">
        <f>VLOOKUP(C326,CU_ARS_2025_WOF_F2!$A$2:$K$673,3,FALSE)</f>
        <v>CU_ARS_2025_WOF_F2_5</v>
      </c>
      <c r="Q326" t="str">
        <f>VLOOKUP(C326,CU_ARS_2025_WOF_F2!$A$2:$K$673,4,FALSE)</f>
        <v>CU_ARS_2025_WOF_cross_54</v>
      </c>
      <c r="R326">
        <f>VLOOKUP(C326,CU_ARS_2025_WOF_F2!$A$2:$K$673,5,FALSE)</f>
        <v>5</v>
      </c>
      <c r="S326">
        <f>VLOOKUP(C326,CU_ARS_2025_WOF_F2!$A$2:$K$673,6,FALSE)</f>
        <v>1</v>
      </c>
      <c r="T326">
        <f>VLOOKUP(C326,CU_ARS_2025_WOF_F2!$A$2:$K$673,7,FALSE)</f>
        <v>0</v>
      </c>
      <c r="U326">
        <f>VLOOKUP(C326,CU_ARS_2025_WOF_F2!$A$2:$K$673,8,FALSE)</f>
        <v>1</v>
      </c>
      <c r="V326">
        <f>VLOOKUP(C326,CU_ARS_2025_WOF_F2!$A$2:$K$673,9,FALSE)</f>
        <v>0</v>
      </c>
      <c r="W326">
        <f>VLOOKUP(C326,CU_ARS_2025_WOF_F2!$A$2:$K$673,10,FALSE)</f>
        <v>0</v>
      </c>
      <c r="X326">
        <f>VLOOKUP(C326,CU_ARS_2025_WOF_F2!$A$2:$K$673,11,FALSE)</f>
        <v>30</v>
      </c>
      <c r="Y326" t="str">
        <f>VLOOKUP(Q326,cross_pedigree!$A$2:$B$23,2,FALSE)</f>
        <v>Gerard 227/NF13-4126-4_3</v>
      </c>
    </row>
    <row r="327" spans="1:25" ht="18">
      <c r="A327" s="21" t="s">
        <v>15</v>
      </c>
      <c r="B327" s="21" t="s">
        <v>16</v>
      </c>
      <c r="C327" s="22">
        <v>753955</v>
      </c>
      <c r="D327" s="23">
        <v>4</v>
      </c>
      <c r="E327" s="24" t="str">
        <f t="shared" si="5"/>
        <v>CU_ARS_2025_WOF_F2_5_plant_24</v>
      </c>
      <c r="F327" s="21" t="s">
        <v>21</v>
      </c>
      <c r="G327" s="44" t="s">
        <v>22</v>
      </c>
      <c r="H327" s="42"/>
      <c r="I327" s="42" t="s">
        <v>1035</v>
      </c>
      <c r="J327" s="42" t="s">
        <v>1003</v>
      </c>
      <c r="K327" s="42"/>
      <c r="L327" s="42"/>
      <c r="M327" s="42"/>
      <c r="N327" t="str">
        <f>VLOOKUP(C327,CU_ARS_2025_WOF_F2!$A$2:$K$673,2,FALSE)</f>
        <v>CU_ARS_2025_WOF_F2_5_plant_24</v>
      </c>
      <c r="O327" t="str">
        <f>VLOOKUP(C327,CU_ARS_2025_WOF_F2!$A$2:$K$673,2,FALSE)</f>
        <v>CU_ARS_2025_WOF_F2_5_plant_24</v>
      </c>
      <c r="P327" t="str">
        <f>VLOOKUP(C327,CU_ARS_2025_WOF_F2!$A$2:$K$673,3,FALSE)</f>
        <v>CU_ARS_2025_WOF_F2_5</v>
      </c>
      <c r="Q327" t="str">
        <f>VLOOKUP(C327,CU_ARS_2025_WOF_F2!$A$2:$K$673,4,FALSE)</f>
        <v>CU_ARS_2025_WOF_cross_54</v>
      </c>
      <c r="R327">
        <f>VLOOKUP(C327,CU_ARS_2025_WOF_F2!$A$2:$K$673,5,FALSE)</f>
        <v>5</v>
      </c>
      <c r="S327">
        <f>VLOOKUP(C327,CU_ARS_2025_WOF_F2!$A$2:$K$673,6,FALSE)</f>
        <v>1</v>
      </c>
      <c r="T327">
        <f>VLOOKUP(C327,CU_ARS_2025_WOF_F2!$A$2:$K$673,7,FALSE)</f>
        <v>0</v>
      </c>
      <c r="U327">
        <f>VLOOKUP(C327,CU_ARS_2025_WOF_F2!$A$2:$K$673,8,FALSE)</f>
        <v>1</v>
      </c>
      <c r="V327">
        <f>VLOOKUP(C327,CU_ARS_2025_WOF_F2!$A$2:$K$673,9,FALSE)</f>
        <v>0</v>
      </c>
      <c r="W327">
        <f>VLOOKUP(C327,CU_ARS_2025_WOF_F2!$A$2:$K$673,10,FALSE)</f>
        <v>0</v>
      </c>
      <c r="X327">
        <f>VLOOKUP(C327,CU_ARS_2025_WOF_F2!$A$2:$K$673,11,FALSE)</f>
        <v>24</v>
      </c>
      <c r="Y327" t="str">
        <f>VLOOKUP(Q327,cross_pedigree!$A$2:$B$23,2,FALSE)</f>
        <v>Gerard 227/NF13-4126-4_3</v>
      </c>
    </row>
    <row r="328" spans="1:25" ht="18">
      <c r="A328" s="21" t="s">
        <v>15</v>
      </c>
      <c r="B328" s="21" t="s">
        <v>16</v>
      </c>
      <c r="C328" s="22">
        <v>753953</v>
      </c>
      <c r="D328" s="23">
        <v>4</v>
      </c>
      <c r="E328" s="24" t="str">
        <f t="shared" si="5"/>
        <v>CU_ARS_2025_WOF_F2_5_plant_22</v>
      </c>
      <c r="F328" s="21" t="s">
        <v>152</v>
      </c>
      <c r="G328" s="44" t="s">
        <v>153</v>
      </c>
      <c r="H328" s="42"/>
      <c r="I328" s="42" t="s">
        <v>1035</v>
      </c>
      <c r="J328" s="42" t="s">
        <v>1003</v>
      </c>
      <c r="K328" s="42"/>
      <c r="L328" s="42"/>
      <c r="M328" s="42"/>
      <c r="N328" t="str">
        <f>VLOOKUP(C328,CU_ARS_2025_WOF_F2!$A$2:$K$673,2,FALSE)</f>
        <v>CU_ARS_2025_WOF_F2_5_plant_22</v>
      </c>
      <c r="O328" t="str">
        <f>VLOOKUP(C328,CU_ARS_2025_WOF_F2!$A$2:$K$673,2,FALSE)</f>
        <v>CU_ARS_2025_WOF_F2_5_plant_22</v>
      </c>
      <c r="P328" t="str">
        <f>VLOOKUP(C328,CU_ARS_2025_WOF_F2!$A$2:$K$673,3,FALSE)</f>
        <v>CU_ARS_2025_WOF_F2_5</v>
      </c>
      <c r="Q328" t="str">
        <f>VLOOKUP(C328,CU_ARS_2025_WOF_F2!$A$2:$K$673,4,FALSE)</f>
        <v>CU_ARS_2025_WOF_cross_54</v>
      </c>
      <c r="R328">
        <f>VLOOKUP(C328,CU_ARS_2025_WOF_F2!$A$2:$K$673,5,FALSE)</f>
        <v>5</v>
      </c>
      <c r="S328">
        <f>VLOOKUP(C328,CU_ARS_2025_WOF_F2!$A$2:$K$673,6,FALSE)</f>
        <v>1</v>
      </c>
      <c r="T328">
        <f>VLOOKUP(C328,CU_ARS_2025_WOF_F2!$A$2:$K$673,7,FALSE)</f>
        <v>0</v>
      </c>
      <c r="U328">
        <f>VLOOKUP(C328,CU_ARS_2025_WOF_F2!$A$2:$K$673,8,FALSE)</f>
        <v>1</v>
      </c>
      <c r="V328">
        <f>VLOOKUP(C328,CU_ARS_2025_WOF_F2!$A$2:$K$673,9,FALSE)</f>
        <v>0</v>
      </c>
      <c r="W328">
        <f>VLOOKUP(C328,CU_ARS_2025_WOF_F2!$A$2:$K$673,10,FALSE)</f>
        <v>0</v>
      </c>
      <c r="X328">
        <f>VLOOKUP(C328,CU_ARS_2025_WOF_F2!$A$2:$K$673,11,FALSE)</f>
        <v>22</v>
      </c>
      <c r="Y328" t="str">
        <f>VLOOKUP(Q328,cross_pedigree!$A$2:$B$23,2,FALSE)</f>
        <v>Gerard 227/NF13-4126-4_3</v>
      </c>
    </row>
    <row r="329" spans="1:25" ht="18">
      <c r="A329" s="21" t="s">
        <v>15</v>
      </c>
      <c r="B329" s="21" t="s">
        <v>16</v>
      </c>
      <c r="C329" s="22">
        <v>753954</v>
      </c>
      <c r="D329" s="23">
        <v>4</v>
      </c>
      <c r="E329" s="24" t="str">
        <f t="shared" si="5"/>
        <v>CU_ARS_2025_WOF_F2_5_plant_23</v>
      </c>
      <c r="F329" s="21" t="s">
        <v>154</v>
      </c>
      <c r="G329" s="44" t="s">
        <v>155</v>
      </c>
      <c r="H329" s="42"/>
      <c r="I329" s="42" t="s">
        <v>1035</v>
      </c>
      <c r="J329" s="42" t="s">
        <v>1003</v>
      </c>
      <c r="K329" s="42"/>
      <c r="L329" s="42"/>
      <c r="M329" s="42"/>
      <c r="N329" t="str">
        <f>VLOOKUP(C329,CU_ARS_2025_WOF_F2!$A$2:$K$673,2,FALSE)</f>
        <v>CU_ARS_2025_WOF_F2_5_plant_23</v>
      </c>
      <c r="O329" t="str">
        <f>VLOOKUP(C329,CU_ARS_2025_WOF_F2!$A$2:$K$673,2,FALSE)</f>
        <v>CU_ARS_2025_WOF_F2_5_plant_23</v>
      </c>
      <c r="P329" t="str">
        <f>VLOOKUP(C329,CU_ARS_2025_WOF_F2!$A$2:$K$673,3,FALSE)</f>
        <v>CU_ARS_2025_WOF_F2_5</v>
      </c>
      <c r="Q329" t="str">
        <f>VLOOKUP(C329,CU_ARS_2025_WOF_F2!$A$2:$K$673,4,FALSE)</f>
        <v>CU_ARS_2025_WOF_cross_54</v>
      </c>
      <c r="R329">
        <f>VLOOKUP(C329,CU_ARS_2025_WOF_F2!$A$2:$K$673,5,FALSE)</f>
        <v>5</v>
      </c>
      <c r="S329">
        <f>VLOOKUP(C329,CU_ARS_2025_WOF_F2!$A$2:$K$673,6,FALSE)</f>
        <v>1</v>
      </c>
      <c r="T329">
        <f>VLOOKUP(C329,CU_ARS_2025_WOF_F2!$A$2:$K$673,7,FALSE)</f>
        <v>0</v>
      </c>
      <c r="U329">
        <f>VLOOKUP(C329,CU_ARS_2025_WOF_F2!$A$2:$K$673,8,FALSE)</f>
        <v>1</v>
      </c>
      <c r="V329">
        <f>VLOOKUP(C329,CU_ARS_2025_WOF_F2!$A$2:$K$673,9,FALSE)</f>
        <v>0</v>
      </c>
      <c r="W329">
        <f>VLOOKUP(C329,CU_ARS_2025_WOF_F2!$A$2:$K$673,10,FALSE)</f>
        <v>0</v>
      </c>
      <c r="X329">
        <f>VLOOKUP(C329,CU_ARS_2025_WOF_F2!$A$2:$K$673,11,FALSE)</f>
        <v>23</v>
      </c>
      <c r="Y329" t="str">
        <f>VLOOKUP(Q329,cross_pedigree!$A$2:$B$23,2,FALSE)</f>
        <v>Gerard 227/NF13-4126-4_3</v>
      </c>
    </row>
    <row r="330" spans="1:25" ht="18">
      <c r="A330" s="21" t="s">
        <v>15</v>
      </c>
      <c r="B330" s="21" t="s">
        <v>16</v>
      </c>
      <c r="C330" s="22">
        <v>753939</v>
      </c>
      <c r="D330" s="23">
        <v>4</v>
      </c>
      <c r="E330" s="24" t="str">
        <f t="shared" si="5"/>
        <v>CU_ARS_2025_WOF_F2_5_plant_8</v>
      </c>
      <c r="F330" s="21" t="s">
        <v>156</v>
      </c>
      <c r="G330" s="44" t="s">
        <v>157</v>
      </c>
      <c r="H330" s="42"/>
      <c r="I330" s="42" t="s">
        <v>1035</v>
      </c>
      <c r="J330" s="42" t="s">
        <v>1003</v>
      </c>
      <c r="K330" s="42"/>
      <c r="L330" s="42"/>
      <c r="M330" s="42"/>
      <c r="N330" t="str">
        <f>VLOOKUP(C330,CU_ARS_2025_WOF_F2!$A$2:$K$673,2,FALSE)</f>
        <v>CU_ARS_2025_WOF_F2_5_plant_8</v>
      </c>
      <c r="O330" t="str">
        <f>VLOOKUP(C330,CU_ARS_2025_WOF_F2!$A$2:$K$673,2,FALSE)</f>
        <v>CU_ARS_2025_WOF_F2_5_plant_8</v>
      </c>
      <c r="P330" t="str">
        <f>VLOOKUP(C330,CU_ARS_2025_WOF_F2!$A$2:$K$673,3,FALSE)</f>
        <v>CU_ARS_2025_WOF_F2_5</v>
      </c>
      <c r="Q330" t="str">
        <f>VLOOKUP(C330,CU_ARS_2025_WOF_F2!$A$2:$K$673,4,FALSE)</f>
        <v>CU_ARS_2025_WOF_cross_54</v>
      </c>
      <c r="R330">
        <f>VLOOKUP(C330,CU_ARS_2025_WOF_F2!$A$2:$K$673,5,FALSE)</f>
        <v>5</v>
      </c>
      <c r="S330">
        <f>VLOOKUP(C330,CU_ARS_2025_WOF_F2!$A$2:$K$673,6,FALSE)</f>
        <v>1</v>
      </c>
      <c r="T330">
        <f>VLOOKUP(C330,CU_ARS_2025_WOF_F2!$A$2:$K$673,7,FALSE)</f>
        <v>0</v>
      </c>
      <c r="U330">
        <f>VLOOKUP(C330,CU_ARS_2025_WOF_F2!$A$2:$K$673,8,FALSE)</f>
        <v>1</v>
      </c>
      <c r="V330">
        <f>VLOOKUP(C330,CU_ARS_2025_WOF_F2!$A$2:$K$673,9,FALSE)</f>
        <v>0</v>
      </c>
      <c r="W330">
        <f>VLOOKUP(C330,CU_ARS_2025_WOF_F2!$A$2:$K$673,10,FALSE)</f>
        <v>0</v>
      </c>
      <c r="X330">
        <f>VLOOKUP(C330,CU_ARS_2025_WOF_F2!$A$2:$K$673,11,FALSE)</f>
        <v>8</v>
      </c>
      <c r="Y330" t="str">
        <f>VLOOKUP(Q330,cross_pedigree!$A$2:$B$23,2,FALSE)</f>
        <v>Gerard 227/NF13-4126-4_3</v>
      </c>
    </row>
    <row r="331" spans="1:25" ht="18">
      <c r="A331" s="21" t="s">
        <v>15</v>
      </c>
      <c r="B331" s="21" t="s">
        <v>16</v>
      </c>
      <c r="C331" s="22">
        <v>753938</v>
      </c>
      <c r="D331" s="23">
        <v>4</v>
      </c>
      <c r="E331" s="24" t="str">
        <f t="shared" si="5"/>
        <v>CU_ARS_2025_WOF_F2_5_plant_7</v>
      </c>
      <c r="F331" s="21" t="s">
        <v>158</v>
      </c>
      <c r="G331" s="44" t="s">
        <v>159</v>
      </c>
      <c r="H331" s="42"/>
      <c r="I331" s="42" t="s">
        <v>1035</v>
      </c>
      <c r="J331" s="42" t="s">
        <v>1003</v>
      </c>
      <c r="K331" s="42"/>
      <c r="L331" s="42"/>
      <c r="M331" s="42"/>
      <c r="N331" t="str">
        <f>VLOOKUP(C331,CU_ARS_2025_WOF_F2!$A$2:$K$673,2,FALSE)</f>
        <v>CU_ARS_2025_WOF_F2_5_plant_7</v>
      </c>
      <c r="O331" t="str">
        <f>VLOOKUP(C331,CU_ARS_2025_WOF_F2!$A$2:$K$673,2,FALSE)</f>
        <v>CU_ARS_2025_WOF_F2_5_plant_7</v>
      </c>
      <c r="P331" t="str">
        <f>VLOOKUP(C331,CU_ARS_2025_WOF_F2!$A$2:$K$673,3,FALSE)</f>
        <v>CU_ARS_2025_WOF_F2_5</v>
      </c>
      <c r="Q331" t="str">
        <f>VLOOKUP(C331,CU_ARS_2025_WOF_F2!$A$2:$K$673,4,FALSE)</f>
        <v>CU_ARS_2025_WOF_cross_54</v>
      </c>
      <c r="R331">
        <f>VLOOKUP(C331,CU_ARS_2025_WOF_F2!$A$2:$K$673,5,FALSE)</f>
        <v>5</v>
      </c>
      <c r="S331">
        <f>VLOOKUP(C331,CU_ARS_2025_WOF_F2!$A$2:$K$673,6,FALSE)</f>
        <v>1</v>
      </c>
      <c r="T331">
        <f>VLOOKUP(C331,CU_ARS_2025_WOF_F2!$A$2:$K$673,7,FALSE)</f>
        <v>0</v>
      </c>
      <c r="U331">
        <f>VLOOKUP(C331,CU_ARS_2025_WOF_F2!$A$2:$K$673,8,FALSE)</f>
        <v>1</v>
      </c>
      <c r="V331">
        <f>VLOOKUP(C331,CU_ARS_2025_WOF_F2!$A$2:$K$673,9,FALSE)</f>
        <v>0</v>
      </c>
      <c r="W331">
        <f>VLOOKUP(C331,CU_ARS_2025_WOF_F2!$A$2:$K$673,10,FALSE)</f>
        <v>0</v>
      </c>
      <c r="X331">
        <f>VLOOKUP(C331,CU_ARS_2025_WOF_F2!$A$2:$K$673,11,FALSE)</f>
        <v>7</v>
      </c>
      <c r="Y331" t="str">
        <f>VLOOKUP(Q331,cross_pedigree!$A$2:$B$23,2,FALSE)</f>
        <v>Gerard 227/NF13-4126-4_3</v>
      </c>
    </row>
    <row r="332" spans="1:25" ht="18">
      <c r="A332" s="21" t="s">
        <v>15</v>
      </c>
      <c r="B332" s="21" t="s">
        <v>16</v>
      </c>
      <c r="C332" s="22">
        <v>753937</v>
      </c>
      <c r="D332" s="23">
        <v>4</v>
      </c>
      <c r="E332" s="24" t="str">
        <f t="shared" si="5"/>
        <v>CU_ARS_2025_WOF_F2_5_plant_6</v>
      </c>
      <c r="F332" s="21" t="s">
        <v>160</v>
      </c>
      <c r="G332" s="44" t="s">
        <v>161</v>
      </c>
      <c r="H332" s="42"/>
      <c r="I332" s="42" t="s">
        <v>1035</v>
      </c>
      <c r="J332" s="42" t="s">
        <v>1003</v>
      </c>
      <c r="K332" s="42"/>
      <c r="L332" s="42"/>
      <c r="M332" s="42"/>
      <c r="N332" t="str">
        <f>VLOOKUP(C332,CU_ARS_2025_WOF_F2!$A$2:$K$673,2,FALSE)</f>
        <v>CU_ARS_2025_WOF_F2_5_plant_6</v>
      </c>
      <c r="O332" t="str">
        <f>VLOOKUP(C332,CU_ARS_2025_WOF_F2!$A$2:$K$673,2,FALSE)</f>
        <v>CU_ARS_2025_WOF_F2_5_plant_6</v>
      </c>
      <c r="P332" t="str">
        <f>VLOOKUP(C332,CU_ARS_2025_WOF_F2!$A$2:$K$673,3,FALSE)</f>
        <v>CU_ARS_2025_WOF_F2_5</v>
      </c>
      <c r="Q332" t="str">
        <f>VLOOKUP(C332,CU_ARS_2025_WOF_F2!$A$2:$K$673,4,FALSE)</f>
        <v>CU_ARS_2025_WOF_cross_54</v>
      </c>
      <c r="R332">
        <f>VLOOKUP(C332,CU_ARS_2025_WOF_F2!$A$2:$K$673,5,FALSE)</f>
        <v>5</v>
      </c>
      <c r="S332">
        <f>VLOOKUP(C332,CU_ARS_2025_WOF_F2!$A$2:$K$673,6,FALSE)</f>
        <v>1</v>
      </c>
      <c r="T332">
        <f>VLOOKUP(C332,CU_ARS_2025_WOF_F2!$A$2:$K$673,7,FALSE)</f>
        <v>0</v>
      </c>
      <c r="U332">
        <f>VLOOKUP(C332,CU_ARS_2025_WOF_F2!$A$2:$K$673,8,FALSE)</f>
        <v>1</v>
      </c>
      <c r="V332">
        <f>VLOOKUP(C332,CU_ARS_2025_WOF_F2!$A$2:$K$673,9,FALSE)</f>
        <v>0</v>
      </c>
      <c r="W332">
        <f>VLOOKUP(C332,CU_ARS_2025_WOF_F2!$A$2:$K$673,10,FALSE)</f>
        <v>0</v>
      </c>
      <c r="X332">
        <f>VLOOKUP(C332,CU_ARS_2025_WOF_F2!$A$2:$K$673,11,FALSE)</f>
        <v>6</v>
      </c>
      <c r="Y332" t="str">
        <f>VLOOKUP(Q332,cross_pedigree!$A$2:$B$23,2,FALSE)</f>
        <v>Gerard 227/NF13-4126-4_3</v>
      </c>
    </row>
    <row r="333" spans="1:25" ht="18">
      <c r="A333" s="21" t="s">
        <v>15</v>
      </c>
      <c r="B333" s="21" t="s">
        <v>16</v>
      </c>
      <c r="C333" s="22">
        <v>753945</v>
      </c>
      <c r="D333" s="23">
        <v>4</v>
      </c>
      <c r="E333" s="24" t="str">
        <f t="shared" si="5"/>
        <v>CU_ARS_2025_WOF_F2_5_plant_14</v>
      </c>
      <c r="F333" s="21" t="s">
        <v>23</v>
      </c>
      <c r="G333" s="44" t="s">
        <v>24</v>
      </c>
      <c r="H333" s="42"/>
      <c r="I333" s="42" t="s">
        <v>1035</v>
      </c>
      <c r="J333" s="42" t="s">
        <v>1003</v>
      </c>
      <c r="K333" s="42"/>
      <c r="L333" s="42"/>
      <c r="M333" s="42"/>
      <c r="N333" t="str">
        <f>VLOOKUP(C333,CU_ARS_2025_WOF_F2!$A$2:$K$673,2,FALSE)</f>
        <v>CU_ARS_2025_WOF_F2_5_plant_14</v>
      </c>
      <c r="O333" t="str">
        <f>VLOOKUP(C333,CU_ARS_2025_WOF_F2!$A$2:$K$673,2,FALSE)</f>
        <v>CU_ARS_2025_WOF_F2_5_plant_14</v>
      </c>
      <c r="P333" t="str">
        <f>VLOOKUP(C333,CU_ARS_2025_WOF_F2!$A$2:$K$673,3,FALSE)</f>
        <v>CU_ARS_2025_WOF_F2_5</v>
      </c>
      <c r="Q333" t="str">
        <f>VLOOKUP(C333,CU_ARS_2025_WOF_F2!$A$2:$K$673,4,FALSE)</f>
        <v>CU_ARS_2025_WOF_cross_54</v>
      </c>
      <c r="R333">
        <f>VLOOKUP(C333,CU_ARS_2025_WOF_F2!$A$2:$K$673,5,FALSE)</f>
        <v>5</v>
      </c>
      <c r="S333">
        <f>VLOOKUP(C333,CU_ARS_2025_WOF_F2!$A$2:$K$673,6,FALSE)</f>
        <v>1</v>
      </c>
      <c r="T333">
        <f>VLOOKUP(C333,CU_ARS_2025_WOF_F2!$A$2:$K$673,7,FALSE)</f>
        <v>0</v>
      </c>
      <c r="U333">
        <f>VLOOKUP(C333,CU_ARS_2025_WOF_F2!$A$2:$K$673,8,FALSE)</f>
        <v>1</v>
      </c>
      <c r="V333">
        <f>VLOOKUP(C333,CU_ARS_2025_WOF_F2!$A$2:$K$673,9,FALSE)</f>
        <v>0</v>
      </c>
      <c r="W333">
        <f>VLOOKUP(C333,CU_ARS_2025_WOF_F2!$A$2:$K$673,10,FALSE)</f>
        <v>0</v>
      </c>
      <c r="X333">
        <f>VLOOKUP(C333,CU_ARS_2025_WOF_F2!$A$2:$K$673,11,FALSE)</f>
        <v>14</v>
      </c>
      <c r="Y333" t="str">
        <f>VLOOKUP(Q333,cross_pedigree!$A$2:$B$23,2,FALSE)</f>
        <v>Gerard 227/NF13-4126-4_3</v>
      </c>
    </row>
    <row r="334" spans="1:25" ht="18">
      <c r="A334" s="21" t="s">
        <v>15</v>
      </c>
      <c r="B334" s="21" t="s">
        <v>16</v>
      </c>
      <c r="C334" s="22">
        <v>753946</v>
      </c>
      <c r="D334" s="23">
        <v>4</v>
      </c>
      <c r="E334" s="24" t="str">
        <f t="shared" si="5"/>
        <v>CU_ARS_2025_WOF_F2_5_plant_15</v>
      </c>
      <c r="F334" s="21" t="s">
        <v>25</v>
      </c>
      <c r="G334" s="44" t="s">
        <v>26</v>
      </c>
      <c r="H334" s="42"/>
      <c r="I334" s="42" t="s">
        <v>1035</v>
      </c>
      <c r="J334" s="42" t="s">
        <v>1003</v>
      </c>
      <c r="K334" s="42"/>
      <c r="L334" s="42"/>
      <c r="M334" s="42"/>
      <c r="N334" t="str">
        <f>VLOOKUP(C334,CU_ARS_2025_WOF_F2!$A$2:$K$673,2,FALSE)</f>
        <v>CU_ARS_2025_WOF_F2_5_plant_15</v>
      </c>
      <c r="O334" t="str">
        <f>VLOOKUP(C334,CU_ARS_2025_WOF_F2!$A$2:$K$673,2,FALSE)</f>
        <v>CU_ARS_2025_WOF_F2_5_plant_15</v>
      </c>
      <c r="P334" t="str">
        <f>VLOOKUP(C334,CU_ARS_2025_WOF_F2!$A$2:$K$673,3,FALSE)</f>
        <v>CU_ARS_2025_WOF_F2_5</v>
      </c>
      <c r="Q334" t="str">
        <f>VLOOKUP(C334,CU_ARS_2025_WOF_F2!$A$2:$K$673,4,FALSE)</f>
        <v>CU_ARS_2025_WOF_cross_54</v>
      </c>
      <c r="R334">
        <f>VLOOKUP(C334,CU_ARS_2025_WOF_F2!$A$2:$K$673,5,FALSE)</f>
        <v>5</v>
      </c>
      <c r="S334">
        <f>VLOOKUP(C334,CU_ARS_2025_WOF_F2!$A$2:$K$673,6,FALSE)</f>
        <v>1</v>
      </c>
      <c r="T334">
        <f>VLOOKUP(C334,CU_ARS_2025_WOF_F2!$A$2:$K$673,7,FALSE)</f>
        <v>0</v>
      </c>
      <c r="U334">
        <f>VLOOKUP(C334,CU_ARS_2025_WOF_F2!$A$2:$K$673,8,FALSE)</f>
        <v>1</v>
      </c>
      <c r="V334">
        <f>VLOOKUP(C334,CU_ARS_2025_WOF_F2!$A$2:$K$673,9,FALSE)</f>
        <v>0</v>
      </c>
      <c r="W334">
        <f>VLOOKUP(C334,CU_ARS_2025_WOF_F2!$A$2:$K$673,10,FALSE)</f>
        <v>0</v>
      </c>
      <c r="X334">
        <f>VLOOKUP(C334,CU_ARS_2025_WOF_F2!$A$2:$K$673,11,FALSE)</f>
        <v>15</v>
      </c>
      <c r="Y334" t="str">
        <f>VLOOKUP(Q334,cross_pedigree!$A$2:$B$23,2,FALSE)</f>
        <v>Gerard 227/NF13-4126-4_3</v>
      </c>
    </row>
    <row r="335" spans="1:25" ht="18">
      <c r="A335" s="21" t="s">
        <v>15</v>
      </c>
      <c r="B335" s="21" t="s">
        <v>16</v>
      </c>
      <c r="C335" s="22">
        <v>753947</v>
      </c>
      <c r="D335" s="23">
        <v>4</v>
      </c>
      <c r="E335" s="24" t="str">
        <f t="shared" si="5"/>
        <v>CU_ARS_2025_WOF_F2_5_plant_16</v>
      </c>
      <c r="F335" s="21" t="s">
        <v>27</v>
      </c>
      <c r="G335" s="44" t="s">
        <v>28</v>
      </c>
      <c r="H335" s="42"/>
      <c r="I335" s="42" t="s">
        <v>1035</v>
      </c>
      <c r="J335" s="42" t="s">
        <v>1003</v>
      </c>
      <c r="K335" s="42"/>
      <c r="L335" s="42"/>
      <c r="M335" s="42"/>
      <c r="N335" t="str">
        <f>VLOOKUP(C335,CU_ARS_2025_WOF_F2!$A$2:$K$673,2,FALSE)</f>
        <v>CU_ARS_2025_WOF_F2_5_plant_16</v>
      </c>
      <c r="O335" t="str">
        <f>VLOOKUP(C335,CU_ARS_2025_WOF_F2!$A$2:$K$673,2,FALSE)</f>
        <v>CU_ARS_2025_WOF_F2_5_plant_16</v>
      </c>
      <c r="P335" t="str">
        <f>VLOOKUP(C335,CU_ARS_2025_WOF_F2!$A$2:$K$673,3,FALSE)</f>
        <v>CU_ARS_2025_WOF_F2_5</v>
      </c>
      <c r="Q335" t="str">
        <f>VLOOKUP(C335,CU_ARS_2025_WOF_F2!$A$2:$K$673,4,FALSE)</f>
        <v>CU_ARS_2025_WOF_cross_54</v>
      </c>
      <c r="R335">
        <f>VLOOKUP(C335,CU_ARS_2025_WOF_F2!$A$2:$K$673,5,FALSE)</f>
        <v>5</v>
      </c>
      <c r="S335">
        <f>VLOOKUP(C335,CU_ARS_2025_WOF_F2!$A$2:$K$673,6,FALSE)</f>
        <v>1</v>
      </c>
      <c r="T335">
        <f>VLOOKUP(C335,CU_ARS_2025_WOF_F2!$A$2:$K$673,7,FALSE)</f>
        <v>0</v>
      </c>
      <c r="U335">
        <f>VLOOKUP(C335,CU_ARS_2025_WOF_F2!$A$2:$K$673,8,FALSE)</f>
        <v>1</v>
      </c>
      <c r="V335">
        <f>VLOOKUP(C335,CU_ARS_2025_WOF_F2!$A$2:$K$673,9,FALSE)</f>
        <v>0</v>
      </c>
      <c r="W335">
        <f>VLOOKUP(C335,CU_ARS_2025_WOF_F2!$A$2:$K$673,10,FALSE)</f>
        <v>0</v>
      </c>
      <c r="X335">
        <f>VLOOKUP(C335,CU_ARS_2025_WOF_F2!$A$2:$K$673,11,FALSE)</f>
        <v>16</v>
      </c>
      <c r="Y335" t="str">
        <f>VLOOKUP(Q335,cross_pedigree!$A$2:$B$23,2,FALSE)</f>
        <v>Gerard 227/NF13-4126-4_3</v>
      </c>
    </row>
    <row r="336" spans="1:25" ht="18">
      <c r="A336" s="21" t="s">
        <v>15</v>
      </c>
      <c r="B336" s="21" t="s">
        <v>16</v>
      </c>
      <c r="C336" s="22">
        <v>753948</v>
      </c>
      <c r="D336" s="23">
        <v>4</v>
      </c>
      <c r="E336" s="24" t="str">
        <f t="shared" si="5"/>
        <v>CU_ARS_2025_WOF_F2_5_plant_17</v>
      </c>
      <c r="F336" s="21" t="s">
        <v>162</v>
      </c>
      <c r="G336" s="44" t="s">
        <v>163</v>
      </c>
      <c r="H336" s="42"/>
      <c r="I336" s="42" t="s">
        <v>1035</v>
      </c>
      <c r="J336" s="42" t="s">
        <v>1003</v>
      </c>
      <c r="K336" s="42"/>
      <c r="L336" s="42"/>
      <c r="M336" s="42"/>
      <c r="N336" t="str">
        <f>VLOOKUP(C336,CU_ARS_2025_WOF_F2!$A$2:$K$673,2,FALSE)</f>
        <v>CU_ARS_2025_WOF_F2_5_plant_17</v>
      </c>
      <c r="O336" t="str">
        <f>VLOOKUP(C336,CU_ARS_2025_WOF_F2!$A$2:$K$673,2,FALSE)</f>
        <v>CU_ARS_2025_WOF_F2_5_plant_17</v>
      </c>
      <c r="P336" t="str">
        <f>VLOOKUP(C336,CU_ARS_2025_WOF_F2!$A$2:$K$673,3,FALSE)</f>
        <v>CU_ARS_2025_WOF_F2_5</v>
      </c>
      <c r="Q336" t="str">
        <f>VLOOKUP(C336,CU_ARS_2025_WOF_F2!$A$2:$K$673,4,FALSE)</f>
        <v>CU_ARS_2025_WOF_cross_54</v>
      </c>
      <c r="R336">
        <f>VLOOKUP(C336,CU_ARS_2025_WOF_F2!$A$2:$K$673,5,FALSE)</f>
        <v>5</v>
      </c>
      <c r="S336">
        <f>VLOOKUP(C336,CU_ARS_2025_WOF_F2!$A$2:$K$673,6,FALSE)</f>
        <v>1</v>
      </c>
      <c r="T336">
        <f>VLOOKUP(C336,CU_ARS_2025_WOF_F2!$A$2:$K$673,7,FALSE)</f>
        <v>0</v>
      </c>
      <c r="U336">
        <f>VLOOKUP(C336,CU_ARS_2025_WOF_F2!$A$2:$K$673,8,FALSE)</f>
        <v>1</v>
      </c>
      <c r="V336">
        <f>VLOOKUP(C336,CU_ARS_2025_WOF_F2!$A$2:$K$673,9,FALSE)</f>
        <v>0</v>
      </c>
      <c r="W336">
        <f>VLOOKUP(C336,CU_ARS_2025_WOF_F2!$A$2:$K$673,10,FALSE)</f>
        <v>0</v>
      </c>
      <c r="X336">
        <f>VLOOKUP(C336,CU_ARS_2025_WOF_F2!$A$2:$K$673,11,FALSE)</f>
        <v>17</v>
      </c>
      <c r="Y336" t="str">
        <f>VLOOKUP(Q336,cross_pedigree!$A$2:$B$23,2,FALSE)</f>
        <v>Gerard 227/NF13-4126-4_3</v>
      </c>
    </row>
    <row r="337" spans="1:25" ht="18">
      <c r="A337" s="21" t="s">
        <v>15</v>
      </c>
      <c r="B337" s="21" t="s">
        <v>16</v>
      </c>
      <c r="C337" s="22">
        <v>753949</v>
      </c>
      <c r="D337" s="23">
        <v>4</v>
      </c>
      <c r="E337" s="24" t="str">
        <f t="shared" si="5"/>
        <v>CU_ARS_2025_WOF_F2_5_plant_18</v>
      </c>
      <c r="F337" s="21" t="s">
        <v>164</v>
      </c>
      <c r="G337" s="44" t="s">
        <v>165</v>
      </c>
      <c r="H337" s="42"/>
      <c r="I337" s="42" t="s">
        <v>1035</v>
      </c>
      <c r="J337" s="42" t="s">
        <v>1003</v>
      </c>
      <c r="K337" s="42"/>
      <c r="L337" s="42"/>
      <c r="M337" s="42"/>
      <c r="N337" t="str">
        <f>VLOOKUP(C337,CU_ARS_2025_WOF_F2!$A$2:$K$673,2,FALSE)</f>
        <v>CU_ARS_2025_WOF_F2_5_plant_18</v>
      </c>
      <c r="O337" t="str">
        <f>VLOOKUP(C337,CU_ARS_2025_WOF_F2!$A$2:$K$673,2,FALSE)</f>
        <v>CU_ARS_2025_WOF_F2_5_plant_18</v>
      </c>
      <c r="P337" t="str">
        <f>VLOOKUP(C337,CU_ARS_2025_WOF_F2!$A$2:$K$673,3,FALSE)</f>
        <v>CU_ARS_2025_WOF_F2_5</v>
      </c>
      <c r="Q337" t="str">
        <f>VLOOKUP(C337,CU_ARS_2025_WOF_F2!$A$2:$K$673,4,FALSE)</f>
        <v>CU_ARS_2025_WOF_cross_54</v>
      </c>
      <c r="R337">
        <f>VLOOKUP(C337,CU_ARS_2025_WOF_F2!$A$2:$K$673,5,FALSE)</f>
        <v>5</v>
      </c>
      <c r="S337">
        <f>VLOOKUP(C337,CU_ARS_2025_WOF_F2!$A$2:$K$673,6,FALSE)</f>
        <v>1</v>
      </c>
      <c r="T337">
        <f>VLOOKUP(C337,CU_ARS_2025_WOF_F2!$A$2:$K$673,7,FALSE)</f>
        <v>0</v>
      </c>
      <c r="U337">
        <f>VLOOKUP(C337,CU_ARS_2025_WOF_F2!$A$2:$K$673,8,FALSE)</f>
        <v>1</v>
      </c>
      <c r="V337">
        <f>VLOOKUP(C337,CU_ARS_2025_WOF_F2!$A$2:$K$673,9,FALSE)</f>
        <v>0</v>
      </c>
      <c r="W337">
        <f>VLOOKUP(C337,CU_ARS_2025_WOF_F2!$A$2:$K$673,10,FALSE)</f>
        <v>0</v>
      </c>
      <c r="X337">
        <f>VLOOKUP(C337,CU_ARS_2025_WOF_F2!$A$2:$K$673,11,FALSE)</f>
        <v>18</v>
      </c>
      <c r="Y337" t="str">
        <f>VLOOKUP(Q337,cross_pedigree!$A$2:$B$23,2,FALSE)</f>
        <v>Gerard 227/NF13-4126-4_3</v>
      </c>
    </row>
    <row r="338" spans="1:25" ht="18">
      <c r="A338" s="21" t="s">
        <v>15</v>
      </c>
      <c r="B338" s="21" t="s">
        <v>16</v>
      </c>
      <c r="C338" s="22">
        <v>753950</v>
      </c>
      <c r="D338" s="23">
        <v>4</v>
      </c>
      <c r="E338" s="24" t="str">
        <f t="shared" si="5"/>
        <v>CU_ARS_2025_WOF_F2_5_plant_19</v>
      </c>
      <c r="F338" s="21" t="s">
        <v>166</v>
      </c>
      <c r="G338" s="44" t="s">
        <v>167</v>
      </c>
      <c r="H338" s="42"/>
      <c r="I338" s="42" t="s">
        <v>1035</v>
      </c>
      <c r="J338" s="42" t="s">
        <v>1003</v>
      </c>
      <c r="K338" s="42"/>
      <c r="L338" s="42"/>
      <c r="M338" s="42"/>
      <c r="N338" t="str">
        <f>VLOOKUP(C338,CU_ARS_2025_WOF_F2!$A$2:$K$673,2,FALSE)</f>
        <v>CU_ARS_2025_WOF_F2_5_plant_19</v>
      </c>
      <c r="O338" t="str">
        <f>VLOOKUP(C338,CU_ARS_2025_WOF_F2!$A$2:$K$673,2,FALSE)</f>
        <v>CU_ARS_2025_WOF_F2_5_plant_19</v>
      </c>
      <c r="P338" t="str">
        <f>VLOOKUP(C338,CU_ARS_2025_WOF_F2!$A$2:$K$673,3,FALSE)</f>
        <v>CU_ARS_2025_WOF_F2_5</v>
      </c>
      <c r="Q338" t="str">
        <f>VLOOKUP(C338,CU_ARS_2025_WOF_F2!$A$2:$K$673,4,FALSE)</f>
        <v>CU_ARS_2025_WOF_cross_54</v>
      </c>
      <c r="R338">
        <f>VLOOKUP(C338,CU_ARS_2025_WOF_F2!$A$2:$K$673,5,FALSE)</f>
        <v>5</v>
      </c>
      <c r="S338">
        <f>VLOOKUP(C338,CU_ARS_2025_WOF_F2!$A$2:$K$673,6,FALSE)</f>
        <v>1</v>
      </c>
      <c r="T338">
        <f>VLOOKUP(C338,CU_ARS_2025_WOF_F2!$A$2:$K$673,7,FALSE)</f>
        <v>0</v>
      </c>
      <c r="U338">
        <f>VLOOKUP(C338,CU_ARS_2025_WOF_F2!$A$2:$K$673,8,FALSE)</f>
        <v>1</v>
      </c>
      <c r="V338">
        <f>VLOOKUP(C338,CU_ARS_2025_WOF_F2!$A$2:$K$673,9,FALSE)</f>
        <v>0</v>
      </c>
      <c r="W338">
        <f>VLOOKUP(C338,CU_ARS_2025_WOF_F2!$A$2:$K$673,10,FALSE)</f>
        <v>0</v>
      </c>
      <c r="X338">
        <f>VLOOKUP(C338,CU_ARS_2025_WOF_F2!$A$2:$K$673,11,FALSE)</f>
        <v>19</v>
      </c>
      <c r="Y338" t="str">
        <f>VLOOKUP(Q338,cross_pedigree!$A$2:$B$23,2,FALSE)</f>
        <v>Gerard 227/NF13-4126-4_3</v>
      </c>
    </row>
    <row r="339" spans="1:25" ht="18">
      <c r="A339" s="21" t="s">
        <v>15</v>
      </c>
      <c r="B339" s="21" t="s">
        <v>16</v>
      </c>
      <c r="C339" s="22">
        <v>753956</v>
      </c>
      <c r="D339" s="23">
        <v>4</v>
      </c>
      <c r="E339" s="24" t="str">
        <f t="shared" si="5"/>
        <v>CU_ARS_2025_WOF_F2_5_plant_25</v>
      </c>
      <c r="F339" s="21" t="s">
        <v>168</v>
      </c>
      <c r="G339" s="44" t="s">
        <v>169</v>
      </c>
      <c r="H339" s="42"/>
      <c r="I339" s="42" t="s">
        <v>1035</v>
      </c>
      <c r="J339" s="42" t="s">
        <v>1003</v>
      </c>
      <c r="K339" s="42"/>
      <c r="L339" s="42"/>
      <c r="M339" s="42"/>
      <c r="N339" t="str">
        <f>VLOOKUP(C339,CU_ARS_2025_WOF_F2!$A$2:$K$673,2,FALSE)</f>
        <v>CU_ARS_2025_WOF_F2_5_plant_25</v>
      </c>
      <c r="O339" t="str">
        <f>VLOOKUP(C339,CU_ARS_2025_WOF_F2!$A$2:$K$673,2,FALSE)</f>
        <v>CU_ARS_2025_WOF_F2_5_plant_25</v>
      </c>
      <c r="P339" t="str">
        <f>VLOOKUP(C339,CU_ARS_2025_WOF_F2!$A$2:$K$673,3,FALSE)</f>
        <v>CU_ARS_2025_WOF_F2_5</v>
      </c>
      <c r="Q339" t="str">
        <f>VLOOKUP(C339,CU_ARS_2025_WOF_F2!$A$2:$K$673,4,FALSE)</f>
        <v>CU_ARS_2025_WOF_cross_54</v>
      </c>
      <c r="R339">
        <f>VLOOKUP(C339,CU_ARS_2025_WOF_F2!$A$2:$K$673,5,FALSE)</f>
        <v>5</v>
      </c>
      <c r="S339">
        <f>VLOOKUP(C339,CU_ARS_2025_WOF_F2!$A$2:$K$673,6,FALSE)</f>
        <v>1</v>
      </c>
      <c r="T339">
        <f>VLOOKUP(C339,CU_ARS_2025_WOF_F2!$A$2:$K$673,7,FALSE)</f>
        <v>0</v>
      </c>
      <c r="U339">
        <f>VLOOKUP(C339,CU_ARS_2025_WOF_F2!$A$2:$K$673,8,FALSE)</f>
        <v>1</v>
      </c>
      <c r="V339">
        <f>VLOOKUP(C339,CU_ARS_2025_WOF_F2!$A$2:$K$673,9,FALSE)</f>
        <v>0</v>
      </c>
      <c r="W339">
        <f>VLOOKUP(C339,CU_ARS_2025_WOF_F2!$A$2:$K$673,10,FALSE)</f>
        <v>0</v>
      </c>
      <c r="X339">
        <f>VLOOKUP(C339,CU_ARS_2025_WOF_F2!$A$2:$K$673,11,FALSE)</f>
        <v>25</v>
      </c>
      <c r="Y339" t="str">
        <f>VLOOKUP(Q339,cross_pedigree!$A$2:$B$23,2,FALSE)</f>
        <v>Gerard 227/NF13-4126-4_3</v>
      </c>
    </row>
    <row r="340" spans="1:25" ht="18">
      <c r="A340" s="21" t="s">
        <v>15</v>
      </c>
      <c r="B340" s="21" t="s">
        <v>16</v>
      </c>
      <c r="C340" s="22">
        <v>753957</v>
      </c>
      <c r="D340" s="23">
        <v>4</v>
      </c>
      <c r="E340" s="24" t="str">
        <f t="shared" si="5"/>
        <v>CU_ARS_2025_WOF_F2_5_plant_26</v>
      </c>
      <c r="F340" s="21" t="s">
        <v>43</v>
      </c>
      <c r="G340" s="44" t="s">
        <v>44</v>
      </c>
      <c r="H340" s="42"/>
      <c r="I340" s="42" t="s">
        <v>1035</v>
      </c>
      <c r="J340" s="42" t="s">
        <v>1003</v>
      </c>
      <c r="K340" s="42"/>
      <c r="L340" s="42"/>
      <c r="M340" s="42"/>
      <c r="N340" t="str">
        <f>VLOOKUP(C340,CU_ARS_2025_WOF_F2!$A$2:$K$673,2,FALSE)</f>
        <v>CU_ARS_2025_WOF_F2_5_plant_26</v>
      </c>
      <c r="O340" t="str">
        <f>VLOOKUP(C340,CU_ARS_2025_WOF_F2!$A$2:$K$673,2,FALSE)</f>
        <v>CU_ARS_2025_WOF_F2_5_plant_26</v>
      </c>
      <c r="P340" t="str">
        <f>VLOOKUP(C340,CU_ARS_2025_WOF_F2!$A$2:$K$673,3,FALSE)</f>
        <v>CU_ARS_2025_WOF_F2_5</v>
      </c>
      <c r="Q340" t="str">
        <f>VLOOKUP(C340,CU_ARS_2025_WOF_F2!$A$2:$K$673,4,FALSE)</f>
        <v>CU_ARS_2025_WOF_cross_54</v>
      </c>
      <c r="R340">
        <f>VLOOKUP(C340,CU_ARS_2025_WOF_F2!$A$2:$K$673,5,FALSE)</f>
        <v>5</v>
      </c>
      <c r="S340">
        <f>VLOOKUP(C340,CU_ARS_2025_WOF_F2!$A$2:$K$673,6,FALSE)</f>
        <v>1</v>
      </c>
      <c r="T340">
        <f>VLOOKUP(C340,CU_ARS_2025_WOF_F2!$A$2:$K$673,7,FALSE)</f>
        <v>0</v>
      </c>
      <c r="U340">
        <f>VLOOKUP(C340,CU_ARS_2025_WOF_F2!$A$2:$K$673,8,FALSE)</f>
        <v>1</v>
      </c>
      <c r="V340">
        <f>VLOOKUP(C340,CU_ARS_2025_WOF_F2!$A$2:$K$673,9,FALSE)</f>
        <v>0</v>
      </c>
      <c r="W340">
        <f>VLOOKUP(C340,CU_ARS_2025_WOF_F2!$A$2:$K$673,10,FALSE)</f>
        <v>0</v>
      </c>
      <c r="X340">
        <f>VLOOKUP(C340,CU_ARS_2025_WOF_F2!$A$2:$K$673,11,FALSE)</f>
        <v>26</v>
      </c>
      <c r="Y340" t="str">
        <f>VLOOKUP(Q340,cross_pedigree!$A$2:$B$23,2,FALSE)</f>
        <v>Gerard 227/NF13-4126-4_3</v>
      </c>
    </row>
    <row r="341" spans="1:25" ht="18">
      <c r="A341" s="21" t="s">
        <v>15</v>
      </c>
      <c r="B341" s="21" t="s">
        <v>16</v>
      </c>
      <c r="C341" s="22">
        <v>753958</v>
      </c>
      <c r="D341" s="23">
        <v>4</v>
      </c>
      <c r="E341" s="24" t="str">
        <f t="shared" si="5"/>
        <v>CU_ARS_2025_WOF_F2_5_plant_27</v>
      </c>
      <c r="F341" s="21" t="s">
        <v>45</v>
      </c>
      <c r="G341" s="44" t="s">
        <v>46</v>
      </c>
      <c r="H341" s="42"/>
      <c r="I341" s="42" t="s">
        <v>1035</v>
      </c>
      <c r="J341" s="42" t="s">
        <v>1003</v>
      </c>
      <c r="K341" s="42"/>
      <c r="L341" s="42"/>
      <c r="M341" s="42"/>
      <c r="N341" t="str">
        <f>VLOOKUP(C341,CU_ARS_2025_WOF_F2!$A$2:$K$673,2,FALSE)</f>
        <v>CU_ARS_2025_WOF_F2_5_plant_27</v>
      </c>
      <c r="O341" t="str">
        <f>VLOOKUP(C341,CU_ARS_2025_WOF_F2!$A$2:$K$673,2,FALSE)</f>
        <v>CU_ARS_2025_WOF_F2_5_plant_27</v>
      </c>
      <c r="P341" t="str">
        <f>VLOOKUP(C341,CU_ARS_2025_WOF_F2!$A$2:$K$673,3,FALSE)</f>
        <v>CU_ARS_2025_WOF_F2_5</v>
      </c>
      <c r="Q341" t="str">
        <f>VLOOKUP(C341,CU_ARS_2025_WOF_F2!$A$2:$K$673,4,FALSE)</f>
        <v>CU_ARS_2025_WOF_cross_54</v>
      </c>
      <c r="R341">
        <f>VLOOKUP(C341,CU_ARS_2025_WOF_F2!$A$2:$K$673,5,FALSE)</f>
        <v>5</v>
      </c>
      <c r="S341">
        <f>VLOOKUP(C341,CU_ARS_2025_WOF_F2!$A$2:$K$673,6,FALSE)</f>
        <v>1</v>
      </c>
      <c r="T341">
        <f>VLOOKUP(C341,CU_ARS_2025_WOF_F2!$A$2:$K$673,7,FALSE)</f>
        <v>0</v>
      </c>
      <c r="U341">
        <f>VLOOKUP(C341,CU_ARS_2025_WOF_F2!$A$2:$K$673,8,FALSE)</f>
        <v>1</v>
      </c>
      <c r="V341">
        <f>VLOOKUP(C341,CU_ARS_2025_WOF_F2!$A$2:$K$673,9,FALSE)</f>
        <v>0</v>
      </c>
      <c r="W341">
        <f>VLOOKUP(C341,CU_ARS_2025_WOF_F2!$A$2:$K$673,10,FALSE)</f>
        <v>0</v>
      </c>
      <c r="X341">
        <f>VLOOKUP(C341,CU_ARS_2025_WOF_F2!$A$2:$K$673,11,FALSE)</f>
        <v>27</v>
      </c>
      <c r="Y341" t="str">
        <f>VLOOKUP(Q341,cross_pedigree!$A$2:$B$23,2,FALSE)</f>
        <v>Gerard 227/NF13-4126-4_3</v>
      </c>
    </row>
    <row r="342" spans="1:25" ht="18">
      <c r="A342" s="21" t="s">
        <v>15</v>
      </c>
      <c r="B342" s="21" t="s">
        <v>16</v>
      </c>
      <c r="C342" s="22">
        <v>753951</v>
      </c>
      <c r="D342" s="23">
        <v>4</v>
      </c>
      <c r="E342" s="24" t="str">
        <f t="shared" si="5"/>
        <v>CU_ARS_2025_WOF_F2_5_plant_20</v>
      </c>
      <c r="F342" s="21" t="s">
        <v>170</v>
      </c>
      <c r="G342" s="44" t="s">
        <v>171</v>
      </c>
      <c r="H342" s="42"/>
      <c r="I342" s="42" t="s">
        <v>1035</v>
      </c>
      <c r="J342" s="42" t="s">
        <v>1003</v>
      </c>
      <c r="K342" s="42"/>
      <c r="L342" s="42"/>
      <c r="M342" s="42"/>
      <c r="N342" t="str">
        <f>VLOOKUP(C342,CU_ARS_2025_WOF_F2!$A$2:$K$673,2,FALSE)</f>
        <v>CU_ARS_2025_WOF_F2_5_plant_20</v>
      </c>
      <c r="O342" t="str">
        <f>VLOOKUP(C342,CU_ARS_2025_WOF_F2!$A$2:$K$673,2,FALSE)</f>
        <v>CU_ARS_2025_WOF_F2_5_plant_20</v>
      </c>
      <c r="P342" t="str">
        <f>VLOOKUP(C342,CU_ARS_2025_WOF_F2!$A$2:$K$673,3,FALSE)</f>
        <v>CU_ARS_2025_WOF_F2_5</v>
      </c>
      <c r="Q342" t="str">
        <f>VLOOKUP(C342,CU_ARS_2025_WOF_F2!$A$2:$K$673,4,FALSE)</f>
        <v>CU_ARS_2025_WOF_cross_54</v>
      </c>
      <c r="R342">
        <f>VLOOKUP(C342,CU_ARS_2025_WOF_F2!$A$2:$K$673,5,FALSE)</f>
        <v>5</v>
      </c>
      <c r="S342">
        <f>VLOOKUP(C342,CU_ARS_2025_WOF_F2!$A$2:$K$673,6,FALSE)</f>
        <v>1</v>
      </c>
      <c r="T342">
        <f>VLOOKUP(C342,CU_ARS_2025_WOF_F2!$A$2:$K$673,7,FALSE)</f>
        <v>0</v>
      </c>
      <c r="U342">
        <f>VLOOKUP(C342,CU_ARS_2025_WOF_F2!$A$2:$K$673,8,FALSE)</f>
        <v>1</v>
      </c>
      <c r="V342">
        <f>VLOOKUP(C342,CU_ARS_2025_WOF_F2!$A$2:$K$673,9,FALSE)</f>
        <v>0</v>
      </c>
      <c r="W342">
        <f>VLOOKUP(C342,CU_ARS_2025_WOF_F2!$A$2:$K$673,10,FALSE)</f>
        <v>0</v>
      </c>
      <c r="X342">
        <f>VLOOKUP(C342,CU_ARS_2025_WOF_F2!$A$2:$K$673,11,FALSE)</f>
        <v>20</v>
      </c>
      <c r="Y342" t="str">
        <f>VLOOKUP(Q342,cross_pedigree!$A$2:$B$23,2,FALSE)</f>
        <v>Gerard 227/NF13-4126-4_3</v>
      </c>
    </row>
    <row r="343" spans="1:25" ht="18">
      <c r="A343" s="21" t="s">
        <v>15</v>
      </c>
      <c r="B343" s="21" t="s">
        <v>16</v>
      </c>
      <c r="C343" s="22">
        <v>753959</v>
      </c>
      <c r="D343" s="23">
        <v>4</v>
      </c>
      <c r="E343" s="24" t="str">
        <f t="shared" si="5"/>
        <v>CU_ARS_2025_WOF_F2_5_plant_28</v>
      </c>
      <c r="F343" s="21" t="s">
        <v>29</v>
      </c>
      <c r="G343" s="44" t="s">
        <v>30</v>
      </c>
      <c r="H343" s="42"/>
      <c r="I343" s="42" t="s">
        <v>1035</v>
      </c>
      <c r="J343" s="42" t="s">
        <v>1003</v>
      </c>
      <c r="K343" s="42"/>
      <c r="L343" s="42"/>
      <c r="M343" s="42"/>
      <c r="N343" t="str">
        <f>VLOOKUP(C343,CU_ARS_2025_WOF_F2!$A$2:$K$673,2,FALSE)</f>
        <v>CU_ARS_2025_WOF_F2_5_plant_28</v>
      </c>
      <c r="O343" t="str">
        <f>VLOOKUP(C343,CU_ARS_2025_WOF_F2!$A$2:$K$673,2,FALSE)</f>
        <v>CU_ARS_2025_WOF_F2_5_plant_28</v>
      </c>
      <c r="P343" t="str">
        <f>VLOOKUP(C343,CU_ARS_2025_WOF_F2!$A$2:$K$673,3,FALSE)</f>
        <v>CU_ARS_2025_WOF_F2_5</v>
      </c>
      <c r="Q343" t="str">
        <f>VLOOKUP(C343,CU_ARS_2025_WOF_F2!$A$2:$K$673,4,FALSE)</f>
        <v>CU_ARS_2025_WOF_cross_54</v>
      </c>
      <c r="R343">
        <f>VLOOKUP(C343,CU_ARS_2025_WOF_F2!$A$2:$K$673,5,FALSE)</f>
        <v>5</v>
      </c>
      <c r="S343">
        <f>VLOOKUP(C343,CU_ARS_2025_WOF_F2!$A$2:$K$673,6,FALSE)</f>
        <v>1</v>
      </c>
      <c r="T343">
        <f>VLOOKUP(C343,CU_ARS_2025_WOF_F2!$A$2:$K$673,7,FALSE)</f>
        <v>0</v>
      </c>
      <c r="U343">
        <f>VLOOKUP(C343,CU_ARS_2025_WOF_F2!$A$2:$K$673,8,FALSE)</f>
        <v>1</v>
      </c>
      <c r="V343">
        <f>VLOOKUP(C343,CU_ARS_2025_WOF_F2!$A$2:$K$673,9,FALSE)</f>
        <v>0</v>
      </c>
      <c r="W343">
        <f>VLOOKUP(C343,CU_ARS_2025_WOF_F2!$A$2:$K$673,10,FALSE)</f>
        <v>0</v>
      </c>
      <c r="X343">
        <f>VLOOKUP(C343,CU_ARS_2025_WOF_F2!$A$2:$K$673,11,FALSE)</f>
        <v>28</v>
      </c>
      <c r="Y343" t="str">
        <f>VLOOKUP(Q343,cross_pedigree!$A$2:$B$23,2,FALSE)</f>
        <v>Gerard 227/NF13-4126-4_3</v>
      </c>
    </row>
    <row r="344" spans="1:25" ht="18">
      <c r="A344" s="21" t="s">
        <v>15</v>
      </c>
      <c r="B344" s="21" t="s">
        <v>16</v>
      </c>
      <c r="C344" s="22">
        <v>753952</v>
      </c>
      <c r="D344" s="23">
        <v>4</v>
      </c>
      <c r="E344" s="24" t="str">
        <f t="shared" si="5"/>
        <v>CU_ARS_2025_WOF_F2_5_plant_21</v>
      </c>
      <c r="F344" s="21" t="s">
        <v>31</v>
      </c>
      <c r="G344" s="44" t="s">
        <v>32</v>
      </c>
      <c r="H344" s="42"/>
      <c r="I344" s="42" t="s">
        <v>1035</v>
      </c>
      <c r="J344" s="42" t="s">
        <v>1003</v>
      </c>
      <c r="K344" s="42"/>
      <c r="L344" s="42"/>
      <c r="M344" s="42"/>
      <c r="N344" t="str">
        <f>VLOOKUP(C344,CU_ARS_2025_WOF_F2!$A$2:$K$673,2,FALSE)</f>
        <v>CU_ARS_2025_WOF_F2_5_plant_21</v>
      </c>
      <c r="O344" t="str">
        <f>VLOOKUP(C344,CU_ARS_2025_WOF_F2!$A$2:$K$673,2,FALSE)</f>
        <v>CU_ARS_2025_WOF_F2_5_plant_21</v>
      </c>
      <c r="P344" t="str">
        <f>VLOOKUP(C344,CU_ARS_2025_WOF_F2!$A$2:$K$673,3,FALSE)</f>
        <v>CU_ARS_2025_WOF_F2_5</v>
      </c>
      <c r="Q344" t="str">
        <f>VLOOKUP(C344,CU_ARS_2025_WOF_F2!$A$2:$K$673,4,FALSE)</f>
        <v>CU_ARS_2025_WOF_cross_54</v>
      </c>
      <c r="R344">
        <f>VLOOKUP(C344,CU_ARS_2025_WOF_F2!$A$2:$K$673,5,FALSE)</f>
        <v>5</v>
      </c>
      <c r="S344">
        <f>VLOOKUP(C344,CU_ARS_2025_WOF_F2!$A$2:$K$673,6,FALSE)</f>
        <v>1</v>
      </c>
      <c r="T344">
        <f>VLOOKUP(C344,CU_ARS_2025_WOF_F2!$A$2:$K$673,7,FALSE)</f>
        <v>0</v>
      </c>
      <c r="U344">
        <f>VLOOKUP(C344,CU_ARS_2025_WOF_F2!$A$2:$K$673,8,FALSE)</f>
        <v>1</v>
      </c>
      <c r="V344">
        <f>VLOOKUP(C344,CU_ARS_2025_WOF_F2!$A$2:$K$673,9,FALSE)</f>
        <v>0</v>
      </c>
      <c r="W344">
        <f>VLOOKUP(C344,CU_ARS_2025_WOF_F2!$A$2:$K$673,10,FALSE)</f>
        <v>0</v>
      </c>
      <c r="X344">
        <f>VLOOKUP(C344,CU_ARS_2025_WOF_F2!$A$2:$K$673,11,FALSE)</f>
        <v>21</v>
      </c>
      <c r="Y344" t="str">
        <f>VLOOKUP(Q344,cross_pedigree!$A$2:$B$23,2,FALSE)</f>
        <v>Gerard 227/NF13-4126-4_3</v>
      </c>
    </row>
    <row r="345" spans="1:25" ht="18">
      <c r="A345" s="21" t="s">
        <v>15</v>
      </c>
      <c r="B345" s="21" t="s">
        <v>16</v>
      </c>
      <c r="C345" s="22">
        <v>753960</v>
      </c>
      <c r="D345" s="23">
        <v>4</v>
      </c>
      <c r="E345" s="24" t="str">
        <f t="shared" si="5"/>
        <v>CU_ARS_2025_WOF_F2_5_plant_29</v>
      </c>
      <c r="F345" s="21" t="s">
        <v>33</v>
      </c>
      <c r="G345" s="44" t="s">
        <v>34</v>
      </c>
      <c r="H345" s="42"/>
      <c r="I345" s="42" t="s">
        <v>1035</v>
      </c>
      <c r="J345" s="42" t="s">
        <v>1003</v>
      </c>
      <c r="K345" s="42"/>
      <c r="L345" s="42"/>
      <c r="M345" s="42"/>
      <c r="N345" t="str">
        <f>VLOOKUP(C345,CU_ARS_2025_WOF_F2!$A$2:$K$673,2,FALSE)</f>
        <v>CU_ARS_2025_WOF_F2_5_plant_29</v>
      </c>
      <c r="O345" t="str">
        <f>VLOOKUP(C345,CU_ARS_2025_WOF_F2!$A$2:$K$673,2,FALSE)</f>
        <v>CU_ARS_2025_WOF_F2_5_plant_29</v>
      </c>
      <c r="P345" t="str">
        <f>VLOOKUP(C345,CU_ARS_2025_WOF_F2!$A$2:$K$673,3,FALSE)</f>
        <v>CU_ARS_2025_WOF_F2_5</v>
      </c>
      <c r="Q345" t="str">
        <f>VLOOKUP(C345,CU_ARS_2025_WOF_F2!$A$2:$K$673,4,FALSE)</f>
        <v>CU_ARS_2025_WOF_cross_54</v>
      </c>
      <c r="R345">
        <f>VLOOKUP(C345,CU_ARS_2025_WOF_F2!$A$2:$K$673,5,FALSE)</f>
        <v>5</v>
      </c>
      <c r="S345">
        <f>VLOOKUP(C345,CU_ARS_2025_WOF_F2!$A$2:$K$673,6,FALSE)</f>
        <v>1</v>
      </c>
      <c r="T345">
        <f>VLOOKUP(C345,CU_ARS_2025_WOF_F2!$A$2:$K$673,7,FALSE)</f>
        <v>0</v>
      </c>
      <c r="U345">
        <f>VLOOKUP(C345,CU_ARS_2025_WOF_F2!$A$2:$K$673,8,FALSE)</f>
        <v>1</v>
      </c>
      <c r="V345">
        <f>VLOOKUP(C345,CU_ARS_2025_WOF_F2!$A$2:$K$673,9,FALSE)</f>
        <v>0</v>
      </c>
      <c r="W345">
        <f>VLOOKUP(C345,CU_ARS_2025_WOF_F2!$A$2:$K$673,10,FALSE)</f>
        <v>0</v>
      </c>
      <c r="X345">
        <f>VLOOKUP(C345,CU_ARS_2025_WOF_F2!$A$2:$K$673,11,FALSE)</f>
        <v>29</v>
      </c>
      <c r="Y345" t="str">
        <f>VLOOKUP(Q345,cross_pedigree!$A$2:$B$23,2,FALSE)</f>
        <v>Gerard 227/NF13-4126-4_3</v>
      </c>
    </row>
    <row r="346" spans="1:25" ht="18">
      <c r="A346" s="21" t="s">
        <v>15</v>
      </c>
      <c r="B346" s="21" t="s">
        <v>16</v>
      </c>
      <c r="C346" s="22">
        <v>753962</v>
      </c>
      <c r="D346" s="23">
        <v>4</v>
      </c>
      <c r="E346" s="24" t="str">
        <f t="shared" si="5"/>
        <v>CU_ARS_2025_WOF_F2_5_plant_31</v>
      </c>
      <c r="F346" s="21" t="s">
        <v>35</v>
      </c>
      <c r="G346" s="44" t="s">
        <v>36</v>
      </c>
      <c r="H346" s="42"/>
      <c r="I346" s="42" t="s">
        <v>1035</v>
      </c>
      <c r="J346" s="42" t="s">
        <v>1003</v>
      </c>
      <c r="K346" s="42"/>
      <c r="L346" s="42"/>
      <c r="M346" s="42"/>
      <c r="N346" t="str">
        <f>VLOOKUP(C346,CU_ARS_2025_WOF_F2!$A$2:$K$673,2,FALSE)</f>
        <v>CU_ARS_2025_WOF_F2_5_plant_31</v>
      </c>
      <c r="O346" t="str">
        <f>VLOOKUP(C346,CU_ARS_2025_WOF_F2!$A$2:$K$673,2,FALSE)</f>
        <v>CU_ARS_2025_WOF_F2_5_plant_31</v>
      </c>
      <c r="P346" t="str">
        <f>VLOOKUP(C346,CU_ARS_2025_WOF_F2!$A$2:$K$673,3,FALSE)</f>
        <v>CU_ARS_2025_WOF_F2_5</v>
      </c>
      <c r="Q346" t="str">
        <f>VLOOKUP(C346,CU_ARS_2025_WOF_F2!$A$2:$K$673,4,FALSE)</f>
        <v>CU_ARS_2025_WOF_cross_54</v>
      </c>
      <c r="R346">
        <f>VLOOKUP(C346,CU_ARS_2025_WOF_F2!$A$2:$K$673,5,FALSE)</f>
        <v>5</v>
      </c>
      <c r="S346">
        <f>VLOOKUP(C346,CU_ARS_2025_WOF_F2!$A$2:$K$673,6,FALSE)</f>
        <v>1</v>
      </c>
      <c r="T346">
        <f>VLOOKUP(C346,CU_ARS_2025_WOF_F2!$A$2:$K$673,7,FALSE)</f>
        <v>0</v>
      </c>
      <c r="U346">
        <f>VLOOKUP(C346,CU_ARS_2025_WOF_F2!$A$2:$K$673,8,FALSE)</f>
        <v>1</v>
      </c>
      <c r="V346">
        <f>VLOOKUP(C346,CU_ARS_2025_WOF_F2!$A$2:$K$673,9,FALSE)</f>
        <v>0</v>
      </c>
      <c r="W346">
        <f>VLOOKUP(C346,CU_ARS_2025_WOF_F2!$A$2:$K$673,10,FALSE)</f>
        <v>0</v>
      </c>
      <c r="X346">
        <f>VLOOKUP(C346,CU_ARS_2025_WOF_F2!$A$2:$K$673,11,FALSE)</f>
        <v>31</v>
      </c>
      <c r="Y346" t="str">
        <f>VLOOKUP(Q346,cross_pedigree!$A$2:$B$23,2,FALSE)</f>
        <v>Gerard 227/NF13-4126-4_3</v>
      </c>
    </row>
    <row r="347" spans="1:25" ht="18">
      <c r="A347" s="21" t="s">
        <v>15</v>
      </c>
      <c r="B347" s="21" t="s">
        <v>16</v>
      </c>
      <c r="C347" s="22">
        <v>753963</v>
      </c>
      <c r="D347" s="23">
        <v>4</v>
      </c>
      <c r="E347" s="24" t="str">
        <f t="shared" si="5"/>
        <v>CU_ARS_2025_WOF_F2_5_plant_32</v>
      </c>
      <c r="F347" s="21" t="s">
        <v>37</v>
      </c>
      <c r="G347" s="44" t="s">
        <v>38</v>
      </c>
      <c r="H347" s="42"/>
      <c r="I347" s="42" t="s">
        <v>1035</v>
      </c>
      <c r="J347" s="42" t="s">
        <v>1003</v>
      </c>
      <c r="K347" s="42"/>
      <c r="L347" s="42"/>
      <c r="M347" s="42"/>
      <c r="N347" t="str">
        <f>VLOOKUP(C347,CU_ARS_2025_WOF_F2!$A$2:$K$673,2,FALSE)</f>
        <v>CU_ARS_2025_WOF_F2_5_plant_32</v>
      </c>
      <c r="O347" t="str">
        <f>VLOOKUP(C347,CU_ARS_2025_WOF_F2!$A$2:$K$673,2,FALSE)</f>
        <v>CU_ARS_2025_WOF_F2_5_plant_32</v>
      </c>
      <c r="P347" t="str">
        <f>VLOOKUP(C347,CU_ARS_2025_WOF_F2!$A$2:$K$673,3,FALSE)</f>
        <v>CU_ARS_2025_WOF_F2_5</v>
      </c>
      <c r="Q347" t="str">
        <f>VLOOKUP(C347,CU_ARS_2025_WOF_F2!$A$2:$K$673,4,FALSE)</f>
        <v>CU_ARS_2025_WOF_cross_54</v>
      </c>
      <c r="R347">
        <f>VLOOKUP(C347,CU_ARS_2025_WOF_F2!$A$2:$K$673,5,FALSE)</f>
        <v>5</v>
      </c>
      <c r="S347">
        <f>VLOOKUP(C347,CU_ARS_2025_WOF_F2!$A$2:$K$673,6,FALSE)</f>
        <v>1</v>
      </c>
      <c r="T347">
        <f>VLOOKUP(C347,CU_ARS_2025_WOF_F2!$A$2:$K$673,7,FALSE)</f>
        <v>0</v>
      </c>
      <c r="U347">
        <f>VLOOKUP(C347,CU_ARS_2025_WOF_F2!$A$2:$K$673,8,FALSE)</f>
        <v>1</v>
      </c>
      <c r="V347">
        <f>VLOOKUP(C347,CU_ARS_2025_WOF_F2!$A$2:$K$673,9,FALSE)</f>
        <v>0</v>
      </c>
      <c r="W347">
        <f>VLOOKUP(C347,CU_ARS_2025_WOF_F2!$A$2:$K$673,10,FALSE)</f>
        <v>0</v>
      </c>
      <c r="X347">
        <f>VLOOKUP(C347,CU_ARS_2025_WOF_F2!$A$2:$K$673,11,FALSE)</f>
        <v>32</v>
      </c>
      <c r="Y347" t="str">
        <f>VLOOKUP(Q347,cross_pedigree!$A$2:$B$23,2,FALSE)</f>
        <v>Gerard 227/NF13-4126-4_3</v>
      </c>
    </row>
    <row r="348" spans="1:25" ht="18">
      <c r="A348" s="21" t="s">
        <v>15</v>
      </c>
      <c r="B348" s="21" t="s">
        <v>16</v>
      </c>
      <c r="C348" s="22">
        <v>753964</v>
      </c>
      <c r="D348" s="23">
        <v>4</v>
      </c>
      <c r="E348" s="24" t="str">
        <f t="shared" si="5"/>
        <v>CU_ARS_2025_WOF_F2_5_plant_33</v>
      </c>
      <c r="F348" s="21" t="s">
        <v>172</v>
      </c>
      <c r="G348" s="44" t="s">
        <v>173</v>
      </c>
      <c r="H348" s="42"/>
      <c r="I348" s="42" t="s">
        <v>1035</v>
      </c>
      <c r="J348" s="42" t="s">
        <v>1003</v>
      </c>
      <c r="K348" s="42"/>
      <c r="L348" s="42"/>
      <c r="M348" s="42"/>
      <c r="N348" t="str">
        <f>VLOOKUP(C348,CU_ARS_2025_WOF_F2!$A$2:$K$673,2,FALSE)</f>
        <v>CU_ARS_2025_WOF_F2_5_plant_33</v>
      </c>
      <c r="O348" t="str">
        <f>VLOOKUP(C348,CU_ARS_2025_WOF_F2!$A$2:$K$673,2,FALSE)</f>
        <v>CU_ARS_2025_WOF_F2_5_plant_33</v>
      </c>
      <c r="P348" t="str">
        <f>VLOOKUP(C348,CU_ARS_2025_WOF_F2!$A$2:$K$673,3,FALSE)</f>
        <v>CU_ARS_2025_WOF_F2_5</v>
      </c>
      <c r="Q348" t="str">
        <f>VLOOKUP(C348,CU_ARS_2025_WOF_F2!$A$2:$K$673,4,FALSE)</f>
        <v>CU_ARS_2025_WOF_cross_54</v>
      </c>
      <c r="R348">
        <f>VLOOKUP(C348,CU_ARS_2025_WOF_F2!$A$2:$K$673,5,FALSE)</f>
        <v>5</v>
      </c>
      <c r="S348">
        <f>VLOOKUP(C348,CU_ARS_2025_WOF_F2!$A$2:$K$673,6,FALSE)</f>
        <v>1</v>
      </c>
      <c r="T348">
        <f>VLOOKUP(C348,CU_ARS_2025_WOF_F2!$A$2:$K$673,7,FALSE)</f>
        <v>0</v>
      </c>
      <c r="U348">
        <f>VLOOKUP(C348,CU_ARS_2025_WOF_F2!$A$2:$K$673,8,FALSE)</f>
        <v>1</v>
      </c>
      <c r="V348">
        <f>VLOOKUP(C348,CU_ARS_2025_WOF_F2!$A$2:$K$673,9,FALSE)</f>
        <v>0</v>
      </c>
      <c r="W348">
        <f>VLOOKUP(C348,CU_ARS_2025_WOF_F2!$A$2:$K$673,10,FALSE)</f>
        <v>0</v>
      </c>
      <c r="X348">
        <f>VLOOKUP(C348,CU_ARS_2025_WOF_F2!$A$2:$K$673,11,FALSE)</f>
        <v>33</v>
      </c>
      <c r="Y348" t="str">
        <f>VLOOKUP(Q348,cross_pedigree!$A$2:$B$23,2,FALSE)</f>
        <v>Gerard 227/NF13-4126-4_3</v>
      </c>
    </row>
    <row r="349" spans="1:25" ht="18">
      <c r="A349" s="21" t="s">
        <v>15</v>
      </c>
      <c r="B349" s="21" t="s">
        <v>16</v>
      </c>
      <c r="C349" s="22">
        <v>753970</v>
      </c>
      <c r="D349" s="23">
        <v>4</v>
      </c>
      <c r="E349" s="24" t="str">
        <f t="shared" si="5"/>
        <v>CU_ARS_2025_WOF_F2_5_plant_39</v>
      </c>
      <c r="F349" s="21" t="s">
        <v>174</v>
      </c>
      <c r="G349" s="44" t="s">
        <v>175</v>
      </c>
      <c r="H349" s="42"/>
      <c r="I349" s="42" t="s">
        <v>1035</v>
      </c>
      <c r="J349" s="42" t="s">
        <v>1003</v>
      </c>
      <c r="K349" s="42"/>
      <c r="L349" s="42"/>
      <c r="M349" s="42"/>
      <c r="N349" t="str">
        <f>VLOOKUP(C349,CU_ARS_2025_WOF_F2!$A$2:$K$673,2,FALSE)</f>
        <v>CU_ARS_2025_WOF_F2_5_plant_39</v>
      </c>
      <c r="O349" t="str">
        <f>VLOOKUP(C349,CU_ARS_2025_WOF_F2!$A$2:$K$673,2,FALSE)</f>
        <v>CU_ARS_2025_WOF_F2_5_plant_39</v>
      </c>
      <c r="P349" t="str">
        <f>VLOOKUP(C349,CU_ARS_2025_WOF_F2!$A$2:$K$673,3,FALSE)</f>
        <v>CU_ARS_2025_WOF_F2_5</v>
      </c>
      <c r="Q349" t="str">
        <f>VLOOKUP(C349,CU_ARS_2025_WOF_F2!$A$2:$K$673,4,FALSE)</f>
        <v>CU_ARS_2025_WOF_cross_54</v>
      </c>
      <c r="R349">
        <f>VLOOKUP(C349,CU_ARS_2025_WOF_F2!$A$2:$K$673,5,FALSE)</f>
        <v>5</v>
      </c>
      <c r="S349">
        <f>VLOOKUP(C349,CU_ARS_2025_WOF_F2!$A$2:$K$673,6,FALSE)</f>
        <v>1</v>
      </c>
      <c r="T349">
        <f>VLOOKUP(C349,CU_ARS_2025_WOF_F2!$A$2:$K$673,7,FALSE)</f>
        <v>0</v>
      </c>
      <c r="U349">
        <f>VLOOKUP(C349,CU_ARS_2025_WOF_F2!$A$2:$K$673,8,FALSE)</f>
        <v>1</v>
      </c>
      <c r="V349">
        <f>VLOOKUP(C349,CU_ARS_2025_WOF_F2!$A$2:$K$673,9,FALSE)</f>
        <v>0</v>
      </c>
      <c r="W349">
        <f>VLOOKUP(C349,CU_ARS_2025_WOF_F2!$A$2:$K$673,10,FALSE)</f>
        <v>0</v>
      </c>
      <c r="X349">
        <f>VLOOKUP(C349,CU_ARS_2025_WOF_F2!$A$2:$K$673,11,FALSE)</f>
        <v>39</v>
      </c>
      <c r="Y349" t="str">
        <f>VLOOKUP(Q349,cross_pedigree!$A$2:$B$23,2,FALSE)</f>
        <v>Gerard 227/NF13-4126-4_3</v>
      </c>
    </row>
    <row r="350" spans="1:25" ht="18">
      <c r="A350" s="21" t="s">
        <v>15</v>
      </c>
      <c r="B350" s="21" t="s">
        <v>16</v>
      </c>
      <c r="C350" s="22">
        <v>753971</v>
      </c>
      <c r="D350" s="23">
        <v>4</v>
      </c>
      <c r="E350" s="24" t="str">
        <f t="shared" si="5"/>
        <v>CU_ARS_2025_WOF_F2_5_plant_40</v>
      </c>
      <c r="F350" s="21" t="s">
        <v>176</v>
      </c>
      <c r="G350" s="44" t="s">
        <v>177</v>
      </c>
      <c r="H350" s="42"/>
      <c r="I350" s="42" t="s">
        <v>1035</v>
      </c>
      <c r="J350" s="42" t="s">
        <v>1003</v>
      </c>
      <c r="K350" s="42"/>
      <c r="L350" s="42"/>
      <c r="M350" s="42"/>
      <c r="N350" t="str">
        <f>VLOOKUP(C350,CU_ARS_2025_WOF_F2!$A$2:$K$673,2,FALSE)</f>
        <v>CU_ARS_2025_WOF_F2_5_plant_40</v>
      </c>
      <c r="O350" t="str">
        <f>VLOOKUP(C350,CU_ARS_2025_WOF_F2!$A$2:$K$673,2,FALSE)</f>
        <v>CU_ARS_2025_WOF_F2_5_plant_40</v>
      </c>
      <c r="P350" t="str">
        <f>VLOOKUP(C350,CU_ARS_2025_WOF_F2!$A$2:$K$673,3,FALSE)</f>
        <v>CU_ARS_2025_WOF_F2_5</v>
      </c>
      <c r="Q350" t="str">
        <f>VLOOKUP(C350,CU_ARS_2025_WOF_F2!$A$2:$K$673,4,FALSE)</f>
        <v>CU_ARS_2025_WOF_cross_54</v>
      </c>
      <c r="R350">
        <f>VLOOKUP(C350,CU_ARS_2025_WOF_F2!$A$2:$K$673,5,FALSE)</f>
        <v>5</v>
      </c>
      <c r="S350">
        <f>VLOOKUP(C350,CU_ARS_2025_WOF_F2!$A$2:$K$673,6,FALSE)</f>
        <v>1</v>
      </c>
      <c r="T350">
        <f>VLOOKUP(C350,CU_ARS_2025_WOF_F2!$A$2:$K$673,7,FALSE)</f>
        <v>0</v>
      </c>
      <c r="U350">
        <f>VLOOKUP(C350,CU_ARS_2025_WOF_F2!$A$2:$K$673,8,FALSE)</f>
        <v>1</v>
      </c>
      <c r="V350">
        <f>VLOOKUP(C350,CU_ARS_2025_WOF_F2!$A$2:$K$673,9,FALSE)</f>
        <v>0</v>
      </c>
      <c r="W350">
        <f>VLOOKUP(C350,CU_ARS_2025_WOF_F2!$A$2:$K$673,10,FALSE)</f>
        <v>0</v>
      </c>
      <c r="X350">
        <f>VLOOKUP(C350,CU_ARS_2025_WOF_F2!$A$2:$K$673,11,FALSE)</f>
        <v>40</v>
      </c>
      <c r="Y350" t="str">
        <f>VLOOKUP(Q350,cross_pedigree!$A$2:$B$23,2,FALSE)</f>
        <v>Gerard 227/NF13-4126-4_3</v>
      </c>
    </row>
    <row r="351" spans="1:25" ht="18">
      <c r="A351" s="21" t="s">
        <v>15</v>
      </c>
      <c r="B351" s="21" t="s">
        <v>16</v>
      </c>
      <c r="C351" s="22">
        <v>753965</v>
      </c>
      <c r="D351" s="23">
        <v>4</v>
      </c>
      <c r="E351" s="24" t="str">
        <f t="shared" si="5"/>
        <v>CU_ARS_2025_WOF_F2_5_plant_34</v>
      </c>
      <c r="F351" s="21" t="s">
        <v>178</v>
      </c>
      <c r="G351" s="44" t="s">
        <v>179</v>
      </c>
      <c r="H351" s="42"/>
      <c r="I351" s="42" t="s">
        <v>1035</v>
      </c>
      <c r="J351" s="42" t="s">
        <v>1003</v>
      </c>
      <c r="K351" s="42"/>
      <c r="L351" s="42"/>
      <c r="M351" s="42"/>
      <c r="N351" t="str">
        <f>VLOOKUP(C351,CU_ARS_2025_WOF_F2!$A$2:$K$673,2,FALSE)</f>
        <v>CU_ARS_2025_WOF_F2_5_plant_34</v>
      </c>
      <c r="O351" t="str">
        <f>VLOOKUP(C351,CU_ARS_2025_WOF_F2!$A$2:$K$673,2,FALSE)</f>
        <v>CU_ARS_2025_WOF_F2_5_plant_34</v>
      </c>
      <c r="P351" t="str">
        <f>VLOOKUP(C351,CU_ARS_2025_WOF_F2!$A$2:$K$673,3,FALSE)</f>
        <v>CU_ARS_2025_WOF_F2_5</v>
      </c>
      <c r="Q351" t="str">
        <f>VLOOKUP(C351,CU_ARS_2025_WOF_F2!$A$2:$K$673,4,FALSE)</f>
        <v>CU_ARS_2025_WOF_cross_54</v>
      </c>
      <c r="R351">
        <f>VLOOKUP(C351,CU_ARS_2025_WOF_F2!$A$2:$K$673,5,FALSE)</f>
        <v>5</v>
      </c>
      <c r="S351">
        <f>VLOOKUP(C351,CU_ARS_2025_WOF_F2!$A$2:$K$673,6,FALSE)</f>
        <v>1</v>
      </c>
      <c r="T351">
        <f>VLOOKUP(C351,CU_ARS_2025_WOF_F2!$A$2:$K$673,7,FALSE)</f>
        <v>0</v>
      </c>
      <c r="U351">
        <f>VLOOKUP(C351,CU_ARS_2025_WOF_F2!$A$2:$K$673,8,FALSE)</f>
        <v>1</v>
      </c>
      <c r="V351">
        <f>VLOOKUP(C351,CU_ARS_2025_WOF_F2!$A$2:$K$673,9,FALSE)</f>
        <v>0</v>
      </c>
      <c r="W351">
        <f>VLOOKUP(C351,CU_ARS_2025_WOF_F2!$A$2:$K$673,10,FALSE)</f>
        <v>0</v>
      </c>
      <c r="X351">
        <f>VLOOKUP(C351,CU_ARS_2025_WOF_F2!$A$2:$K$673,11,FALSE)</f>
        <v>34</v>
      </c>
      <c r="Y351" t="str">
        <f>VLOOKUP(Q351,cross_pedigree!$A$2:$B$23,2,FALSE)</f>
        <v>Gerard 227/NF13-4126-4_3</v>
      </c>
    </row>
    <row r="352" spans="1:25" ht="18">
      <c r="A352" s="21" t="s">
        <v>15</v>
      </c>
      <c r="B352" s="21" t="s">
        <v>16</v>
      </c>
      <c r="C352" s="22">
        <v>753972</v>
      </c>
      <c r="D352" s="23">
        <v>4</v>
      </c>
      <c r="E352" s="24" t="str">
        <f t="shared" si="5"/>
        <v>CU_ARS_2025_WOF_F2_5_plant_41</v>
      </c>
      <c r="F352" s="21" t="s">
        <v>180</v>
      </c>
      <c r="G352" s="44" t="s">
        <v>181</v>
      </c>
      <c r="H352" s="42"/>
      <c r="I352" s="42" t="s">
        <v>1035</v>
      </c>
      <c r="J352" s="42" t="s">
        <v>1003</v>
      </c>
      <c r="K352" s="42"/>
      <c r="L352" s="42"/>
      <c r="M352" s="42"/>
      <c r="N352" t="str">
        <f>VLOOKUP(C352,CU_ARS_2025_WOF_F2!$A$2:$K$673,2,FALSE)</f>
        <v>CU_ARS_2025_WOF_F2_5_plant_41</v>
      </c>
      <c r="O352" t="str">
        <f>VLOOKUP(C352,CU_ARS_2025_WOF_F2!$A$2:$K$673,2,FALSE)</f>
        <v>CU_ARS_2025_WOF_F2_5_plant_41</v>
      </c>
      <c r="P352" t="str">
        <f>VLOOKUP(C352,CU_ARS_2025_WOF_F2!$A$2:$K$673,3,FALSE)</f>
        <v>CU_ARS_2025_WOF_F2_5</v>
      </c>
      <c r="Q352" t="str">
        <f>VLOOKUP(C352,CU_ARS_2025_WOF_F2!$A$2:$K$673,4,FALSE)</f>
        <v>CU_ARS_2025_WOF_cross_54</v>
      </c>
      <c r="R352">
        <f>VLOOKUP(C352,CU_ARS_2025_WOF_F2!$A$2:$K$673,5,FALSE)</f>
        <v>5</v>
      </c>
      <c r="S352">
        <f>VLOOKUP(C352,CU_ARS_2025_WOF_F2!$A$2:$K$673,6,FALSE)</f>
        <v>1</v>
      </c>
      <c r="T352">
        <f>VLOOKUP(C352,CU_ARS_2025_WOF_F2!$A$2:$K$673,7,FALSE)</f>
        <v>0</v>
      </c>
      <c r="U352">
        <f>VLOOKUP(C352,CU_ARS_2025_WOF_F2!$A$2:$K$673,8,FALSE)</f>
        <v>1</v>
      </c>
      <c r="V352">
        <f>VLOOKUP(C352,CU_ARS_2025_WOF_F2!$A$2:$K$673,9,FALSE)</f>
        <v>0</v>
      </c>
      <c r="W352">
        <f>VLOOKUP(C352,CU_ARS_2025_WOF_F2!$A$2:$K$673,10,FALSE)</f>
        <v>0</v>
      </c>
      <c r="X352">
        <f>VLOOKUP(C352,CU_ARS_2025_WOF_F2!$A$2:$K$673,11,FALSE)</f>
        <v>41</v>
      </c>
      <c r="Y352" t="str">
        <f>VLOOKUP(Q352,cross_pedigree!$A$2:$B$23,2,FALSE)</f>
        <v>Gerard 227/NF13-4126-4_3</v>
      </c>
    </row>
    <row r="353" spans="1:25" ht="18">
      <c r="A353" s="21" t="s">
        <v>15</v>
      </c>
      <c r="B353" s="21" t="s">
        <v>16</v>
      </c>
      <c r="C353" s="22">
        <v>753973</v>
      </c>
      <c r="D353" s="23">
        <v>4</v>
      </c>
      <c r="E353" s="24" t="str">
        <f t="shared" si="5"/>
        <v>CU_ARS_2025_WOF_F2_5_plant_42</v>
      </c>
      <c r="F353" s="21" t="s">
        <v>182</v>
      </c>
      <c r="G353" s="44" t="s">
        <v>183</v>
      </c>
      <c r="H353" s="42"/>
      <c r="I353" s="42" t="s">
        <v>1035</v>
      </c>
      <c r="J353" s="42" t="s">
        <v>1003</v>
      </c>
      <c r="K353" s="42"/>
      <c r="L353" s="42"/>
      <c r="M353" s="42"/>
      <c r="N353" t="str">
        <f>VLOOKUP(C353,CU_ARS_2025_WOF_F2!$A$2:$K$673,2,FALSE)</f>
        <v>CU_ARS_2025_WOF_F2_5_plant_42</v>
      </c>
      <c r="O353" t="str">
        <f>VLOOKUP(C353,CU_ARS_2025_WOF_F2!$A$2:$K$673,2,FALSE)</f>
        <v>CU_ARS_2025_WOF_F2_5_plant_42</v>
      </c>
      <c r="P353" t="str">
        <f>VLOOKUP(C353,CU_ARS_2025_WOF_F2!$A$2:$K$673,3,FALSE)</f>
        <v>CU_ARS_2025_WOF_F2_5</v>
      </c>
      <c r="Q353" t="str">
        <f>VLOOKUP(C353,CU_ARS_2025_WOF_F2!$A$2:$K$673,4,FALSE)</f>
        <v>CU_ARS_2025_WOF_cross_54</v>
      </c>
      <c r="R353">
        <f>VLOOKUP(C353,CU_ARS_2025_WOF_F2!$A$2:$K$673,5,FALSE)</f>
        <v>5</v>
      </c>
      <c r="S353">
        <f>VLOOKUP(C353,CU_ARS_2025_WOF_F2!$A$2:$K$673,6,FALSE)</f>
        <v>1</v>
      </c>
      <c r="T353">
        <f>VLOOKUP(C353,CU_ARS_2025_WOF_F2!$A$2:$K$673,7,FALSE)</f>
        <v>0</v>
      </c>
      <c r="U353">
        <f>VLOOKUP(C353,CU_ARS_2025_WOF_F2!$A$2:$K$673,8,FALSE)</f>
        <v>1</v>
      </c>
      <c r="V353">
        <f>VLOOKUP(C353,CU_ARS_2025_WOF_F2!$A$2:$K$673,9,FALSE)</f>
        <v>0</v>
      </c>
      <c r="W353">
        <f>VLOOKUP(C353,CU_ARS_2025_WOF_F2!$A$2:$K$673,10,FALSE)</f>
        <v>0</v>
      </c>
      <c r="X353">
        <f>VLOOKUP(C353,CU_ARS_2025_WOF_F2!$A$2:$K$673,11,FALSE)</f>
        <v>42</v>
      </c>
      <c r="Y353" t="str">
        <f>VLOOKUP(Q353,cross_pedigree!$A$2:$B$23,2,FALSE)</f>
        <v>Gerard 227/NF13-4126-4_3</v>
      </c>
    </row>
    <row r="354" spans="1:25" ht="18">
      <c r="A354" s="21" t="s">
        <v>15</v>
      </c>
      <c r="B354" s="21" t="s">
        <v>16</v>
      </c>
      <c r="C354" s="22">
        <v>753966</v>
      </c>
      <c r="D354" s="23">
        <v>4</v>
      </c>
      <c r="E354" s="24" t="str">
        <f t="shared" si="5"/>
        <v>CU_ARS_2025_WOF_F2_5_plant_35</v>
      </c>
      <c r="F354" s="21" t="s">
        <v>39</v>
      </c>
      <c r="G354" s="44" t="s">
        <v>40</v>
      </c>
      <c r="H354" s="42"/>
      <c r="I354" s="42" t="s">
        <v>1035</v>
      </c>
      <c r="J354" s="42" t="s">
        <v>1003</v>
      </c>
      <c r="K354" s="42"/>
      <c r="L354" s="42"/>
      <c r="M354" s="42"/>
      <c r="N354" t="str">
        <f>VLOOKUP(C354,CU_ARS_2025_WOF_F2!$A$2:$K$673,2,FALSE)</f>
        <v>CU_ARS_2025_WOF_F2_5_plant_35</v>
      </c>
      <c r="O354" t="str">
        <f>VLOOKUP(C354,CU_ARS_2025_WOF_F2!$A$2:$K$673,2,FALSE)</f>
        <v>CU_ARS_2025_WOF_F2_5_plant_35</v>
      </c>
      <c r="P354" t="str">
        <f>VLOOKUP(C354,CU_ARS_2025_WOF_F2!$A$2:$K$673,3,FALSE)</f>
        <v>CU_ARS_2025_WOF_F2_5</v>
      </c>
      <c r="Q354" t="str">
        <f>VLOOKUP(C354,CU_ARS_2025_WOF_F2!$A$2:$K$673,4,FALSE)</f>
        <v>CU_ARS_2025_WOF_cross_54</v>
      </c>
      <c r="R354">
        <f>VLOOKUP(C354,CU_ARS_2025_WOF_F2!$A$2:$K$673,5,FALSE)</f>
        <v>5</v>
      </c>
      <c r="S354">
        <f>VLOOKUP(C354,CU_ARS_2025_WOF_F2!$A$2:$K$673,6,FALSE)</f>
        <v>1</v>
      </c>
      <c r="T354">
        <f>VLOOKUP(C354,CU_ARS_2025_WOF_F2!$A$2:$K$673,7,FALSE)</f>
        <v>0</v>
      </c>
      <c r="U354">
        <f>VLOOKUP(C354,CU_ARS_2025_WOF_F2!$A$2:$K$673,8,FALSE)</f>
        <v>1</v>
      </c>
      <c r="V354">
        <f>VLOOKUP(C354,CU_ARS_2025_WOF_F2!$A$2:$K$673,9,FALSE)</f>
        <v>0</v>
      </c>
      <c r="W354">
        <f>VLOOKUP(C354,CU_ARS_2025_WOF_F2!$A$2:$K$673,10,FALSE)</f>
        <v>0</v>
      </c>
      <c r="X354">
        <f>VLOOKUP(C354,CU_ARS_2025_WOF_F2!$A$2:$K$673,11,FALSE)</f>
        <v>35</v>
      </c>
      <c r="Y354" t="str">
        <f>VLOOKUP(Q354,cross_pedigree!$A$2:$B$23,2,FALSE)</f>
        <v>Gerard 227/NF13-4126-4_3</v>
      </c>
    </row>
    <row r="355" spans="1:25" ht="18">
      <c r="A355" s="21" t="s">
        <v>15</v>
      </c>
      <c r="B355" s="21" t="s">
        <v>16</v>
      </c>
      <c r="C355" s="22">
        <v>753974</v>
      </c>
      <c r="D355" s="23">
        <v>4</v>
      </c>
      <c r="E355" s="24" t="str">
        <f t="shared" si="5"/>
        <v>CU_ARS_2025_WOF_F2_5_plant_43</v>
      </c>
      <c r="F355" s="21" t="s">
        <v>41</v>
      </c>
      <c r="G355" s="44" t="s">
        <v>42</v>
      </c>
      <c r="H355" s="42"/>
      <c r="I355" s="42" t="s">
        <v>1035</v>
      </c>
      <c r="J355" s="42" t="s">
        <v>1003</v>
      </c>
      <c r="K355" s="42"/>
      <c r="L355" s="42"/>
      <c r="M355" s="42"/>
      <c r="N355" t="str">
        <f>VLOOKUP(C355,CU_ARS_2025_WOF_F2!$A$2:$K$673,2,FALSE)</f>
        <v>CU_ARS_2025_WOF_F2_5_plant_43</v>
      </c>
      <c r="O355" t="str">
        <f>VLOOKUP(C355,CU_ARS_2025_WOF_F2!$A$2:$K$673,2,FALSE)</f>
        <v>CU_ARS_2025_WOF_F2_5_plant_43</v>
      </c>
      <c r="P355" t="str">
        <f>VLOOKUP(C355,CU_ARS_2025_WOF_F2!$A$2:$K$673,3,FALSE)</f>
        <v>CU_ARS_2025_WOF_F2_5</v>
      </c>
      <c r="Q355" t="str">
        <f>VLOOKUP(C355,CU_ARS_2025_WOF_F2!$A$2:$K$673,4,FALSE)</f>
        <v>CU_ARS_2025_WOF_cross_54</v>
      </c>
      <c r="R355">
        <f>VLOOKUP(C355,CU_ARS_2025_WOF_F2!$A$2:$K$673,5,FALSE)</f>
        <v>5</v>
      </c>
      <c r="S355">
        <f>VLOOKUP(C355,CU_ARS_2025_WOF_F2!$A$2:$K$673,6,FALSE)</f>
        <v>1</v>
      </c>
      <c r="T355">
        <f>VLOOKUP(C355,CU_ARS_2025_WOF_F2!$A$2:$K$673,7,FALSE)</f>
        <v>0</v>
      </c>
      <c r="U355">
        <f>VLOOKUP(C355,CU_ARS_2025_WOF_F2!$A$2:$K$673,8,FALSE)</f>
        <v>1</v>
      </c>
      <c r="V355">
        <f>VLOOKUP(C355,CU_ARS_2025_WOF_F2!$A$2:$K$673,9,FALSE)</f>
        <v>0</v>
      </c>
      <c r="W355">
        <f>VLOOKUP(C355,CU_ARS_2025_WOF_F2!$A$2:$K$673,10,FALSE)</f>
        <v>0</v>
      </c>
      <c r="X355">
        <f>VLOOKUP(C355,CU_ARS_2025_WOF_F2!$A$2:$K$673,11,FALSE)</f>
        <v>43</v>
      </c>
      <c r="Y355" t="str">
        <f>VLOOKUP(Q355,cross_pedigree!$A$2:$B$23,2,FALSE)</f>
        <v>Gerard 227/NF13-4126-4_3</v>
      </c>
    </row>
    <row r="356" spans="1:25" ht="18">
      <c r="A356" s="21" t="s">
        <v>15</v>
      </c>
      <c r="B356" s="21" t="s">
        <v>16</v>
      </c>
      <c r="C356" s="22">
        <v>753985</v>
      </c>
      <c r="D356" s="23">
        <v>4</v>
      </c>
      <c r="E356" s="24" t="str">
        <f t="shared" si="5"/>
        <v>CU_ARS_2025_WOF_F2_5_plant_54</v>
      </c>
      <c r="F356" s="21" t="s">
        <v>184</v>
      </c>
      <c r="G356" s="44" t="s">
        <v>185</v>
      </c>
      <c r="H356" s="42"/>
      <c r="I356" s="42" t="s">
        <v>1035</v>
      </c>
      <c r="J356" s="42" t="s">
        <v>1003</v>
      </c>
      <c r="K356" s="42"/>
      <c r="L356" s="42"/>
      <c r="M356" s="42"/>
      <c r="N356" t="str">
        <f>VLOOKUP(C356,CU_ARS_2025_WOF_F2!$A$2:$K$673,2,FALSE)</f>
        <v>CU_ARS_2025_WOF_F2_5_plant_54</v>
      </c>
      <c r="O356" t="str">
        <f>VLOOKUP(C356,CU_ARS_2025_WOF_F2!$A$2:$K$673,2,FALSE)</f>
        <v>CU_ARS_2025_WOF_F2_5_plant_54</v>
      </c>
      <c r="P356" t="str">
        <f>VLOOKUP(C356,CU_ARS_2025_WOF_F2!$A$2:$K$673,3,FALSE)</f>
        <v>CU_ARS_2025_WOF_F2_5</v>
      </c>
      <c r="Q356" t="str">
        <f>VLOOKUP(C356,CU_ARS_2025_WOF_F2!$A$2:$K$673,4,FALSE)</f>
        <v>CU_ARS_2025_WOF_cross_54</v>
      </c>
      <c r="R356">
        <f>VLOOKUP(C356,CU_ARS_2025_WOF_F2!$A$2:$K$673,5,FALSE)</f>
        <v>5</v>
      </c>
      <c r="S356">
        <f>VLOOKUP(C356,CU_ARS_2025_WOF_F2!$A$2:$K$673,6,FALSE)</f>
        <v>1</v>
      </c>
      <c r="T356">
        <f>VLOOKUP(C356,CU_ARS_2025_WOF_F2!$A$2:$K$673,7,FALSE)</f>
        <v>0</v>
      </c>
      <c r="U356">
        <f>VLOOKUP(C356,CU_ARS_2025_WOF_F2!$A$2:$K$673,8,FALSE)</f>
        <v>1</v>
      </c>
      <c r="V356">
        <f>VLOOKUP(C356,CU_ARS_2025_WOF_F2!$A$2:$K$673,9,FALSE)</f>
        <v>0</v>
      </c>
      <c r="W356">
        <f>VLOOKUP(C356,CU_ARS_2025_WOF_F2!$A$2:$K$673,10,FALSE)</f>
        <v>0</v>
      </c>
      <c r="X356">
        <f>VLOOKUP(C356,CU_ARS_2025_WOF_F2!$A$2:$K$673,11,FALSE)</f>
        <v>54</v>
      </c>
      <c r="Y356" t="str">
        <f>VLOOKUP(Q356,cross_pedigree!$A$2:$B$23,2,FALSE)</f>
        <v>Gerard 227/NF13-4126-4_3</v>
      </c>
    </row>
    <row r="357" spans="1:25" ht="18">
      <c r="A357" s="21" t="s">
        <v>15</v>
      </c>
      <c r="B357" s="21" t="s">
        <v>16</v>
      </c>
      <c r="C357" s="22">
        <v>753984</v>
      </c>
      <c r="D357" s="23">
        <v>4</v>
      </c>
      <c r="E357" s="24" t="str">
        <f t="shared" si="5"/>
        <v>CU_ARS_2025_WOF_F2_5_plant_53</v>
      </c>
      <c r="F357" s="21" t="s">
        <v>186</v>
      </c>
      <c r="G357" s="44" t="s">
        <v>187</v>
      </c>
      <c r="H357" s="42"/>
      <c r="I357" s="42" t="s">
        <v>1035</v>
      </c>
      <c r="J357" s="42" t="s">
        <v>1003</v>
      </c>
      <c r="K357" s="42"/>
      <c r="L357" s="42"/>
      <c r="M357" s="42"/>
      <c r="N357" t="str">
        <f>VLOOKUP(C357,CU_ARS_2025_WOF_F2!$A$2:$K$673,2,FALSE)</f>
        <v>CU_ARS_2025_WOF_F2_5_plant_53</v>
      </c>
      <c r="O357" t="str">
        <f>VLOOKUP(C357,CU_ARS_2025_WOF_F2!$A$2:$K$673,2,FALSE)</f>
        <v>CU_ARS_2025_WOF_F2_5_plant_53</v>
      </c>
      <c r="P357" t="str">
        <f>VLOOKUP(C357,CU_ARS_2025_WOF_F2!$A$2:$K$673,3,FALSE)</f>
        <v>CU_ARS_2025_WOF_F2_5</v>
      </c>
      <c r="Q357" t="str">
        <f>VLOOKUP(C357,CU_ARS_2025_WOF_F2!$A$2:$K$673,4,FALSE)</f>
        <v>CU_ARS_2025_WOF_cross_54</v>
      </c>
      <c r="R357">
        <f>VLOOKUP(C357,CU_ARS_2025_WOF_F2!$A$2:$K$673,5,FALSE)</f>
        <v>5</v>
      </c>
      <c r="S357">
        <f>VLOOKUP(C357,CU_ARS_2025_WOF_F2!$A$2:$K$673,6,FALSE)</f>
        <v>1</v>
      </c>
      <c r="T357">
        <f>VLOOKUP(C357,CU_ARS_2025_WOF_F2!$A$2:$K$673,7,FALSE)</f>
        <v>0</v>
      </c>
      <c r="U357">
        <f>VLOOKUP(C357,CU_ARS_2025_WOF_F2!$A$2:$K$673,8,FALSE)</f>
        <v>1</v>
      </c>
      <c r="V357">
        <f>VLOOKUP(C357,CU_ARS_2025_WOF_F2!$A$2:$K$673,9,FALSE)</f>
        <v>0</v>
      </c>
      <c r="W357">
        <f>VLOOKUP(C357,CU_ARS_2025_WOF_F2!$A$2:$K$673,10,FALSE)</f>
        <v>0</v>
      </c>
      <c r="X357">
        <f>VLOOKUP(C357,CU_ARS_2025_WOF_F2!$A$2:$K$673,11,FALSE)</f>
        <v>53</v>
      </c>
      <c r="Y357" t="str">
        <f>VLOOKUP(Q357,cross_pedigree!$A$2:$B$23,2,FALSE)</f>
        <v>Gerard 227/NF13-4126-4_3</v>
      </c>
    </row>
    <row r="358" spans="1:25" ht="18">
      <c r="A358" s="21" t="s">
        <v>15</v>
      </c>
      <c r="B358" s="21" t="s">
        <v>16</v>
      </c>
      <c r="C358" s="22">
        <v>753983</v>
      </c>
      <c r="D358" s="23">
        <v>4</v>
      </c>
      <c r="E358" s="24" t="str">
        <f t="shared" si="5"/>
        <v>CU_ARS_2025_WOF_F2_5_plant_52</v>
      </c>
      <c r="F358" s="21" t="s">
        <v>188</v>
      </c>
      <c r="G358" s="44" t="s">
        <v>189</v>
      </c>
      <c r="H358" s="42"/>
      <c r="I358" s="42" t="s">
        <v>1035</v>
      </c>
      <c r="J358" s="42" t="s">
        <v>1003</v>
      </c>
      <c r="K358" s="42"/>
      <c r="L358" s="42"/>
      <c r="M358" s="42"/>
      <c r="N358" t="str">
        <f>VLOOKUP(C358,CU_ARS_2025_WOF_F2!$A$2:$K$673,2,FALSE)</f>
        <v>CU_ARS_2025_WOF_F2_5_plant_52</v>
      </c>
      <c r="O358" t="str">
        <f>VLOOKUP(C358,CU_ARS_2025_WOF_F2!$A$2:$K$673,2,FALSE)</f>
        <v>CU_ARS_2025_WOF_F2_5_plant_52</v>
      </c>
      <c r="P358" t="str">
        <f>VLOOKUP(C358,CU_ARS_2025_WOF_F2!$A$2:$K$673,3,FALSE)</f>
        <v>CU_ARS_2025_WOF_F2_5</v>
      </c>
      <c r="Q358" t="str">
        <f>VLOOKUP(C358,CU_ARS_2025_WOF_F2!$A$2:$K$673,4,FALSE)</f>
        <v>CU_ARS_2025_WOF_cross_54</v>
      </c>
      <c r="R358">
        <f>VLOOKUP(C358,CU_ARS_2025_WOF_F2!$A$2:$K$673,5,FALSE)</f>
        <v>5</v>
      </c>
      <c r="S358">
        <f>VLOOKUP(C358,CU_ARS_2025_WOF_F2!$A$2:$K$673,6,FALSE)</f>
        <v>1</v>
      </c>
      <c r="T358">
        <f>VLOOKUP(C358,CU_ARS_2025_WOF_F2!$A$2:$K$673,7,FALSE)</f>
        <v>0</v>
      </c>
      <c r="U358">
        <f>VLOOKUP(C358,CU_ARS_2025_WOF_F2!$A$2:$K$673,8,FALSE)</f>
        <v>1</v>
      </c>
      <c r="V358">
        <f>VLOOKUP(C358,CU_ARS_2025_WOF_F2!$A$2:$K$673,9,FALSE)</f>
        <v>0</v>
      </c>
      <c r="W358">
        <f>VLOOKUP(C358,CU_ARS_2025_WOF_F2!$A$2:$K$673,10,FALSE)</f>
        <v>0</v>
      </c>
      <c r="X358">
        <f>VLOOKUP(C358,CU_ARS_2025_WOF_F2!$A$2:$K$673,11,FALSE)</f>
        <v>52</v>
      </c>
      <c r="Y358" t="str">
        <f>VLOOKUP(Q358,cross_pedigree!$A$2:$B$23,2,FALSE)</f>
        <v>Gerard 227/NF13-4126-4_3</v>
      </c>
    </row>
    <row r="359" spans="1:25" ht="18">
      <c r="A359" s="21" t="s">
        <v>15</v>
      </c>
      <c r="B359" s="21" t="s">
        <v>16</v>
      </c>
      <c r="C359" s="22">
        <v>753967</v>
      </c>
      <c r="D359" s="23">
        <v>4</v>
      </c>
      <c r="E359" s="24" t="str">
        <f t="shared" si="5"/>
        <v>CU_ARS_2025_WOF_F2_5_plant_36</v>
      </c>
      <c r="F359" s="21" t="s">
        <v>190</v>
      </c>
      <c r="G359" s="44" t="s">
        <v>191</v>
      </c>
      <c r="H359" s="42"/>
      <c r="I359" s="42" t="s">
        <v>1035</v>
      </c>
      <c r="J359" s="42" t="s">
        <v>1003</v>
      </c>
      <c r="K359" s="42"/>
      <c r="L359" s="42"/>
      <c r="M359" s="42"/>
      <c r="N359" t="str">
        <f>VLOOKUP(C359,CU_ARS_2025_WOF_F2!$A$2:$K$673,2,FALSE)</f>
        <v>CU_ARS_2025_WOF_F2_5_plant_36</v>
      </c>
      <c r="O359" t="str">
        <f>VLOOKUP(C359,CU_ARS_2025_WOF_F2!$A$2:$K$673,2,FALSE)</f>
        <v>CU_ARS_2025_WOF_F2_5_plant_36</v>
      </c>
      <c r="P359" t="str">
        <f>VLOOKUP(C359,CU_ARS_2025_WOF_F2!$A$2:$K$673,3,FALSE)</f>
        <v>CU_ARS_2025_WOF_F2_5</v>
      </c>
      <c r="Q359" t="str">
        <f>VLOOKUP(C359,CU_ARS_2025_WOF_F2!$A$2:$K$673,4,FALSE)</f>
        <v>CU_ARS_2025_WOF_cross_54</v>
      </c>
      <c r="R359">
        <f>VLOOKUP(C359,CU_ARS_2025_WOF_F2!$A$2:$K$673,5,FALSE)</f>
        <v>5</v>
      </c>
      <c r="S359">
        <f>VLOOKUP(C359,CU_ARS_2025_WOF_F2!$A$2:$K$673,6,FALSE)</f>
        <v>1</v>
      </c>
      <c r="T359">
        <f>VLOOKUP(C359,CU_ARS_2025_WOF_F2!$A$2:$K$673,7,FALSE)</f>
        <v>0</v>
      </c>
      <c r="U359">
        <f>VLOOKUP(C359,CU_ARS_2025_WOF_F2!$A$2:$K$673,8,FALSE)</f>
        <v>1</v>
      </c>
      <c r="V359">
        <f>VLOOKUP(C359,CU_ARS_2025_WOF_F2!$A$2:$K$673,9,FALSE)</f>
        <v>0</v>
      </c>
      <c r="W359">
        <f>VLOOKUP(C359,CU_ARS_2025_WOF_F2!$A$2:$K$673,10,FALSE)</f>
        <v>0</v>
      </c>
      <c r="X359">
        <f>VLOOKUP(C359,CU_ARS_2025_WOF_F2!$A$2:$K$673,11,FALSE)</f>
        <v>36</v>
      </c>
      <c r="Y359" t="str">
        <f>VLOOKUP(Q359,cross_pedigree!$A$2:$B$23,2,FALSE)</f>
        <v>Gerard 227/NF13-4126-4_3</v>
      </c>
    </row>
    <row r="360" spans="1:25" ht="18">
      <c r="A360" s="21" t="s">
        <v>15</v>
      </c>
      <c r="B360" s="21" t="s">
        <v>16</v>
      </c>
      <c r="C360" s="22">
        <v>753968</v>
      </c>
      <c r="D360" s="23">
        <v>4</v>
      </c>
      <c r="E360" s="24" t="str">
        <f t="shared" si="5"/>
        <v>CU_ARS_2025_WOF_F2_5_plant_37</v>
      </c>
      <c r="F360" s="21" t="s">
        <v>192</v>
      </c>
      <c r="G360" s="44" t="s">
        <v>193</v>
      </c>
      <c r="H360" s="42"/>
      <c r="I360" s="42" t="s">
        <v>1035</v>
      </c>
      <c r="J360" s="42" t="s">
        <v>1003</v>
      </c>
      <c r="K360" s="42"/>
      <c r="L360" s="42"/>
      <c r="M360" s="42"/>
      <c r="N360" t="str">
        <f>VLOOKUP(C360,CU_ARS_2025_WOF_F2!$A$2:$K$673,2,FALSE)</f>
        <v>CU_ARS_2025_WOF_F2_5_plant_37</v>
      </c>
      <c r="O360" t="str">
        <f>VLOOKUP(C360,CU_ARS_2025_WOF_F2!$A$2:$K$673,2,FALSE)</f>
        <v>CU_ARS_2025_WOF_F2_5_plant_37</v>
      </c>
      <c r="P360" t="str">
        <f>VLOOKUP(C360,CU_ARS_2025_WOF_F2!$A$2:$K$673,3,FALSE)</f>
        <v>CU_ARS_2025_WOF_F2_5</v>
      </c>
      <c r="Q360" t="str">
        <f>VLOOKUP(C360,CU_ARS_2025_WOF_F2!$A$2:$K$673,4,FALSE)</f>
        <v>CU_ARS_2025_WOF_cross_54</v>
      </c>
      <c r="R360">
        <f>VLOOKUP(C360,CU_ARS_2025_WOF_F2!$A$2:$K$673,5,FALSE)</f>
        <v>5</v>
      </c>
      <c r="S360">
        <f>VLOOKUP(C360,CU_ARS_2025_WOF_F2!$A$2:$K$673,6,FALSE)</f>
        <v>1</v>
      </c>
      <c r="T360">
        <f>VLOOKUP(C360,CU_ARS_2025_WOF_F2!$A$2:$K$673,7,FALSE)</f>
        <v>0</v>
      </c>
      <c r="U360">
        <f>VLOOKUP(C360,CU_ARS_2025_WOF_F2!$A$2:$K$673,8,FALSE)</f>
        <v>1</v>
      </c>
      <c r="V360">
        <f>VLOOKUP(C360,CU_ARS_2025_WOF_F2!$A$2:$K$673,9,FALSE)</f>
        <v>0</v>
      </c>
      <c r="W360">
        <f>VLOOKUP(C360,CU_ARS_2025_WOF_F2!$A$2:$K$673,10,FALSE)</f>
        <v>0</v>
      </c>
      <c r="X360">
        <f>VLOOKUP(C360,CU_ARS_2025_WOF_F2!$A$2:$K$673,11,FALSE)</f>
        <v>37</v>
      </c>
      <c r="Y360" t="str">
        <f>VLOOKUP(Q360,cross_pedigree!$A$2:$B$23,2,FALSE)</f>
        <v>Gerard 227/NF13-4126-4_3</v>
      </c>
    </row>
    <row r="361" spans="1:25" ht="18">
      <c r="A361" s="21" t="s">
        <v>15</v>
      </c>
      <c r="B361" s="21" t="s">
        <v>16</v>
      </c>
      <c r="C361" s="22">
        <v>753969</v>
      </c>
      <c r="D361" s="23">
        <v>4</v>
      </c>
      <c r="E361" s="24" t="str">
        <f t="shared" si="5"/>
        <v>CU_ARS_2025_WOF_F2_5_plant_38</v>
      </c>
      <c r="F361" s="21" t="s">
        <v>194</v>
      </c>
      <c r="G361" s="44" t="s">
        <v>195</v>
      </c>
      <c r="H361" s="42"/>
      <c r="I361" s="42" t="s">
        <v>1035</v>
      </c>
      <c r="J361" s="42" t="s">
        <v>1003</v>
      </c>
      <c r="K361" s="42"/>
      <c r="L361" s="42"/>
      <c r="M361" s="42"/>
      <c r="N361" t="str">
        <f>VLOOKUP(C361,CU_ARS_2025_WOF_F2!$A$2:$K$673,2,FALSE)</f>
        <v>CU_ARS_2025_WOF_F2_5_plant_38</v>
      </c>
      <c r="O361" t="str">
        <f>VLOOKUP(C361,CU_ARS_2025_WOF_F2!$A$2:$K$673,2,FALSE)</f>
        <v>CU_ARS_2025_WOF_F2_5_plant_38</v>
      </c>
      <c r="P361" t="str">
        <f>VLOOKUP(C361,CU_ARS_2025_WOF_F2!$A$2:$K$673,3,FALSE)</f>
        <v>CU_ARS_2025_WOF_F2_5</v>
      </c>
      <c r="Q361" t="str">
        <f>VLOOKUP(C361,CU_ARS_2025_WOF_F2!$A$2:$K$673,4,FALSE)</f>
        <v>CU_ARS_2025_WOF_cross_54</v>
      </c>
      <c r="R361">
        <f>VLOOKUP(C361,CU_ARS_2025_WOF_F2!$A$2:$K$673,5,FALSE)</f>
        <v>5</v>
      </c>
      <c r="S361">
        <f>VLOOKUP(C361,CU_ARS_2025_WOF_F2!$A$2:$K$673,6,FALSE)</f>
        <v>1</v>
      </c>
      <c r="T361">
        <f>VLOOKUP(C361,CU_ARS_2025_WOF_F2!$A$2:$K$673,7,FALSE)</f>
        <v>0</v>
      </c>
      <c r="U361">
        <f>VLOOKUP(C361,CU_ARS_2025_WOF_F2!$A$2:$K$673,8,FALSE)</f>
        <v>1</v>
      </c>
      <c r="V361">
        <f>VLOOKUP(C361,CU_ARS_2025_WOF_F2!$A$2:$K$673,9,FALSE)</f>
        <v>0</v>
      </c>
      <c r="W361">
        <f>VLOOKUP(C361,CU_ARS_2025_WOF_F2!$A$2:$K$673,10,FALSE)</f>
        <v>0</v>
      </c>
      <c r="X361">
        <f>VLOOKUP(C361,CU_ARS_2025_WOF_F2!$A$2:$K$673,11,FALSE)</f>
        <v>38</v>
      </c>
      <c r="Y361" t="str">
        <f>VLOOKUP(Q361,cross_pedigree!$A$2:$B$23,2,FALSE)</f>
        <v>Gerard 227/NF13-4126-4_3</v>
      </c>
    </row>
    <row r="362" spans="1:25" ht="18">
      <c r="A362" s="21" t="s">
        <v>15</v>
      </c>
      <c r="B362" s="21" t="s">
        <v>16</v>
      </c>
      <c r="C362" s="22">
        <v>753975</v>
      </c>
      <c r="D362" s="23">
        <v>4</v>
      </c>
      <c r="E362" s="24" t="str">
        <f t="shared" si="5"/>
        <v>CU_ARS_2025_WOF_F2_5_plant_44</v>
      </c>
      <c r="F362" s="21" t="s">
        <v>196</v>
      </c>
      <c r="G362" s="44" t="s">
        <v>197</v>
      </c>
      <c r="H362" s="42"/>
      <c r="I362" s="42" t="s">
        <v>1035</v>
      </c>
      <c r="J362" s="42" t="s">
        <v>1003</v>
      </c>
      <c r="K362" s="42"/>
      <c r="L362" s="42"/>
      <c r="M362" s="42"/>
      <c r="N362" t="str">
        <f>VLOOKUP(C362,CU_ARS_2025_WOF_F2!$A$2:$K$673,2,FALSE)</f>
        <v>CU_ARS_2025_WOF_F2_5_plant_44</v>
      </c>
      <c r="O362" t="str">
        <f>VLOOKUP(C362,CU_ARS_2025_WOF_F2!$A$2:$K$673,2,FALSE)</f>
        <v>CU_ARS_2025_WOF_F2_5_plant_44</v>
      </c>
      <c r="P362" t="str">
        <f>VLOOKUP(C362,CU_ARS_2025_WOF_F2!$A$2:$K$673,3,FALSE)</f>
        <v>CU_ARS_2025_WOF_F2_5</v>
      </c>
      <c r="Q362" t="str">
        <f>VLOOKUP(C362,CU_ARS_2025_WOF_F2!$A$2:$K$673,4,FALSE)</f>
        <v>CU_ARS_2025_WOF_cross_54</v>
      </c>
      <c r="R362">
        <f>VLOOKUP(C362,CU_ARS_2025_WOF_F2!$A$2:$K$673,5,FALSE)</f>
        <v>5</v>
      </c>
      <c r="S362">
        <f>VLOOKUP(C362,CU_ARS_2025_WOF_F2!$A$2:$K$673,6,FALSE)</f>
        <v>1</v>
      </c>
      <c r="T362">
        <f>VLOOKUP(C362,CU_ARS_2025_WOF_F2!$A$2:$K$673,7,FALSE)</f>
        <v>0</v>
      </c>
      <c r="U362">
        <f>VLOOKUP(C362,CU_ARS_2025_WOF_F2!$A$2:$K$673,8,FALSE)</f>
        <v>1</v>
      </c>
      <c r="V362">
        <f>VLOOKUP(C362,CU_ARS_2025_WOF_F2!$A$2:$K$673,9,FALSE)</f>
        <v>0</v>
      </c>
      <c r="W362">
        <f>VLOOKUP(C362,CU_ARS_2025_WOF_F2!$A$2:$K$673,10,FALSE)</f>
        <v>0</v>
      </c>
      <c r="X362">
        <f>VLOOKUP(C362,CU_ARS_2025_WOF_F2!$A$2:$K$673,11,FALSE)</f>
        <v>44</v>
      </c>
      <c r="Y362" t="str">
        <f>VLOOKUP(Q362,cross_pedigree!$A$2:$B$23,2,FALSE)</f>
        <v>Gerard 227/NF13-4126-4_3</v>
      </c>
    </row>
    <row r="363" spans="1:25" ht="18">
      <c r="A363" s="21" t="s">
        <v>15</v>
      </c>
      <c r="B363" s="21" t="s">
        <v>16</v>
      </c>
      <c r="C363" s="22">
        <v>753976</v>
      </c>
      <c r="D363" s="23">
        <v>4</v>
      </c>
      <c r="E363" s="24" t="str">
        <f t="shared" si="5"/>
        <v>CU_ARS_2025_WOF_F2_5_plant_45</v>
      </c>
      <c r="F363" s="21" t="s">
        <v>198</v>
      </c>
      <c r="G363" s="44" t="s">
        <v>199</v>
      </c>
      <c r="H363" s="42"/>
      <c r="I363" s="42" t="s">
        <v>1035</v>
      </c>
      <c r="J363" s="42" t="s">
        <v>1003</v>
      </c>
      <c r="K363" s="42"/>
      <c r="L363" s="42"/>
      <c r="M363" s="42"/>
      <c r="N363" t="str">
        <f>VLOOKUP(C363,CU_ARS_2025_WOF_F2!$A$2:$K$673,2,FALSE)</f>
        <v>CU_ARS_2025_WOF_F2_5_plant_45</v>
      </c>
      <c r="O363" t="str">
        <f>VLOOKUP(C363,CU_ARS_2025_WOF_F2!$A$2:$K$673,2,FALSE)</f>
        <v>CU_ARS_2025_WOF_F2_5_plant_45</v>
      </c>
      <c r="P363" t="str">
        <f>VLOOKUP(C363,CU_ARS_2025_WOF_F2!$A$2:$K$673,3,FALSE)</f>
        <v>CU_ARS_2025_WOF_F2_5</v>
      </c>
      <c r="Q363" t="str">
        <f>VLOOKUP(C363,CU_ARS_2025_WOF_F2!$A$2:$K$673,4,FALSE)</f>
        <v>CU_ARS_2025_WOF_cross_54</v>
      </c>
      <c r="R363">
        <f>VLOOKUP(C363,CU_ARS_2025_WOF_F2!$A$2:$K$673,5,FALSE)</f>
        <v>5</v>
      </c>
      <c r="S363">
        <f>VLOOKUP(C363,CU_ARS_2025_WOF_F2!$A$2:$K$673,6,FALSE)</f>
        <v>1</v>
      </c>
      <c r="T363">
        <f>VLOOKUP(C363,CU_ARS_2025_WOF_F2!$A$2:$K$673,7,FALSE)</f>
        <v>0</v>
      </c>
      <c r="U363">
        <f>VLOOKUP(C363,CU_ARS_2025_WOF_F2!$A$2:$K$673,8,FALSE)</f>
        <v>1</v>
      </c>
      <c r="V363">
        <f>VLOOKUP(C363,CU_ARS_2025_WOF_F2!$A$2:$K$673,9,FALSE)</f>
        <v>0</v>
      </c>
      <c r="W363">
        <f>VLOOKUP(C363,CU_ARS_2025_WOF_F2!$A$2:$K$673,10,FALSE)</f>
        <v>0</v>
      </c>
      <c r="X363">
        <f>VLOOKUP(C363,CU_ARS_2025_WOF_F2!$A$2:$K$673,11,FALSE)</f>
        <v>45</v>
      </c>
      <c r="Y363" t="str">
        <f>VLOOKUP(Q363,cross_pedigree!$A$2:$B$23,2,FALSE)</f>
        <v>Gerard 227/NF13-4126-4_3</v>
      </c>
    </row>
    <row r="364" spans="1:25" ht="18">
      <c r="A364" s="21" t="s">
        <v>15</v>
      </c>
      <c r="B364" s="21" t="s">
        <v>16</v>
      </c>
      <c r="C364" s="22">
        <v>753977</v>
      </c>
      <c r="D364" s="23">
        <v>4</v>
      </c>
      <c r="E364" s="24" t="str">
        <f t="shared" si="5"/>
        <v>CU_ARS_2025_WOF_F2_5_plant_46</v>
      </c>
      <c r="F364" s="21" t="s">
        <v>200</v>
      </c>
      <c r="G364" s="44" t="s">
        <v>201</v>
      </c>
      <c r="H364" s="42"/>
      <c r="I364" s="42" t="s">
        <v>1035</v>
      </c>
      <c r="J364" s="42" t="s">
        <v>1003</v>
      </c>
      <c r="K364" s="42"/>
      <c r="L364" s="42"/>
      <c r="M364" s="42"/>
      <c r="N364" t="str">
        <f>VLOOKUP(C364,CU_ARS_2025_WOF_F2!$A$2:$K$673,2,FALSE)</f>
        <v>CU_ARS_2025_WOF_F2_5_plant_46</v>
      </c>
      <c r="O364" t="str">
        <f>VLOOKUP(C364,CU_ARS_2025_WOF_F2!$A$2:$K$673,2,FALSE)</f>
        <v>CU_ARS_2025_WOF_F2_5_plant_46</v>
      </c>
      <c r="P364" t="str">
        <f>VLOOKUP(C364,CU_ARS_2025_WOF_F2!$A$2:$K$673,3,FALSE)</f>
        <v>CU_ARS_2025_WOF_F2_5</v>
      </c>
      <c r="Q364" t="str">
        <f>VLOOKUP(C364,CU_ARS_2025_WOF_F2!$A$2:$K$673,4,FALSE)</f>
        <v>CU_ARS_2025_WOF_cross_54</v>
      </c>
      <c r="R364">
        <f>VLOOKUP(C364,CU_ARS_2025_WOF_F2!$A$2:$K$673,5,FALSE)</f>
        <v>5</v>
      </c>
      <c r="S364">
        <f>VLOOKUP(C364,CU_ARS_2025_WOF_F2!$A$2:$K$673,6,FALSE)</f>
        <v>1</v>
      </c>
      <c r="T364">
        <f>VLOOKUP(C364,CU_ARS_2025_WOF_F2!$A$2:$K$673,7,FALSE)</f>
        <v>0</v>
      </c>
      <c r="U364">
        <f>VLOOKUP(C364,CU_ARS_2025_WOF_F2!$A$2:$K$673,8,FALSE)</f>
        <v>1</v>
      </c>
      <c r="V364">
        <f>VLOOKUP(C364,CU_ARS_2025_WOF_F2!$A$2:$K$673,9,FALSE)</f>
        <v>0</v>
      </c>
      <c r="W364">
        <f>VLOOKUP(C364,CU_ARS_2025_WOF_F2!$A$2:$K$673,10,FALSE)</f>
        <v>0</v>
      </c>
      <c r="X364">
        <f>VLOOKUP(C364,CU_ARS_2025_WOF_F2!$A$2:$K$673,11,FALSE)</f>
        <v>46</v>
      </c>
      <c r="Y364" t="str">
        <f>VLOOKUP(Q364,cross_pedigree!$A$2:$B$23,2,FALSE)</f>
        <v>Gerard 227/NF13-4126-4_3</v>
      </c>
    </row>
    <row r="365" spans="1:25" ht="18">
      <c r="A365" s="21" t="s">
        <v>15</v>
      </c>
      <c r="B365" s="21" t="s">
        <v>16</v>
      </c>
      <c r="C365" s="22">
        <v>753978</v>
      </c>
      <c r="D365" s="23">
        <v>4</v>
      </c>
      <c r="E365" s="24" t="str">
        <f t="shared" si="5"/>
        <v>CU_ARS_2025_WOF_F2_5_plant_47</v>
      </c>
      <c r="F365" s="21" t="s">
        <v>202</v>
      </c>
      <c r="G365" s="44" t="s">
        <v>203</v>
      </c>
      <c r="H365" s="42"/>
      <c r="I365" s="42" t="s">
        <v>1035</v>
      </c>
      <c r="J365" s="42" t="s">
        <v>1003</v>
      </c>
      <c r="K365" s="42"/>
      <c r="L365" s="42"/>
      <c r="M365" s="42"/>
      <c r="N365" t="str">
        <f>VLOOKUP(C365,CU_ARS_2025_WOF_F2!$A$2:$K$673,2,FALSE)</f>
        <v>CU_ARS_2025_WOF_F2_5_plant_47</v>
      </c>
      <c r="O365" t="str">
        <f>VLOOKUP(C365,CU_ARS_2025_WOF_F2!$A$2:$K$673,2,FALSE)</f>
        <v>CU_ARS_2025_WOF_F2_5_plant_47</v>
      </c>
      <c r="P365" t="str">
        <f>VLOOKUP(C365,CU_ARS_2025_WOF_F2!$A$2:$K$673,3,FALSE)</f>
        <v>CU_ARS_2025_WOF_F2_5</v>
      </c>
      <c r="Q365" t="str">
        <f>VLOOKUP(C365,CU_ARS_2025_WOF_F2!$A$2:$K$673,4,FALSE)</f>
        <v>CU_ARS_2025_WOF_cross_54</v>
      </c>
      <c r="R365">
        <f>VLOOKUP(C365,CU_ARS_2025_WOF_F2!$A$2:$K$673,5,FALSE)</f>
        <v>5</v>
      </c>
      <c r="S365">
        <f>VLOOKUP(C365,CU_ARS_2025_WOF_F2!$A$2:$K$673,6,FALSE)</f>
        <v>1</v>
      </c>
      <c r="T365">
        <f>VLOOKUP(C365,CU_ARS_2025_WOF_F2!$A$2:$K$673,7,FALSE)</f>
        <v>0</v>
      </c>
      <c r="U365">
        <f>VLOOKUP(C365,CU_ARS_2025_WOF_F2!$A$2:$K$673,8,FALSE)</f>
        <v>1</v>
      </c>
      <c r="V365">
        <f>VLOOKUP(C365,CU_ARS_2025_WOF_F2!$A$2:$K$673,9,FALSE)</f>
        <v>0</v>
      </c>
      <c r="W365">
        <f>VLOOKUP(C365,CU_ARS_2025_WOF_F2!$A$2:$K$673,10,FALSE)</f>
        <v>0</v>
      </c>
      <c r="X365">
        <f>VLOOKUP(C365,CU_ARS_2025_WOF_F2!$A$2:$K$673,11,FALSE)</f>
        <v>47</v>
      </c>
      <c r="Y365" t="str">
        <f>VLOOKUP(Q365,cross_pedigree!$A$2:$B$23,2,FALSE)</f>
        <v>Gerard 227/NF13-4126-4_3</v>
      </c>
    </row>
    <row r="366" spans="1:25" ht="18">
      <c r="A366" s="21" t="s">
        <v>15</v>
      </c>
      <c r="B366" s="21" t="s">
        <v>16</v>
      </c>
      <c r="C366" s="22">
        <v>753979</v>
      </c>
      <c r="D366" s="23">
        <v>4</v>
      </c>
      <c r="E366" s="24" t="str">
        <f t="shared" si="5"/>
        <v>CU_ARS_2025_WOF_F2_5_plant_48</v>
      </c>
      <c r="F366" s="21" t="s">
        <v>204</v>
      </c>
      <c r="G366" s="44" t="s">
        <v>205</v>
      </c>
      <c r="H366" s="42"/>
      <c r="I366" s="42" t="s">
        <v>1035</v>
      </c>
      <c r="J366" s="42" t="s">
        <v>1003</v>
      </c>
      <c r="K366" s="42"/>
      <c r="L366" s="42"/>
      <c r="M366" s="42"/>
      <c r="N366" t="str">
        <f>VLOOKUP(C366,CU_ARS_2025_WOF_F2!$A$2:$K$673,2,FALSE)</f>
        <v>CU_ARS_2025_WOF_F2_5_plant_48</v>
      </c>
      <c r="O366" t="str">
        <f>VLOOKUP(C366,CU_ARS_2025_WOF_F2!$A$2:$K$673,2,FALSE)</f>
        <v>CU_ARS_2025_WOF_F2_5_plant_48</v>
      </c>
      <c r="P366" t="str">
        <f>VLOOKUP(C366,CU_ARS_2025_WOF_F2!$A$2:$K$673,3,FALSE)</f>
        <v>CU_ARS_2025_WOF_F2_5</v>
      </c>
      <c r="Q366" t="str">
        <f>VLOOKUP(C366,CU_ARS_2025_WOF_F2!$A$2:$K$673,4,FALSE)</f>
        <v>CU_ARS_2025_WOF_cross_54</v>
      </c>
      <c r="R366">
        <f>VLOOKUP(C366,CU_ARS_2025_WOF_F2!$A$2:$K$673,5,FALSE)</f>
        <v>5</v>
      </c>
      <c r="S366">
        <f>VLOOKUP(C366,CU_ARS_2025_WOF_F2!$A$2:$K$673,6,FALSE)</f>
        <v>1</v>
      </c>
      <c r="T366">
        <f>VLOOKUP(C366,CU_ARS_2025_WOF_F2!$A$2:$K$673,7,FALSE)</f>
        <v>0</v>
      </c>
      <c r="U366">
        <f>VLOOKUP(C366,CU_ARS_2025_WOF_F2!$A$2:$K$673,8,FALSE)</f>
        <v>1</v>
      </c>
      <c r="V366">
        <f>VLOOKUP(C366,CU_ARS_2025_WOF_F2!$A$2:$K$673,9,FALSE)</f>
        <v>0</v>
      </c>
      <c r="W366">
        <f>VLOOKUP(C366,CU_ARS_2025_WOF_F2!$A$2:$K$673,10,FALSE)</f>
        <v>0</v>
      </c>
      <c r="X366">
        <f>VLOOKUP(C366,CU_ARS_2025_WOF_F2!$A$2:$K$673,11,FALSE)</f>
        <v>48</v>
      </c>
      <c r="Y366" t="str">
        <f>VLOOKUP(Q366,cross_pedigree!$A$2:$B$23,2,FALSE)</f>
        <v>Gerard 227/NF13-4126-4_3</v>
      </c>
    </row>
    <row r="367" spans="1:25" ht="18">
      <c r="A367" s="21" t="s">
        <v>15</v>
      </c>
      <c r="B367" s="21" t="s">
        <v>16</v>
      </c>
      <c r="C367" s="22">
        <v>753980</v>
      </c>
      <c r="D367" s="23">
        <v>4</v>
      </c>
      <c r="E367" s="24" t="str">
        <f t="shared" si="5"/>
        <v>CU_ARS_2025_WOF_F2_5_plant_49</v>
      </c>
      <c r="F367" s="21" t="s">
        <v>206</v>
      </c>
      <c r="G367" s="44" t="s">
        <v>207</v>
      </c>
      <c r="H367" s="42"/>
      <c r="I367" s="42" t="s">
        <v>1035</v>
      </c>
      <c r="J367" s="42" t="s">
        <v>1003</v>
      </c>
      <c r="K367" s="42"/>
      <c r="L367" s="42"/>
      <c r="M367" s="42"/>
      <c r="N367" t="str">
        <f>VLOOKUP(C367,CU_ARS_2025_WOF_F2!$A$2:$K$673,2,FALSE)</f>
        <v>CU_ARS_2025_WOF_F2_5_plant_49</v>
      </c>
      <c r="O367" t="str">
        <f>VLOOKUP(C367,CU_ARS_2025_WOF_F2!$A$2:$K$673,2,FALSE)</f>
        <v>CU_ARS_2025_WOF_F2_5_plant_49</v>
      </c>
      <c r="P367" t="str">
        <f>VLOOKUP(C367,CU_ARS_2025_WOF_F2!$A$2:$K$673,3,FALSE)</f>
        <v>CU_ARS_2025_WOF_F2_5</v>
      </c>
      <c r="Q367" t="str">
        <f>VLOOKUP(C367,CU_ARS_2025_WOF_F2!$A$2:$K$673,4,FALSE)</f>
        <v>CU_ARS_2025_WOF_cross_54</v>
      </c>
      <c r="R367">
        <f>VLOOKUP(C367,CU_ARS_2025_WOF_F2!$A$2:$K$673,5,FALSE)</f>
        <v>5</v>
      </c>
      <c r="S367">
        <f>VLOOKUP(C367,CU_ARS_2025_WOF_F2!$A$2:$K$673,6,FALSE)</f>
        <v>1</v>
      </c>
      <c r="T367">
        <f>VLOOKUP(C367,CU_ARS_2025_WOF_F2!$A$2:$K$673,7,FALSE)</f>
        <v>0</v>
      </c>
      <c r="U367">
        <f>VLOOKUP(C367,CU_ARS_2025_WOF_F2!$A$2:$K$673,8,FALSE)</f>
        <v>1</v>
      </c>
      <c r="V367">
        <f>VLOOKUP(C367,CU_ARS_2025_WOF_F2!$A$2:$K$673,9,FALSE)</f>
        <v>0</v>
      </c>
      <c r="W367">
        <f>VLOOKUP(C367,CU_ARS_2025_WOF_F2!$A$2:$K$673,10,FALSE)</f>
        <v>0</v>
      </c>
      <c r="X367">
        <f>VLOOKUP(C367,CU_ARS_2025_WOF_F2!$A$2:$K$673,11,FALSE)</f>
        <v>49</v>
      </c>
      <c r="Y367" t="str">
        <f>VLOOKUP(Q367,cross_pedigree!$A$2:$B$23,2,FALSE)</f>
        <v>Gerard 227/NF13-4126-4_3</v>
      </c>
    </row>
    <row r="368" spans="1:25" ht="18">
      <c r="A368" s="21" t="s">
        <v>15</v>
      </c>
      <c r="B368" s="21" t="s">
        <v>16</v>
      </c>
      <c r="C368" s="22">
        <v>753981</v>
      </c>
      <c r="D368" s="23">
        <v>4</v>
      </c>
      <c r="E368" s="24" t="str">
        <f t="shared" si="5"/>
        <v>CU_ARS_2025_WOF_F2_5_plant_50</v>
      </c>
      <c r="F368" s="21" t="s">
        <v>91</v>
      </c>
      <c r="G368" s="44" t="s">
        <v>208</v>
      </c>
      <c r="H368" s="42"/>
      <c r="I368" s="42" t="s">
        <v>1035</v>
      </c>
      <c r="J368" s="42" t="s">
        <v>1003</v>
      </c>
      <c r="K368" s="42"/>
      <c r="L368" s="42"/>
      <c r="M368" s="42"/>
      <c r="N368" t="str">
        <f>VLOOKUP(C368,CU_ARS_2025_WOF_F2!$A$2:$K$673,2,FALSE)</f>
        <v>CU_ARS_2025_WOF_F2_5_plant_50</v>
      </c>
      <c r="O368" t="str">
        <f>VLOOKUP(C368,CU_ARS_2025_WOF_F2!$A$2:$K$673,2,FALSE)</f>
        <v>CU_ARS_2025_WOF_F2_5_plant_50</v>
      </c>
      <c r="P368" t="str">
        <f>VLOOKUP(C368,CU_ARS_2025_WOF_F2!$A$2:$K$673,3,FALSE)</f>
        <v>CU_ARS_2025_WOF_F2_5</v>
      </c>
      <c r="Q368" t="str">
        <f>VLOOKUP(C368,CU_ARS_2025_WOF_F2!$A$2:$K$673,4,FALSE)</f>
        <v>CU_ARS_2025_WOF_cross_54</v>
      </c>
      <c r="R368">
        <f>VLOOKUP(C368,CU_ARS_2025_WOF_F2!$A$2:$K$673,5,FALSE)</f>
        <v>5</v>
      </c>
      <c r="S368">
        <f>VLOOKUP(C368,CU_ARS_2025_WOF_F2!$A$2:$K$673,6,FALSE)</f>
        <v>1</v>
      </c>
      <c r="T368">
        <f>VLOOKUP(C368,CU_ARS_2025_WOF_F2!$A$2:$K$673,7,FALSE)</f>
        <v>0</v>
      </c>
      <c r="U368">
        <f>VLOOKUP(C368,CU_ARS_2025_WOF_F2!$A$2:$K$673,8,FALSE)</f>
        <v>1</v>
      </c>
      <c r="V368">
        <f>VLOOKUP(C368,CU_ARS_2025_WOF_F2!$A$2:$K$673,9,FALSE)</f>
        <v>0</v>
      </c>
      <c r="W368">
        <f>VLOOKUP(C368,CU_ARS_2025_WOF_F2!$A$2:$K$673,10,FALSE)</f>
        <v>0</v>
      </c>
      <c r="X368">
        <f>VLOOKUP(C368,CU_ARS_2025_WOF_F2!$A$2:$K$673,11,FALSE)</f>
        <v>50</v>
      </c>
      <c r="Y368" t="str">
        <f>VLOOKUP(Q368,cross_pedigree!$A$2:$B$23,2,FALSE)</f>
        <v>Gerard 227/NF13-4126-4_3</v>
      </c>
    </row>
    <row r="369" spans="1:25" ht="18">
      <c r="A369" s="21" t="s">
        <v>15</v>
      </c>
      <c r="B369" s="21" t="s">
        <v>16</v>
      </c>
      <c r="C369" s="22">
        <v>753982</v>
      </c>
      <c r="D369" s="23">
        <v>4</v>
      </c>
      <c r="E369" s="24" t="str">
        <f t="shared" si="5"/>
        <v>CU_ARS_2025_WOF_F2_5_plant_51</v>
      </c>
      <c r="F369" s="21" t="s">
        <v>92</v>
      </c>
      <c r="G369" s="44" t="s">
        <v>209</v>
      </c>
      <c r="H369" s="42"/>
      <c r="I369" s="42" t="s">
        <v>1035</v>
      </c>
      <c r="J369" s="42" t="s">
        <v>1003</v>
      </c>
      <c r="K369" s="42"/>
      <c r="L369" s="42"/>
      <c r="M369" s="42"/>
      <c r="N369" t="str">
        <f>VLOOKUP(C369,CU_ARS_2025_WOF_F2!$A$2:$K$673,2,FALSE)</f>
        <v>CU_ARS_2025_WOF_F2_5_plant_51</v>
      </c>
      <c r="O369" t="str">
        <f>VLOOKUP(C369,CU_ARS_2025_WOF_F2!$A$2:$K$673,2,FALSE)</f>
        <v>CU_ARS_2025_WOF_F2_5_plant_51</v>
      </c>
      <c r="P369" t="str">
        <f>VLOOKUP(C369,CU_ARS_2025_WOF_F2!$A$2:$K$673,3,FALSE)</f>
        <v>CU_ARS_2025_WOF_F2_5</v>
      </c>
      <c r="Q369" t="str">
        <f>VLOOKUP(C369,CU_ARS_2025_WOF_F2!$A$2:$K$673,4,FALSE)</f>
        <v>CU_ARS_2025_WOF_cross_54</v>
      </c>
      <c r="R369">
        <f>VLOOKUP(C369,CU_ARS_2025_WOF_F2!$A$2:$K$673,5,FALSE)</f>
        <v>5</v>
      </c>
      <c r="S369">
        <f>VLOOKUP(C369,CU_ARS_2025_WOF_F2!$A$2:$K$673,6,FALSE)</f>
        <v>1</v>
      </c>
      <c r="T369">
        <f>VLOOKUP(C369,CU_ARS_2025_WOF_F2!$A$2:$K$673,7,FALSE)</f>
        <v>0</v>
      </c>
      <c r="U369">
        <f>VLOOKUP(C369,CU_ARS_2025_WOF_F2!$A$2:$K$673,8,FALSE)</f>
        <v>1</v>
      </c>
      <c r="V369">
        <f>VLOOKUP(C369,CU_ARS_2025_WOF_F2!$A$2:$K$673,9,FALSE)</f>
        <v>0</v>
      </c>
      <c r="W369">
        <f>VLOOKUP(C369,CU_ARS_2025_WOF_F2!$A$2:$K$673,10,FALSE)</f>
        <v>0</v>
      </c>
      <c r="X369">
        <f>VLOOKUP(C369,CU_ARS_2025_WOF_F2!$A$2:$K$673,11,FALSE)</f>
        <v>51</v>
      </c>
      <c r="Y369" t="str">
        <f>VLOOKUP(Q369,cross_pedigree!$A$2:$B$23,2,FALSE)</f>
        <v>Gerard 227/NF13-4126-4_3</v>
      </c>
    </row>
    <row r="370" spans="1:25" ht="18">
      <c r="A370" s="21" t="s">
        <v>15</v>
      </c>
      <c r="B370" s="21" t="s">
        <v>16</v>
      </c>
      <c r="C370" s="22">
        <v>753990</v>
      </c>
      <c r="D370" s="23">
        <v>4</v>
      </c>
      <c r="E370" s="24" t="str">
        <f t="shared" si="5"/>
        <v>CU_ARS_2025_WOF_F2_5_plant_59</v>
      </c>
      <c r="F370" s="21" t="s">
        <v>93</v>
      </c>
      <c r="G370" s="44" t="s">
        <v>210</v>
      </c>
      <c r="H370" s="42"/>
      <c r="I370" s="42" t="s">
        <v>1035</v>
      </c>
      <c r="J370" s="42" t="s">
        <v>1003</v>
      </c>
      <c r="K370" s="42"/>
      <c r="L370" s="42"/>
      <c r="M370" s="42"/>
      <c r="N370" t="str">
        <f>VLOOKUP(C370,CU_ARS_2025_WOF_F2!$A$2:$K$673,2,FALSE)</f>
        <v>CU_ARS_2025_WOF_F2_5_plant_59</v>
      </c>
      <c r="O370" t="str">
        <f>VLOOKUP(C370,CU_ARS_2025_WOF_F2!$A$2:$K$673,2,FALSE)</f>
        <v>CU_ARS_2025_WOF_F2_5_plant_59</v>
      </c>
      <c r="P370" t="str">
        <f>VLOOKUP(C370,CU_ARS_2025_WOF_F2!$A$2:$K$673,3,FALSE)</f>
        <v>CU_ARS_2025_WOF_F2_5</v>
      </c>
      <c r="Q370" t="str">
        <f>VLOOKUP(C370,CU_ARS_2025_WOF_F2!$A$2:$K$673,4,FALSE)</f>
        <v>CU_ARS_2025_WOF_cross_54</v>
      </c>
      <c r="R370">
        <f>VLOOKUP(C370,CU_ARS_2025_WOF_F2!$A$2:$K$673,5,FALSE)</f>
        <v>5</v>
      </c>
      <c r="S370">
        <f>VLOOKUP(C370,CU_ARS_2025_WOF_F2!$A$2:$K$673,6,FALSE)</f>
        <v>1</v>
      </c>
      <c r="T370">
        <f>VLOOKUP(C370,CU_ARS_2025_WOF_F2!$A$2:$K$673,7,FALSE)</f>
        <v>0</v>
      </c>
      <c r="U370">
        <f>VLOOKUP(C370,CU_ARS_2025_WOF_F2!$A$2:$K$673,8,FALSE)</f>
        <v>1</v>
      </c>
      <c r="V370">
        <f>VLOOKUP(C370,CU_ARS_2025_WOF_F2!$A$2:$K$673,9,FALSE)</f>
        <v>0</v>
      </c>
      <c r="W370">
        <f>VLOOKUP(C370,CU_ARS_2025_WOF_F2!$A$2:$K$673,10,FALSE)</f>
        <v>0</v>
      </c>
      <c r="X370">
        <f>VLOOKUP(C370,CU_ARS_2025_WOF_F2!$A$2:$K$673,11,FALSE)</f>
        <v>59</v>
      </c>
      <c r="Y370" t="str">
        <f>VLOOKUP(Q370,cross_pedigree!$A$2:$B$23,2,FALSE)</f>
        <v>Gerard 227/NF13-4126-4_3</v>
      </c>
    </row>
    <row r="371" spans="1:25" ht="18">
      <c r="A371" s="21" t="s">
        <v>15</v>
      </c>
      <c r="B371" s="21" t="s">
        <v>16</v>
      </c>
      <c r="C371" s="22">
        <v>753986</v>
      </c>
      <c r="D371" s="23">
        <v>4</v>
      </c>
      <c r="E371" s="24" t="str">
        <f t="shared" si="5"/>
        <v>CU_ARS_2025_WOF_F2_5_plant_55</v>
      </c>
      <c r="F371" s="21" t="s">
        <v>94</v>
      </c>
      <c r="G371" s="44" t="s">
        <v>211</v>
      </c>
      <c r="H371" s="42"/>
      <c r="I371" s="42" t="s">
        <v>1035</v>
      </c>
      <c r="J371" s="42" t="s">
        <v>1003</v>
      </c>
      <c r="K371" s="42"/>
      <c r="L371" s="42"/>
      <c r="M371" s="42"/>
      <c r="N371" t="str">
        <f>VLOOKUP(C371,CU_ARS_2025_WOF_F2!$A$2:$K$673,2,FALSE)</f>
        <v>CU_ARS_2025_WOF_F2_5_plant_55</v>
      </c>
      <c r="O371" t="str">
        <f>VLOOKUP(C371,CU_ARS_2025_WOF_F2!$A$2:$K$673,2,FALSE)</f>
        <v>CU_ARS_2025_WOF_F2_5_plant_55</v>
      </c>
      <c r="P371" t="str">
        <f>VLOOKUP(C371,CU_ARS_2025_WOF_F2!$A$2:$K$673,3,FALSE)</f>
        <v>CU_ARS_2025_WOF_F2_5</v>
      </c>
      <c r="Q371" t="str">
        <f>VLOOKUP(C371,CU_ARS_2025_WOF_F2!$A$2:$K$673,4,FALSE)</f>
        <v>CU_ARS_2025_WOF_cross_54</v>
      </c>
      <c r="R371">
        <f>VLOOKUP(C371,CU_ARS_2025_WOF_F2!$A$2:$K$673,5,FALSE)</f>
        <v>5</v>
      </c>
      <c r="S371">
        <f>VLOOKUP(C371,CU_ARS_2025_WOF_F2!$A$2:$K$673,6,FALSE)</f>
        <v>1</v>
      </c>
      <c r="T371">
        <f>VLOOKUP(C371,CU_ARS_2025_WOF_F2!$A$2:$K$673,7,FALSE)</f>
        <v>0</v>
      </c>
      <c r="U371">
        <f>VLOOKUP(C371,CU_ARS_2025_WOF_F2!$A$2:$K$673,8,FALSE)</f>
        <v>1</v>
      </c>
      <c r="V371">
        <f>VLOOKUP(C371,CU_ARS_2025_WOF_F2!$A$2:$K$673,9,FALSE)</f>
        <v>0</v>
      </c>
      <c r="W371">
        <f>VLOOKUP(C371,CU_ARS_2025_WOF_F2!$A$2:$K$673,10,FALSE)</f>
        <v>0</v>
      </c>
      <c r="X371">
        <f>VLOOKUP(C371,CU_ARS_2025_WOF_F2!$A$2:$K$673,11,FALSE)</f>
        <v>55</v>
      </c>
      <c r="Y371" t="str">
        <f>VLOOKUP(Q371,cross_pedigree!$A$2:$B$23,2,FALSE)</f>
        <v>Gerard 227/NF13-4126-4_3</v>
      </c>
    </row>
    <row r="372" spans="1:25" ht="18">
      <c r="A372" s="21" t="s">
        <v>15</v>
      </c>
      <c r="B372" s="21" t="s">
        <v>16</v>
      </c>
      <c r="C372" s="22">
        <v>753517</v>
      </c>
      <c r="D372" s="23">
        <v>4</v>
      </c>
      <c r="E372" s="24" t="str">
        <f t="shared" si="5"/>
        <v>CU_ARS_2025_WOF_F2_2_plant_29</v>
      </c>
      <c r="F372" s="21" t="s">
        <v>49</v>
      </c>
      <c r="G372" s="44" t="s">
        <v>50</v>
      </c>
      <c r="H372" s="42"/>
      <c r="I372" s="42" t="s">
        <v>1034</v>
      </c>
      <c r="J372" s="42" t="s">
        <v>1003</v>
      </c>
      <c r="K372" s="42"/>
      <c r="L372" s="42"/>
      <c r="M372" s="42"/>
      <c r="N372" t="str">
        <f>VLOOKUP(C372,CU_ARS_2025_WOF_F2!$A$2:$K$673,2,FALSE)</f>
        <v>CU_ARS_2025_WOF_F2_2_plant_29</v>
      </c>
      <c r="O372" t="str">
        <f>VLOOKUP(C372,CU_ARS_2025_WOF_F2!$A$2:$K$673,2,FALSE)</f>
        <v>CU_ARS_2025_WOF_F2_2_plant_29</v>
      </c>
      <c r="P372" t="str">
        <f>VLOOKUP(C372,CU_ARS_2025_WOF_F2!$A$2:$K$673,3,FALSE)</f>
        <v>CU_ARS_2025_WOF_F2_2</v>
      </c>
      <c r="Q372" t="str">
        <f>VLOOKUP(C372,CU_ARS_2025_WOF_F2!$A$2:$K$673,4,FALSE)</f>
        <v>CU_ARS_2025_WOF_cross_45</v>
      </c>
      <c r="R372">
        <f>VLOOKUP(C372,CU_ARS_2025_WOF_F2!$A$2:$K$673,5,FALSE)</f>
        <v>2</v>
      </c>
      <c r="S372">
        <f>VLOOKUP(C372,CU_ARS_2025_WOF_F2!$A$2:$K$673,6,FALSE)</f>
        <v>1</v>
      </c>
      <c r="T372">
        <f>VLOOKUP(C372,CU_ARS_2025_WOF_F2!$A$2:$K$673,7,FALSE)</f>
        <v>0</v>
      </c>
      <c r="U372">
        <f>VLOOKUP(C372,CU_ARS_2025_WOF_F2!$A$2:$K$673,8,FALSE)</f>
        <v>1</v>
      </c>
      <c r="V372">
        <f>VLOOKUP(C372,CU_ARS_2025_WOF_F2!$A$2:$K$673,9,FALSE)</f>
        <v>0</v>
      </c>
      <c r="W372">
        <f>VLOOKUP(C372,CU_ARS_2025_WOF_F2!$A$2:$K$673,10,FALSE)</f>
        <v>0</v>
      </c>
      <c r="X372">
        <f>VLOOKUP(C372,CU_ARS_2025_WOF_F2!$A$2:$K$673,11,FALSE)</f>
        <v>29</v>
      </c>
      <c r="Y372" t="str">
        <f>VLOOKUP(Q372,cross_pedigree!$A$2:$B$23,2,FALSE)</f>
        <v>NC20-4526/AURORA</v>
      </c>
    </row>
    <row r="373" spans="1:25" ht="18">
      <c r="A373" s="21" t="s">
        <v>15</v>
      </c>
      <c r="B373" s="21" t="s">
        <v>16</v>
      </c>
      <c r="C373" s="22">
        <v>753518</v>
      </c>
      <c r="D373" s="23">
        <v>4</v>
      </c>
      <c r="E373" s="24" t="str">
        <f t="shared" si="5"/>
        <v>CU_ARS_2025_WOF_F2_2_plant_30</v>
      </c>
      <c r="F373" s="21" t="s">
        <v>51</v>
      </c>
      <c r="G373" s="44" t="s">
        <v>52</v>
      </c>
      <c r="H373" s="42"/>
      <c r="I373" s="42" t="s">
        <v>1034</v>
      </c>
      <c r="J373" s="42" t="s">
        <v>1003</v>
      </c>
      <c r="K373" s="42"/>
      <c r="L373" s="42"/>
      <c r="M373" s="42"/>
      <c r="N373" t="str">
        <f>VLOOKUP(C373,CU_ARS_2025_WOF_F2!$A$2:$K$673,2,FALSE)</f>
        <v>CU_ARS_2025_WOF_F2_2_plant_30</v>
      </c>
      <c r="O373" t="str">
        <f>VLOOKUP(C373,CU_ARS_2025_WOF_F2!$A$2:$K$673,2,FALSE)</f>
        <v>CU_ARS_2025_WOF_F2_2_plant_30</v>
      </c>
      <c r="P373" t="str">
        <f>VLOOKUP(C373,CU_ARS_2025_WOF_F2!$A$2:$K$673,3,FALSE)</f>
        <v>CU_ARS_2025_WOF_F2_2</v>
      </c>
      <c r="Q373" t="str">
        <f>VLOOKUP(C373,CU_ARS_2025_WOF_F2!$A$2:$K$673,4,FALSE)</f>
        <v>CU_ARS_2025_WOF_cross_45</v>
      </c>
      <c r="R373">
        <f>VLOOKUP(C373,CU_ARS_2025_WOF_F2!$A$2:$K$673,5,FALSE)</f>
        <v>2</v>
      </c>
      <c r="S373">
        <f>VLOOKUP(C373,CU_ARS_2025_WOF_F2!$A$2:$K$673,6,FALSE)</f>
        <v>1</v>
      </c>
      <c r="T373">
        <f>VLOOKUP(C373,CU_ARS_2025_WOF_F2!$A$2:$K$673,7,FALSE)</f>
        <v>0</v>
      </c>
      <c r="U373">
        <f>VLOOKUP(C373,CU_ARS_2025_WOF_F2!$A$2:$K$673,8,FALSE)</f>
        <v>1</v>
      </c>
      <c r="V373">
        <f>VLOOKUP(C373,CU_ARS_2025_WOF_F2!$A$2:$K$673,9,FALSE)</f>
        <v>0</v>
      </c>
      <c r="W373">
        <f>VLOOKUP(C373,CU_ARS_2025_WOF_F2!$A$2:$K$673,10,FALSE)</f>
        <v>0</v>
      </c>
      <c r="X373">
        <f>VLOOKUP(C373,CU_ARS_2025_WOF_F2!$A$2:$K$673,11,FALSE)</f>
        <v>30</v>
      </c>
      <c r="Y373" t="str">
        <f>VLOOKUP(Q373,cross_pedigree!$A$2:$B$23,2,FALSE)</f>
        <v>NC20-4526/AURORA</v>
      </c>
    </row>
    <row r="374" spans="1:25" ht="18">
      <c r="A374" s="21" t="s">
        <v>15</v>
      </c>
      <c r="B374" s="21" t="s">
        <v>16</v>
      </c>
      <c r="C374" s="22">
        <v>753989</v>
      </c>
      <c r="D374" s="23">
        <v>4</v>
      </c>
      <c r="E374" s="24" t="str">
        <f t="shared" si="5"/>
        <v>CU_ARS_2025_WOF_F2_5_plant_58</v>
      </c>
      <c r="F374" s="21" t="s">
        <v>95</v>
      </c>
      <c r="G374" s="44" t="s">
        <v>212</v>
      </c>
      <c r="H374" s="42"/>
      <c r="I374" s="42" t="s">
        <v>1035</v>
      </c>
      <c r="J374" s="42" t="s">
        <v>1003</v>
      </c>
      <c r="K374" s="42"/>
      <c r="L374" s="42"/>
      <c r="M374" s="42"/>
      <c r="N374" t="str">
        <f>VLOOKUP(C374,CU_ARS_2025_WOF_F2!$A$2:$K$673,2,FALSE)</f>
        <v>CU_ARS_2025_WOF_F2_5_plant_58</v>
      </c>
      <c r="O374" t="str">
        <f>VLOOKUP(C374,CU_ARS_2025_WOF_F2!$A$2:$K$673,2,FALSE)</f>
        <v>CU_ARS_2025_WOF_F2_5_plant_58</v>
      </c>
      <c r="P374" t="str">
        <f>VLOOKUP(C374,CU_ARS_2025_WOF_F2!$A$2:$K$673,3,FALSE)</f>
        <v>CU_ARS_2025_WOF_F2_5</v>
      </c>
      <c r="Q374" t="str">
        <f>VLOOKUP(C374,CU_ARS_2025_WOF_F2!$A$2:$K$673,4,FALSE)</f>
        <v>CU_ARS_2025_WOF_cross_54</v>
      </c>
      <c r="R374">
        <f>VLOOKUP(C374,CU_ARS_2025_WOF_F2!$A$2:$K$673,5,FALSE)</f>
        <v>5</v>
      </c>
      <c r="S374">
        <f>VLOOKUP(C374,CU_ARS_2025_WOF_F2!$A$2:$K$673,6,FALSE)</f>
        <v>1</v>
      </c>
      <c r="T374">
        <f>VLOOKUP(C374,CU_ARS_2025_WOF_F2!$A$2:$K$673,7,FALSE)</f>
        <v>0</v>
      </c>
      <c r="U374">
        <f>VLOOKUP(C374,CU_ARS_2025_WOF_F2!$A$2:$K$673,8,FALSE)</f>
        <v>1</v>
      </c>
      <c r="V374">
        <f>VLOOKUP(C374,CU_ARS_2025_WOF_F2!$A$2:$K$673,9,FALSE)</f>
        <v>0</v>
      </c>
      <c r="W374">
        <f>VLOOKUP(C374,CU_ARS_2025_WOF_F2!$A$2:$K$673,10,FALSE)</f>
        <v>0</v>
      </c>
      <c r="X374">
        <f>VLOOKUP(C374,CU_ARS_2025_WOF_F2!$A$2:$K$673,11,FALSE)</f>
        <v>58</v>
      </c>
      <c r="Y374" t="str">
        <f>VLOOKUP(Q374,cross_pedigree!$A$2:$B$23,2,FALSE)</f>
        <v>Gerard 227/NF13-4126-4_3</v>
      </c>
    </row>
    <row r="375" spans="1:25" ht="18">
      <c r="A375" s="21" t="s">
        <v>15</v>
      </c>
      <c r="B375" s="21" t="s">
        <v>16</v>
      </c>
      <c r="C375" s="22">
        <v>753519</v>
      </c>
      <c r="D375" s="23">
        <v>4</v>
      </c>
      <c r="E375" s="24" t="str">
        <f t="shared" si="5"/>
        <v>CU_ARS_2025_WOF_F2_2_plant_31</v>
      </c>
      <c r="F375" s="21" t="s">
        <v>53</v>
      </c>
      <c r="G375" s="44" t="s">
        <v>54</v>
      </c>
      <c r="H375" s="42"/>
      <c r="I375" s="42" t="s">
        <v>1034</v>
      </c>
      <c r="J375" s="42" t="s">
        <v>1003</v>
      </c>
      <c r="K375" s="42"/>
      <c r="L375" s="42"/>
      <c r="M375" s="42"/>
      <c r="N375" t="str">
        <f>VLOOKUP(C375,CU_ARS_2025_WOF_F2!$A$2:$K$673,2,FALSE)</f>
        <v>CU_ARS_2025_WOF_F2_2_plant_31</v>
      </c>
      <c r="O375" t="str">
        <f>VLOOKUP(C375,CU_ARS_2025_WOF_F2!$A$2:$K$673,2,FALSE)</f>
        <v>CU_ARS_2025_WOF_F2_2_plant_31</v>
      </c>
      <c r="P375" t="str">
        <f>VLOOKUP(C375,CU_ARS_2025_WOF_F2!$A$2:$K$673,3,FALSE)</f>
        <v>CU_ARS_2025_WOF_F2_2</v>
      </c>
      <c r="Q375" t="str">
        <f>VLOOKUP(C375,CU_ARS_2025_WOF_F2!$A$2:$K$673,4,FALSE)</f>
        <v>CU_ARS_2025_WOF_cross_45</v>
      </c>
      <c r="R375">
        <f>VLOOKUP(C375,CU_ARS_2025_WOF_F2!$A$2:$K$673,5,FALSE)</f>
        <v>2</v>
      </c>
      <c r="S375">
        <f>VLOOKUP(C375,CU_ARS_2025_WOF_F2!$A$2:$K$673,6,FALSE)</f>
        <v>1</v>
      </c>
      <c r="T375">
        <f>VLOOKUP(C375,CU_ARS_2025_WOF_F2!$A$2:$K$673,7,FALSE)</f>
        <v>0</v>
      </c>
      <c r="U375">
        <f>VLOOKUP(C375,CU_ARS_2025_WOF_F2!$A$2:$K$673,8,FALSE)</f>
        <v>1</v>
      </c>
      <c r="V375">
        <f>VLOOKUP(C375,CU_ARS_2025_WOF_F2!$A$2:$K$673,9,FALSE)</f>
        <v>0</v>
      </c>
      <c r="W375">
        <f>VLOOKUP(C375,CU_ARS_2025_WOF_F2!$A$2:$K$673,10,FALSE)</f>
        <v>0</v>
      </c>
      <c r="X375">
        <f>VLOOKUP(C375,CU_ARS_2025_WOF_F2!$A$2:$K$673,11,FALSE)</f>
        <v>31</v>
      </c>
      <c r="Y375" t="str">
        <f>VLOOKUP(Q375,cross_pedigree!$A$2:$B$23,2,FALSE)</f>
        <v>NC20-4526/AURORA</v>
      </c>
    </row>
    <row r="376" spans="1:25" ht="18">
      <c r="A376" s="21" t="s">
        <v>15</v>
      </c>
      <c r="B376" s="21" t="s">
        <v>16</v>
      </c>
      <c r="C376" s="22">
        <v>753520</v>
      </c>
      <c r="D376" s="23">
        <v>4</v>
      </c>
      <c r="E376" s="24" t="str">
        <f t="shared" si="5"/>
        <v>CU_ARS_2025_WOF_F2_2_plant_32</v>
      </c>
      <c r="F376" s="21" t="s">
        <v>55</v>
      </c>
      <c r="G376" s="44" t="s">
        <v>56</v>
      </c>
      <c r="H376" s="42"/>
      <c r="I376" s="42" t="s">
        <v>1034</v>
      </c>
      <c r="J376" s="42" t="s">
        <v>1003</v>
      </c>
      <c r="K376" s="42"/>
      <c r="L376" s="42"/>
      <c r="M376" s="42"/>
      <c r="N376" t="str">
        <f>VLOOKUP(C376,CU_ARS_2025_WOF_F2!$A$2:$K$673,2,FALSE)</f>
        <v>CU_ARS_2025_WOF_F2_2_plant_32</v>
      </c>
      <c r="O376" t="str">
        <f>VLOOKUP(C376,CU_ARS_2025_WOF_F2!$A$2:$K$673,2,FALSE)</f>
        <v>CU_ARS_2025_WOF_F2_2_plant_32</v>
      </c>
      <c r="P376" t="str">
        <f>VLOOKUP(C376,CU_ARS_2025_WOF_F2!$A$2:$K$673,3,FALSE)</f>
        <v>CU_ARS_2025_WOF_F2_2</v>
      </c>
      <c r="Q376" t="str">
        <f>VLOOKUP(C376,CU_ARS_2025_WOF_F2!$A$2:$K$673,4,FALSE)</f>
        <v>CU_ARS_2025_WOF_cross_45</v>
      </c>
      <c r="R376">
        <f>VLOOKUP(C376,CU_ARS_2025_WOF_F2!$A$2:$K$673,5,FALSE)</f>
        <v>2</v>
      </c>
      <c r="S376">
        <f>VLOOKUP(C376,CU_ARS_2025_WOF_F2!$A$2:$K$673,6,FALSE)</f>
        <v>1</v>
      </c>
      <c r="T376">
        <f>VLOOKUP(C376,CU_ARS_2025_WOF_F2!$A$2:$K$673,7,FALSE)</f>
        <v>0</v>
      </c>
      <c r="U376">
        <f>VLOOKUP(C376,CU_ARS_2025_WOF_F2!$A$2:$K$673,8,FALSE)</f>
        <v>1</v>
      </c>
      <c r="V376">
        <f>VLOOKUP(C376,CU_ARS_2025_WOF_F2!$A$2:$K$673,9,FALSE)</f>
        <v>0</v>
      </c>
      <c r="W376">
        <f>VLOOKUP(C376,CU_ARS_2025_WOF_F2!$A$2:$K$673,10,FALSE)</f>
        <v>0</v>
      </c>
      <c r="X376">
        <f>VLOOKUP(C376,CU_ARS_2025_WOF_F2!$A$2:$K$673,11,FALSE)</f>
        <v>32</v>
      </c>
      <c r="Y376" t="str">
        <f>VLOOKUP(Q376,cross_pedigree!$A$2:$B$23,2,FALSE)</f>
        <v>NC20-4526/AURORA</v>
      </c>
    </row>
    <row r="377" spans="1:25" ht="18">
      <c r="A377" s="21" t="s">
        <v>15</v>
      </c>
      <c r="B377" s="21" t="s">
        <v>16</v>
      </c>
      <c r="C377" s="22">
        <v>753529</v>
      </c>
      <c r="D377" s="23">
        <v>4</v>
      </c>
      <c r="E377" s="24" t="str">
        <f t="shared" si="5"/>
        <v>CU_ARS_2025_WOF_F2_2_plant_41</v>
      </c>
      <c r="F377" s="21" t="s">
        <v>57</v>
      </c>
      <c r="G377" s="44" t="s">
        <v>58</v>
      </c>
      <c r="H377" s="42"/>
      <c r="I377" s="42" t="s">
        <v>1034</v>
      </c>
      <c r="J377" s="42" t="s">
        <v>1003</v>
      </c>
      <c r="K377" s="42"/>
      <c r="L377" s="42"/>
      <c r="M377" s="42"/>
      <c r="N377" t="str">
        <f>VLOOKUP(C377,CU_ARS_2025_WOF_F2!$A$2:$K$673,2,FALSE)</f>
        <v>CU_ARS_2025_WOF_F2_2_plant_41</v>
      </c>
      <c r="O377" t="str">
        <f>VLOOKUP(C377,CU_ARS_2025_WOF_F2!$A$2:$K$673,2,FALSE)</f>
        <v>CU_ARS_2025_WOF_F2_2_plant_41</v>
      </c>
      <c r="P377" t="str">
        <f>VLOOKUP(C377,CU_ARS_2025_WOF_F2!$A$2:$K$673,3,FALSE)</f>
        <v>CU_ARS_2025_WOF_F2_2</v>
      </c>
      <c r="Q377" t="str">
        <f>VLOOKUP(C377,CU_ARS_2025_WOF_F2!$A$2:$K$673,4,FALSE)</f>
        <v>CU_ARS_2025_WOF_cross_45</v>
      </c>
      <c r="R377">
        <f>VLOOKUP(C377,CU_ARS_2025_WOF_F2!$A$2:$K$673,5,FALSE)</f>
        <v>2</v>
      </c>
      <c r="S377">
        <f>VLOOKUP(C377,CU_ARS_2025_WOF_F2!$A$2:$K$673,6,FALSE)</f>
        <v>1</v>
      </c>
      <c r="T377">
        <f>VLOOKUP(C377,CU_ARS_2025_WOF_F2!$A$2:$K$673,7,FALSE)</f>
        <v>0</v>
      </c>
      <c r="U377">
        <f>VLOOKUP(C377,CU_ARS_2025_WOF_F2!$A$2:$K$673,8,FALSE)</f>
        <v>1</v>
      </c>
      <c r="V377">
        <f>VLOOKUP(C377,CU_ARS_2025_WOF_F2!$A$2:$K$673,9,FALSE)</f>
        <v>0</v>
      </c>
      <c r="W377">
        <f>VLOOKUP(C377,CU_ARS_2025_WOF_F2!$A$2:$K$673,10,FALSE)</f>
        <v>0</v>
      </c>
      <c r="X377">
        <f>VLOOKUP(C377,CU_ARS_2025_WOF_F2!$A$2:$K$673,11,FALSE)</f>
        <v>41</v>
      </c>
      <c r="Y377" t="str">
        <f>VLOOKUP(Q377,cross_pedigree!$A$2:$B$23,2,FALSE)</f>
        <v>NC20-4526/AURORA</v>
      </c>
    </row>
    <row r="378" spans="1:25" ht="18">
      <c r="A378" s="21" t="s">
        <v>15</v>
      </c>
      <c r="B378" s="21" t="s">
        <v>16</v>
      </c>
      <c r="C378" s="22">
        <v>753530</v>
      </c>
      <c r="D378" s="23">
        <v>4</v>
      </c>
      <c r="E378" s="24" t="str">
        <f t="shared" si="5"/>
        <v>CU_ARS_2025_WOF_F2_2_plant_42</v>
      </c>
      <c r="F378" s="21" t="s">
        <v>59</v>
      </c>
      <c r="G378" s="44" t="s">
        <v>60</v>
      </c>
      <c r="H378" s="42"/>
      <c r="I378" s="42" t="s">
        <v>1034</v>
      </c>
      <c r="J378" s="42" t="s">
        <v>1003</v>
      </c>
      <c r="K378" s="42"/>
      <c r="L378" s="42"/>
      <c r="M378" s="42"/>
      <c r="N378" t="str">
        <f>VLOOKUP(C378,CU_ARS_2025_WOF_F2!$A$2:$K$673,2,FALSE)</f>
        <v>CU_ARS_2025_WOF_F2_2_plant_42</v>
      </c>
      <c r="O378" t="str">
        <f>VLOOKUP(C378,CU_ARS_2025_WOF_F2!$A$2:$K$673,2,FALSE)</f>
        <v>CU_ARS_2025_WOF_F2_2_plant_42</v>
      </c>
      <c r="P378" t="str">
        <f>VLOOKUP(C378,CU_ARS_2025_WOF_F2!$A$2:$K$673,3,FALSE)</f>
        <v>CU_ARS_2025_WOF_F2_2</v>
      </c>
      <c r="Q378" t="str">
        <f>VLOOKUP(C378,CU_ARS_2025_WOF_F2!$A$2:$K$673,4,FALSE)</f>
        <v>CU_ARS_2025_WOF_cross_45</v>
      </c>
      <c r="R378">
        <f>VLOOKUP(C378,CU_ARS_2025_WOF_F2!$A$2:$K$673,5,FALSE)</f>
        <v>2</v>
      </c>
      <c r="S378">
        <f>VLOOKUP(C378,CU_ARS_2025_WOF_F2!$A$2:$K$673,6,FALSE)</f>
        <v>1</v>
      </c>
      <c r="T378">
        <f>VLOOKUP(C378,CU_ARS_2025_WOF_F2!$A$2:$K$673,7,FALSE)</f>
        <v>0</v>
      </c>
      <c r="U378">
        <f>VLOOKUP(C378,CU_ARS_2025_WOF_F2!$A$2:$K$673,8,FALSE)</f>
        <v>1</v>
      </c>
      <c r="V378">
        <f>VLOOKUP(C378,CU_ARS_2025_WOF_F2!$A$2:$K$673,9,FALSE)</f>
        <v>0</v>
      </c>
      <c r="W378">
        <f>VLOOKUP(C378,CU_ARS_2025_WOF_F2!$A$2:$K$673,10,FALSE)</f>
        <v>0</v>
      </c>
      <c r="X378">
        <f>VLOOKUP(C378,CU_ARS_2025_WOF_F2!$A$2:$K$673,11,FALSE)</f>
        <v>42</v>
      </c>
      <c r="Y378" t="str">
        <f>VLOOKUP(Q378,cross_pedigree!$A$2:$B$23,2,FALSE)</f>
        <v>NC20-4526/AURORA</v>
      </c>
    </row>
    <row r="379" spans="1:25" ht="18">
      <c r="A379" s="21" t="s">
        <v>15</v>
      </c>
      <c r="B379" s="21" t="s">
        <v>16</v>
      </c>
      <c r="C379" s="22">
        <v>753531</v>
      </c>
      <c r="D379" s="23">
        <v>4</v>
      </c>
      <c r="E379" s="24" t="str">
        <f t="shared" si="5"/>
        <v>CU_ARS_2025_WOF_F2_2_plant_43</v>
      </c>
      <c r="F379" s="21" t="s">
        <v>61</v>
      </c>
      <c r="G379" s="44" t="s">
        <v>62</v>
      </c>
      <c r="H379" s="42"/>
      <c r="I379" s="42" t="s">
        <v>1034</v>
      </c>
      <c r="J379" s="42" t="s">
        <v>1003</v>
      </c>
      <c r="K379" s="42"/>
      <c r="L379" s="42"/>
      <c r="M379" s="42"/>
      <c r="N379" t="str">
        <f>VLOOKUP(C379,CU_ARS_2025_WOF_F2!$A$2:$K$673,2,FALSE)</f>
        <v>CU_ARS_2025_WOF_F2_2_plant_43</v>
      </c>
      <c r="O379" t="str">
        <f>VLOOKUP(C379,CU_ARS_2025_WOF_F2!$A$2:$K$673,2,FALSE)</f>
        <v>CU_ARS_2025_WOF_F2_2_plant_43</v>
      </c>
      <c r="P379" t="str">
        <f>VLOOKUP(C379,CU_ARS_2025_WOF_F2!$A$2:$K$673,3,FALSE)</f>
        <v>CU_ARS_2025_WOF_F2_2</v>
      </c>
      <c r="Q379" t="str">
        <f>VLOOKUP(C379,CU_ARS_2025_WOF_F2!$A$2:$K$673,4,FALSE)</f>
        <v>CU_ARS_2025_WOF_cross_45</v>
      </c>
      <c r="R379">
        <f>VLOOKUP(C379,CU_ARS_2025_WOF_F2!$A$2:$K$673,5,FALSE)</f>
        <v>2</v>
      </c>
      <c r="S379">
        <f>VLOOKUP(C379,CU_ARS_2025_WOF_F2!$A$2:$K$673,6,FALSE)</f>
        <v>1</v>
      </c>
      <c r="T379">
        <f>VLOOKUP(C379,CU_ARS_2025_WOF_F2!$A$2:$K$673,7,FALSE)</f>
        <v>0</v>
      </c>
      <c r="U379">
        <f>VLOOKUP(C379,CU_ARS_2025_WOF_F2!$A$2:$K$673,8,FALSE)</f>
        <v>1</v>
      </c>
      <c r="V379">
        <f>VLOOKUP(C379,CU_ARS_2025_WOF_F2!$A$2:$K$673,9,FALSE)</f>
        <v>0</v>
      </c>
      <c r="W379">
        <f>VLOOKUP(C379,CU_ARS_2025_WOF_F2!$A$2:$K$673,10,FALSE)</f>
        <v>0</v>
      </c>
      <c r="X379">
        <f>VLOOKUP(C379,CU_ARS_2025_WOF_F2!$A$2:$K$673,11,FALSE)</f>
        <v>43</v>
      </c>
      <c r="Y379" t="str">
        <f>VLOOKUP(Q379,cross_pedigree!$A$2:$B$23,2,FALSE)</f>
        <v>NC20-4526/AURORA</v>
      </c>
    </row>
    <row r="380" spans="1:25" ht="18">
      <c r="A380" s="21" t="s">
        <v>15</v>
      </c>
      <c r="B380" s="21" t="s">
        <v>16</v>
      </c>
      <c r="C380" s="22">
        <v>753532</v>
      </c>
      <c r="D380" s="23">
        <v>4</v>
      </c>
      <c r="E380" s="24" t="str">
        <f t="shared" si="5"/>
        <v>CU_ARS_2025_WOF_F2_2_plant_44</v>
      </c>
      <c r="F380" s="21" t="s">
        <v>63</v>
      </c>
      <c r="G380" s="44" t="s">
        <v>64</v>
      </c>
      <c r="H380" s="42"/>
      <c r="I380" s="42" t="s">
        <v>1034</v>
      </c>
      <c r="J380" s="42" t="s">
        <v>1003</v>
      </c>
      <c r="K380" s="42"/>
      <c r="L380" s="42"/>
      <c r="M380" s="42"/>
      <c r="N380" t="str">
        <f>VLOOKUP(C380,CU_ARS_2025_WOF_F2!$A$2:$K$673,2,FALSE)</f>
        <v>CU_ARS_2025_WOF_F2_2_plant_44</v>
      </c>
      <c r="O380" t="str">
        <f>VLOOKUP(C380,CU_ARS_2025_WOF_F2!$A$2:$K$673,2,FALSE)</f>
        <v>CU_ARS_2025_WOF_F2_2_plant_44</v>
      </c>
      <c r="P380" t="str">
        <f>VLOOKUP(C380,CU_ARS_2025_WOF_F2!$A$2:$K$673,3,FALSE)</f>
        <v>CU_ARS_2025_WOF_F2_2</v>
      </c>
      <c r="Q380" t="str">
        <f>VLOOKUP(C380,CU_ARS_2025_WOF_F2!$A$2:$K$673,4,FALSE)</f>
        <v>CU_ARS_2025_WOF_cross_45</v>
      </c>
      <c r="R380">
        <f>VLOOKUP(C380,CU_ARS_2025_WOF_F2!$A$2:$K$673,5,FALSE)</f>
        <v>2</v>
      </c>
      <c r="S380">
        <f>VLOOKUP(C380,CU_ARS_2025_WOF_F2!$A$2:$K$673,6,FALSE)</f>
        <v>1</v>
      </c>
      <c r="T380">
        <f>VLOOKUP(C380,CU_ARS_2025_WOF_F2!$A$2:$K$673,7,FALSE)</f>
        <v>0</v>
      </c>
      <c r="U380">
        <f>VLOOKUP(C380,CU_ARS_2025_WOF_F2!$A$2:$K$673,8,FALSE)</f>
        <v>1</v>
      </c>
      <c r="V380">
        <f>VLOOKUP(C380,CU_ARS_2025_WOF_F2!$A$2:$K$673,9,FALSE)</f>
        <v>0</v>
      </c>
      <c r="W380">
        <f>VLOOKUP(C380,CU_ARS_2025_WOF_F2!$A$2:$K$673,10,FALSE)</f>
        <v>0</v>
      </c>
      <c r="X380">
        <f>VLOOKUP(C380,CU_ARS_2025_WOF_F2!$A$2:$K$673,11,FALSE)</f>
        <v>44</v>
      </c>
      <c r="Y380" t="str">
        <f>VLOOKUP(Q380,cross_pedigree!$A$2:$B$23,2,FALSE)</f>
        <v>NC20-4526/AURORA</v>
      </c>
    </row>
    <row r="381" spans="1:25" ht="18">
      <c r="A381" s="21" t="s">
        <v>15</v>
      </c>
      <c r="B381" s="21" t="s">
        <v>16</v>
      </c>
      <c r="C381" s="22">
        <v>753533</v>
      </c>
      <c r="D381" s="23">
        <v>4</v>
      </c>
      <c r="E381" s="24" t="str">
        <f t="shared" si="5"/>
        <v>CU_ARS_2025_WOF_F2_2_plant_45</v>
      </c>
      <c r="F381" s="21" t="s">
        <v>65</v>
      </c>
      <c r="G381" s="44" t="s">
        <v>66</v>
      </c>
      <c r="H381" s="42"/>
      <c r="I381" s="42" t="s">
        <v>1034</v>
      </c>
      <c r="J381" s="42" t="s">
        <v>1003</v>
      </c>
      <c r="K381" s="42"/>
      <c r="L381" s="42"/>
      <c r="M381" s="42"/>
      <c r="N381" t="str">
        <f>VLOOKUP(C381,CU_ARS_2025_WOF_F2!$A$2:$K$673,2,FALSE)</f>
        <v>CU_ARS_2025_WOF_F2_2_plant_45</v>
      </c>
      <c r="O381" t="str">
        <f>VLOOKUP(C381,CU_ARS_2025_WOF_F2!$A$2:$K$673,2,FALSE)</f>
        <v>CU_ARS_2025_WOF_F2_2_plant_45</v>
      </c>
      <c r="P381" t="str">
        <f>VLOOKUP(C381,CU_ARS_2025_WOF_F2!$A$2:$K$673,3,FALSE)</f>
        <v>CU_ARS_2025_WOF_F2_2</v>
      </c>
      <c r="Q381" t="str">
        <f>VLOOKUP(C381,CU_ARS_2025_WOF_F2!$A$2:$K$673,4,FALSE)</f>
        <v>CU_ARS_2025_WOF_cross_45</v>
      </c>
      <c r="R381">
        <f>VLOOKUP(C381,CU_ARS_2025_WOF_F2!$A$2:$K$673,5,FALSE)</f>
        <v>2</v>
      </c>
      <c r="S381">
        <f>VLOOKUP(C381,CU_ARS_2025_WOF_F2!$A$2:$K$673,6,FALSE)</f>
        <v>1</v>
      </c>
      <c r="T381">
        <f>VLOOKUP(C381,CU_ARS_2025_WOF_F2!$A$2:$K$673,7,FALSE)</f>
        <v>0</v>
      </c>
      <c r="U381">
        <f>VLOOKUP(C381,CU_ARS_2025_WOF_F2!$A$2:$K$673,8,FALSE)</f>
        <v>1</v>
      </c>
      <c r="V381">
        <f>VLOOKUP(C381,CU_ARS_2025_WOF_F2!$A$2:$K$673,9,FALSE)</f>
        <v>0</v>
      </c>
      <c r="W381">
        <f>VLOOKUP(C381,CU_ARS_2025_WOF_F2!$A$2:$K$673,10,FALSE)</f>
        <v>0</v>
      </c>
      <c r="X381">
        <f>VLOOKUP(C381,CU_ARS_2025_WOF_F2!$A$2:$K$673,11,FALSE)</f>
        <v>45</v>
      </c>
      <c r="Y381" t="str">
        <f>VLOOKUP(Q381,cross_pedigree!$A$2:$B$23,2,FALSE)</f>
        <v>NC20-4526/AURORA</v>
      </c>
    </row>
    <row r="382" spans="1:25" ht="18">
      <c r="A382" s="21" t="s">
        <v>15</v>
      </c>
      <c r="B382" s="21" t="s">
        <v>16</v>
      </c>
      <c r="C382" s="22">
        <v>754015</v>
      </c>
      <c r="D382" s="23">
        <v>4</v>
      </c>
      <c r="E382" s="24" t="str">
        <f t="shared" si="5"/>
        <v>CU_ARS_2025_WOF_F2_3_plant_1</v>
      </c>
      <c r="F382" s="21" t="s">
        <v>67</v>
      </c>
      <c r="G382" s="44" t="s">
        <v>68</v>
      </c>
      <c r="H382" s="42"/>
      <c r="I382" s="42" t="s">
        <v>1047</v>
      </c>
      <c r="J382" s="42" t="s">
        <v>1003</v>
      </c>
      <c r="K382" s="42"/>
      <c r="L382" s="42"/>
      <c r="M382" s="42"/>
      <c r="N382" t="str">
        <f>VLOOKUP(C382,CU_ARS_2025_WOF_F2!$A$2:$K$673,2,FALSE)</f>
        <v>CU_ARS_2025_WOF_F2_3_plant_1</v>
      </c>
      <c r="O382" t="str">
        <f>VLOOKUP(C382,CU_ARS_2025_WOF_F2!$A$2:$K$673,2,FALSE)</f>
        <v>CU_ARS_2025_WOF_F2_3_plant_1</v>
      </c>
      <c r="P382" t="str">
        <f>VLOOKUP(C382,CU_ARS_2025_WOF_F2!$A$2:$K$673,3,FALSE)</f>
        <v>CU_ARS_2025_WOF_F2_3</v>
      </c>
      <c r="Q382" t="str">
        <f>VLOOKUP(C382,CU_ARS_2025_WOF_F2!$A$2:$K$673,4,FALSE)</f>
        <v>CU_ARS_2025_WOF_cross_87</v>
      </c>
      <c r="R382">
        <f>VLOOKUP(C382,CU_ARS_2025_WOF_F2!$A$2:$K$673,5,FALSE)</f>
        <v>3</v>
      </c>
      <c r="S382">
        <f>VLOOKUP(C382,CU_ARS_2025_WOF_F2!$A$2:$K$673,6,FALSE)</f>
        <v>1</v>
      </c>
      <c r="T382">
        <f>VLOOKUP(C382,CU_ARS_2025_WOF_F2!$A$2:$K$673,7,FALSE)</f>
        <v>0</v>
      </c>
      <c r="U382">
        <f>VLOOKUP(C382,CU_ARS_2025_WOF_F2!$A$2:$K$673,8,FALSE)</f>
        <v>1</v>
      </c>
      <c r="V382">
        <f>VLOOKUP(C382,CU_ARS_2025_WOF_F2!$A$2:$K$673,9,FALSE)</f>
        <v>0</v>
      </c>
      <c r="W382">
        <f>VLOOKUP(C382,CU_ARS_2025_WOF_F2!$A$2:$K$673,10,FALSE)</f>
        <v>0</v>
      </c>
      <c r="X382">
        <f>VLOOKUP(C382,CU_ARS_2025_WOF_F2!$A$2:$K$673,11,FALSE)</f>
        <v>1</v>
      </c>
      <c r="Y382" t="str">
        <f>VLOOKUP(Q382,cross_pedigree!$A$2:$B$23,2,FALSE)</f>
        <v>Gerard 227/PA8014-840</v>
      </c>
    </row>
    <row r="383" spans="1:25" ht="18">
      <c r="A383" s="21" t="s">
        <v>15</v>
      </c>
      <c r="B383" s="21" t="s">
        <v>16</v>
      </c>
      <c r="C383" s="22">
        <v>753996</v>
      </c>
      <c r="D383" s="23">
        <v>4</v>
      </c>
      <c r="E383" s="24" t="str">
        <f t="shared" si="5"/>
        <v>CU_ARS_2025_WOF_F2_5_plant_65</v>
      </c>
      <c r="F383" s="21" t="s">
        <v>96</v>
      </c>
      <c r="G383" s="44" t="s">
        <v>213</v>
      </c>
      <c r="H383" s="42"/>
      <c r="I383" s="42" t="s">
        <v>1035</v>
      </c>
      <c r="J383" s="42" t="s">
        <v>1003</v>
      </c>
      <c r="K383" s="42"/>
      <c r="L383" s="42"/>
      <c r="M383" s="42"/>
      <c r="N383" t="str">
        <f>VLOOKUP(C383,CU_ARS_2025_WOF_F2!$A$2:$K$673,2,FALSE)</f>
        <v>CU_ARS_2025_WOF_F2_5_plant_65</v>
      </c>
      <c r="O383" t="str">
        <f>VLOOKUP(C383,CU_ARS_2025_WOF_F2!$A$2:$K$673,2,FALSE)</f>
        <v>CU_ARS_2025_WOF_F2_5_plant_65</v>
      </c>
      <c r="P383" t="str">
        <f>VLOOKUP(C383,CU_ARS_2025_WOF_F2!$A$2:$K$673,3,FALSE)</f>
        <v>CU_ARS_2025_WOF_F2_5</v>
      </c>
      <c r="Q383" t="str">
        <f>VLOOKUP(C383,CU_ARS_2025_WOF_F2!$A$2:$K$673,4,FALSE)</f>
        <v>CU_ARS_2025_WOF_cross_54</v>
      </c>
      <c r="R383">
        <f>VLOOKUP(C383,CU_ARS_2025_WOF_F2!$A$2:$K$673,5,FALSE)</f>
        <v>5</v>
      </c>
      <c r="S383">
        <f>VLOOKUP(C383,CU_ARS_2025_WOF_F2!$A$2:$K$673,6,FALSE)</f>
        <v>1</v>
      </c>
      <c r="T383">
        <f>VLOOKUP(C383,CU_ARS_2025_WOF_F2!$A$2:$K$673,7,FALSE)</f>
        <v>0</v>
      </c>
      <c r="U383">
        <f>VLOOKUP(C383,CU_ARS_2025_WOF_F2!$A$2:$K$673,8,FALSE)</f>
        <v>1</v>
      </c>
      <c r="V383">
        <f>VLOOKUP(C383,CU_ARS_2025_WOF_F2!$A$2:$K$673,9,FALSE)</f>
        <v>0</v>
      </c>
      <c r="W383">
        <f>VLOOKUP(C383,CU_ARS_2025_WOF_F2!$A$2:$K$673,10,FALSE)</f>
        <v>0</v>
      </c>
      <c r="X383">
        <f>VLOOKUP(C383,CU_ARS_2025_WOF_F2!$A$2:$K$673,11,FALSE)</f>
        <v>65</v>
      </c>
      <c r="Y383" t="str">
        <f>VLOOKUP(Q383,cross_pedigree!$A$2:$B$23,2,FALSE)</f>
        <v>Gerard 227/NF13-4126-4_3</v>
      </c>
    </row>
    <row r="384" spans="1:25" ht="18">
      <c r="A384" s="21" t="s">
        <v>15</v>
      </c>
      <c r="B384" s="21" t="s">
        <v>16</v>
      </c>
      <c r="C384" s="22">
        <v>753997</v>
      </c>
      <c r="D384" s="23">
        <v>4</v>
      </c>
      <c r="E384" s="24" t="str">
        <f t="shared" si="5"/>
        <v>CU_ARS_2025_WOF_F2_5_plant_66</v>
      </c>
      <c r="F384" s="21" t="s">
        <v>97</v>
      </c>
      <c r="G384" s="44" t="s">
        <v>214</v>
      </c>
      <c r="H384" s="42"/>
      <c r="I384" s="42" t="s">
        <v>1035</v>
      </c>
      <c r="J384" s="42" t="s">
        <v>1003</v>
      </c>
      <c r="K384" s="42"/>
      <c r="L384" s="42"/>
      <c r="M384" s="42"/>
      <c r="N384" t="str">
        <f>VLOOKUP(C384,CU_ARS_2025_WOF_F2!$A$2:$K$673,2,FALSE)</f>
        <v>CU_ARS_2025_WOF_F2_5_plant_66</v>
      </c>
      <c r="O384" t="str">
        <f>VLOOKUP(C384,CU_ARS_2025_WOF_F2!$A$2:$K$673,2,FALSE)</f>
        <v>CU_ARS_2025_WOF_F2_5_plant_66</v>
      </c>
      <c r="P384" t="str">
        <f>VLOOKUP(C384,CU_ARS_2025_WOF_F2!$A$2:$K$673,3,FALSE)</f>
        <v>CU_ARS_2025_WOF_F2_5</v>
      </c>
      <c r="Q384" t="str">
        <f>VLOOKUP(C384,CU_ARS_2025_WOF_F2!$A$2:$K$673,4,FALSE)</f>
        <v>CU_ARS_2025_WOF_cross_54</v>
      </c>
      <c r="R384">
        <f>VLOOKUP(C384,CU_ARS_2025_WOF_F2!$A$2:$K$673,5,FALSE)</f>
        <v>5</v>
      </c>
      <c r="S384">
        <f>VLOOKUP(C384,CU_ARS_2025_WOF_F2!$A$2:$K$673,6,FALSE)</f>
        <v>1</v>
      </c>
      <c r="T384">
        <f>VLOOKUP(C384,CU_ARS_2025_WOF_F2!$A$2:$K$673,7,FALSE)</f>
        <v>0</v>
      </c>
      <c r="U384">
        <f>VLOOKUP(C384,CU_ARS_2025_WOF_F2!$A$2:$K$673,8,FALSE)</f>
        <v>1</v>
      </c>
      <c r="V384">
        <f>VLOOKUP(C384,CU_ARS_2025_WOF_F2!$A$2:$K$673,9,FALSE)</f>
        <v>0</v>
      </c>
      <c r="W384">
        <f>VLOOKUP(C384,CU_ARS_2025_WOF_F2!$A$2:$K$673,10,FALSE)</f>
        <v>0</v>
      </c>
      <c r="X384">
        <f>VLOOKUP(C384,CU_ARS_2025_WOF_F2!$A$2:$K$673,11,FALSE)</f>
        <v>66</v>
      </c>
      <c r="Y384" t="str">
        <f>VLOOKUP(Q384,cross_pedigree!$A$2:$B$23,2,FALSE)</f>
        <v>Gerard 227/NF13-4126-4_3</v>
      </c>
    </row>
    <row r="385" spans="1:25" ht="18">
      <c r="A385" s="34" t="s">
        <v>15</v>
      </c>
      <c r="B385" s="21" t="s">
        <v>16</v>
      </c>
      <c r="C385" s="29">
        <v>754016</v>
      </c>
      <c r="D385" s="23">
        <v>4</v>
      </c>
      <c r="E385" s="24" t="str">
        <f t="shared" si="5"/>
        <v>CU_ARS_2025_WOF_F2_3_plant_2</v>
      </c>
      <c r="F385" s="21" t="s">
        <v>47</v>
      </c>
      <c r="G385" s="44" t="s">
        <v>48</v>
      </c>
      <c r="H385" s="42"/>
      <c r="I385" s="42" t="s">
        <v>1047</v>
      </c>
      <c r="J385" s="42" t="s">
        <v>1003</v>
      </c>
      <c r="K385" s="42"/>
      <c r="L385" s="42"/>
      <c r="M385" s="42"/>
      <c r="N385" t="str">
        <f>VLOOKUP(C385,CU_ARS_2025_WOF_F2!$A$2:$K$673,2,FALSE)</f>
        <v>CU_ARS_2025_WOF_F2_3_plant_2</v>
      </c>
      <c r="O385" t="str">
        <f>VLOOKUP(C385,CU_ARS_2025_WOF_F2!$A$2:$K$673,2,FALSE)</f>
        <v>CU_ARS_2025_WOF_F2_3_plant_2</v>
      </c>
      <c r="P385" t="str">
        <f>VLOOKUP(C385,CU_ARS_2025_WOF_F2!$A$2:$K$673,3,FALSE)</f>
        <v>CU_ARS_2025_WOF_F2_3</v>
      </c>
      <c r="Q385" t="str">
        <f>VLOOKUP(C385,CU_ARS_2025_WOF_F2!$A$2:$K$673,4,FALSE)</f>
        <v>CU_ARS_2025_WOF_cross_87</v>
      </c>
      <c r="R385">
        <f>VLOOKUP(C385,CU_ARS_2025_WOF_F2!$A$2:$K$673,5,FALSE)</f>
        <v>3</v>
      </c>
      <c r="S385">
        <f>VLOOKUP(C385,CU_ARS_2025_WOF_F2!$A$2:$K$673,6,FALSE)</f>
        <v>1</v>
      </c>
      <c r="T385">
        <f>VLOOKUP(C385,CU_ARS_2025_WOF_F2!$A$2:$K$673,7,FALSE)</f>
        <v>0</v>
      </c>
      <c r="U385">
        <f>VLOOKUP(C385,CU_ARS_2025_WOF_F2!$A$2:$K$673,8,FALSE)</f>
        <v>1</v>
      </c>
      <c r="V385">
        <f>VLOOKUP(C385,CU_ARS_2025_WOF_F2!$A$2:$K$673,9,FALSE)</f>
        <v>0</v>
      </c>
      <c r="W385">
        <f>VLOOKUP(C385,CU_ARS_2025_WOF_F2!$A$2:$K$673,10,FALSE)</f>
        <v>0</v>
      </c>
      <c r="X385">
        <f>VLOOKUP(C385,CU_ARS_2025_WOF_F2!$A$2:$K$673,11,FALSE)</f>
        <v>2</v>
      </c>
      <c r="Y385" t="str">
        <f>VLOOKUP(Q385,cross_pedigree!$A$2:$B$23,2,FALSE)</f>
        <v>Gerard 227/PA8014-840</v>
      </c>
    </row>
    <row r="386" spans="1:25" ht="18">
      <c r="A386" s="21" t="s">
        <v>15</v>
      </c>
      <c r="B386" s="21" t="s">
        <v>16</v>
      </c>
      <c r="C386" s="22">
        <v>754002</v>
      </c>
      <c r="D386" s="23">
        <v>5</v>
      </c>
      <c r="E386" s="24" t="str">
        <f t="shared" si="5"/>
        <v>CU_ARS_2025_WOF_F2_5_plant_71</v>
      </c>
      <c r="F386" s="21" t="s">
        <v>100</v>
      </c>
      <c r="G386" s="44" t="s">
        <v>215</v>
      </c>
      <c r="H386" s="42"/>
      <c r="I386" s="42" t="s">
        <v>1035</v>
      </c>
      <c r="J386" s="42" t="s">
        <v>1003</v>
      </c>
      <c r="K386" s="42"/>
      <c r="L386" s="42"/>
      <c r="M386" s="42"/>
      <c r="N386" t="str">
        <f>VLOOKUP(C386,CU_ARS_2025_WOF_F2!$A$2:$K$673,2,FALSE)</f>
        <v>CU_ARS_2025_WOF_F2_5_plant_71</v>
      </c>
      <c r="O386" t="str">
        <f>VLOOKUP(C386,CU_ARS_2025_WOF_F2!$A$2:$K$673,2,FALSE)</f>
        <v>CU_ARS_2025_WOF_F2_5_plant_71</v>
      </c>
      <c r="P386" t="str">
        <f>VLOOKUP(C386,CU_ARS_2025_WOF_F2!$A$2:$K$673,3,FALSE)</f>
        <v>CU_ARS_2025_WOF_F2_5</v>
      </c>
      <c r="Q386" t="str">
        <f>VLOOKUP(C386,CU_ARS_2025_WOF_F2!$A$2:$K$673,4,FALSE)</f>
        <v>CU_ARS_2025_WOF_cross_54</v>
      </c>
      <c r="R386">
        <f>VLOOKUP(C386,CU_ARS_2025_WOF_F2!$A$2:$K$673,5,FALSE)</f>
        <v>5</v>
      </c>
      <c r="S386">
        <f>VLOOKUP(C386,CU_ARS_2025_WOF_F2!$A$2:$K$673,6,FALSE)</f>
        <v>1</v>
      </c>
      <c r="T386">
        <f>VLOOKUP(C386,CU_ARS_2025_WOF_F2!$A$2:$K$673,7,FALSE)</f>
        <v>0</v>
      </c>
      <c r="U386">
        <f>VLOOKUP(C386,CU_ARS_2025_WOF_F2!$A$2:$K$673,8,FALSE)</f>
        <v>1</v>
      </c>
      <c r="V386">
        <f>VLOOKUP(C386,CU_ARS_2025_WOF_F2!$A$2:$K$673,9,FALSE)</f>
        <v>0</v>
      </c>
      <c r="W386">
        <f>VLOOKUP(C386,CU_ARS_2025_WOF_F2!$A$2:$K$673,10,FALSE)</f>
        <v>0</v>
      </c>
      <c r="X386">
        <f>VLOOKUP(C386,CU_ARS_2025_WOF_F2!$A$2:$K$673,11,FALSE)</f>
        <v>71</v>
      </c>
      <c r="Y386" t="str">
        <f>VLOOKUP(Q386,cross_pedigree!$A$2:$B$23,2,FALSE)</f>
        <v>Gerard 227/NF13-4126-4_3</v>
      </c>
    </row>
    <row r="387" spans="1:25" ht="18">
      <c r="A387" s="21" t="s">
        <v>15</v>
      </c>
      <c r="B387" s="21" t="s">
        <v>16</v>
      </c>
      <c r="C387" s="22">
        <v>753994</v>
      </c>
      <c r="D387" s="23">
        <v>5</v>
      </c>
      <c r="E387" s="24" t="str">
        <f t="shared" ref="E387:E450" si="6">O387</f>
        <v>CU_ARS_2025_WOF_F2_5_plant_63</v>
      </c>
      <c r="F387" s="21" t="s">
        <v>102</v>
      </c>
      <c r="G387" s="44" t="s">
        <v>216</v>
      </c>
      <c r="H387" s="42"/>
      <c r="I387" s="42" t="s">
        <v>1035</v>
      </c>
      <c r="J387" s="42" t="s">
        <v>1003</v>
      </c>
      <c r="K387" s="42"/>
      <c r="L387" s="42"/>
      <c r="M387" s="42"/>
      <c r="N387" t="str">
        <f>VLOOKUP(C387,CU_ARS_2025_WOF_F2!$A$2:$K$673,2,FALSE)</f>
        <v>CU_ARS_2025_WOF_F2_5_plant_63</v>
      </c>
      <c r="O387" t="str">
        <f>VLOOKUP(C387,CU_ARS_2025_WOF_F2!$A$2:$K$673,2,FALSE)</f>
        <v>CU_ARS_2025_WOF_F2_5_plant_63</v>
      </c>
      <c r="P387" t="str">
        <f>VLOOKUP(C387,CU_ARS_2025_WOF_F2!$A$2:$K$673,3,FALSE)</f>
        <v>CU_ARS_2025_WOF_F2_5</v>
      </c>
      <c r="Q387" t="str">
        <f>VLOOKUP(C387,CU_ARS_2025_WOF_F2!$A$2:$K$673,4,FALSE)</f>
        <v>CU_ARS_2025_WOF_cross_54</v>
      </c>
      <c r="R387">
        <f>VLOOKUP(C387,CU_ARS_2025_WOF_F2!$A$2:$K$673,5,FALSE)</f>
        <v>5</v>
      </c>
      <c r="S387">
        <f>VLOOKUP(C387,CU_ARS_2025_WOF_F2!$A$2:$K$673,6,FALSE)</f>
        <v>1</v>
      </c>
      <c r="T387">
        <f>VLOOKUP(C387,CU_ARS_2025_WOF_F2!$A$2:$K$673,7,FALSE)</f>
        <v>0</v>
      </c>
      <c r="U387">
        <f>VLOOKUP(C387,CU_ARS_2025_WOF_F2!$A$2:$K$673,8,FALSE)</f>
        <v>1</v>
      </c>
      <c r="V387">
        <f>VLOOKUP(C387,CU_ARS_2025_WOF_F2!$A$2:$K$673,9,FALSE)</f>
        <v>0</v>
      </c>
      <c r="W387">
        <f>VLOOKUP(C387,CU_ARS_2025_WOF_F2!$A$2:$K$673,10,FALSE)</f>
        <v>0</v>
      </c>
      <c r="X387">
        <f>VLOOKUP(C387,CU_ARS_2025_WOF_F2!$A$2:$K$673,11,FALSE)</f>
        <v>63</v>
      </c>
      <c r="Y387" t="str">
        <f>VLOOKUP(Q387,cross_pedigree!$A$2:$B$23,2,FALSE)</f>
        <v>Gerard 227/NF13-4126-4_3</v>
      </c>
    </row>
    <row r="388" spans="1:25" ht="18">
      <c r="A388" s="21" t="s">
        <v>15</v>
      </c>
      <c r="B388" s="21" t="s">
        <v>16</v>
      </c>
      <c r="C388" s="22">
        <v>753995</v>
      </c>
      <c r="D388" s="23">
        <v>5</v>
      </c>
      <c r="E388" s="24" t="str">
        <f t="shared" si="6"/>
        <v>CU_ARS_2025_WOF_F2_5_plant_64</v>
      </c>
      <c r="F388" s="21" t="s">
        <v>104</v>
      </c>
      <c r="G388" s="44" t="s">
        <v>217</v>
      </c>
      <c r="H388" s="42"/>
      <c r="I388" s="42" t="s">
        <v>1035</v>
      </c>
      <c r="J388" s="42" t="s">
        <v>1003</v>
      </c>
      <c r="K388" s="42"/>
      <c r="L388" s="42"/>
      <c r="M388" s="42"/>
      <c r="N388" t="str">
        <f>VLOOKUP(C388,CU_ARS_2025_WOF_F2!$A$2:$K$673,2,FALSE)</f>
        <v>CU_ARS_2025_WOF_F2_5_plant_64</v>
      </c>
      <c r="O388" t="str">
        <f>VLOOKUP(C388,CU_ARS_2025_WOF_F2!$A$2:$K$673,2,FALSE)</f>
        <v>CU_ARS_2025_WOF_F2_5_plant_64</v>
      </c>
      <c r="P388" t="str">
        <f>VLOOKUP(C388,CU_ARS_2025_WOF_F2!$A$2:$K$673,3,FALSE)</f>
        <v>CU_ARS_2025_WOF_F2_5</v>
      </c>
      <c r="Q388" t="str">
        <f>VLOOKUP(C388,CU_ARS_2025_WOF_F2!$A$2:$K$673,4,FALSE)</f>
        <v>CU_ARS_2025_WOF_cross_54</v>
      </c>
      <c r="R388">
        <f>VLOOKUP(C388,CU_ARS_2025_WOF_F2!$A$2:$K$673,5,FALSE)</f>
        <v>5</v>
      </c>
      <c r="S388">
        <f>VLOOKUP(C388,CU_ARS_2025_WOF_F2!$A$2:$K$673,6,FALSE)</f>
        <v>1</v>
      </c>
      <c r="T388">
        <f>VLOOKUP(C388,CU_ARS_2025_WOF_F2!$A$2:$K$673,7,FALSE)</f>
        <v>0</v>
      </c>
      <c r="U388">
        <f>VLOOKUP(C388,CU_ARS_2025_WOF_F2!$A$2:$K$673,8,FALSE)</f>
        <v>1</v>
      </c>
      <c r="V388">
        <f>VLOOKUP(C388,CU_ARS_2025_WOF_F2!$A$2:$K$673,9,FALSE)</f>
        <v>0</v>
      </c>
      <c r="W388">
        <f>VLOOKUP(C388,CU_ARS_2025_WOF_F2!$A$2:$K$673,10,FALSE)</f>
        <v>0</v>
      </c>
      <c r="X388">
        <f>VLOOKUP(C388,CU_ARS_2025_WOF_F2!$A$2:$K$673,11,FALSE)</f>
        <v>64</v>
      </c>
      <c r="Y388" t="str">
        <f>VLOOKUP(Q388,cross_pedigree!$A$2:$B$23,2,FALSE)</f>
        <v>Gerard 227/NF13-4126-4_3</v>
      </c>
    </row>
    <row r="389" spans="1:25" ht="18">
      <c r="A389" s="21" t="s">
        <v>15</v>
      </c>
      <c r="B389" s="21" t="s">
        <v>16</v>
      </c>
      <c r="C389" s="22">
        <v>754017</v>
      </c>
      <c r="D389" s="23">
        <v>5</v>
      </c>
      <c r="E389" s="24" t="str">
        <f t="shared" si="6"/>
        <v>CU_ARS_2025_WOF_F2_3_plant_3</v>
      </c>
      <c r="F389" s="21" t="s">
        <v>69</v>
      </c>
      <c r="G389" s="44" t="s">
        <v>70</v>
      </c>
      <c r="H389" s="42"/>
      <c r="I389" s="42" t="s">
        <v>1047</v>
      </c>
      <c r="J389" s="42" t="s">
        <v>1003</v>
      </c>
      <c r="K389" s="42"/>
      <c r="L389" s="42"/>
      <c r="M389" s="42"/>
      <c r="N389" t="str">
        <f>VLOOKUP(C389,CU_ARS_2025_WOF_F2!$A$2:$K$673,2,FALSE)</f>
        <v>CU_ARS_2025_WOF_F2_3_plant_3</v>
      </c>
      <c r="O389" t="str">
        <f>VLOOKUP(C389,CU_ARS_2025_WOF_F2!$A$2:$K$673,2,FALSE)</f>
        <v>CU_ARS_2025_WOF_F2_3_plant_3</v>
      </c>
      <c r="P389" t="str">
        <f>VLOOKUP(C389,CU_ARS_2025_WOF_F2!$A$2:$K$673,3,FALSE)</f>
        <v>CU_ARS_2025_WOF_F2_3</v>
      </c>
      <c r="Q389" t="str">
        <f>VLOOKUP(C389,CU_ARS_2025_WOF_F2!$A$2:$K$673,4,FALSE)</f>
        <v>CU_ARS_2025_WOF_cross_87</v>
      </c>
      <c r="R389">
        <f>VLOOKUP(C389,CU_ARS_2025_WOF_F2!$A$2:$K$673,5,FALSE)</f>
        <v>3</v>
      </c>
      <c r="S389">
        <f>VLOOKUP(C389,CU_ARS_2025_WOF_F2!$A$2:$K$673,6,FALSE)</f>
        <v>1</v>
      </c>
      <c r="T389">
        <f>VLOOKUP(C389,CU_ARS_2025_WOF_F2!$A$2:$K$673,7,FALSE)</f>
        <v>0</v>
      </c>
      <c r="U389">
        <f>VLOOKUP(C389,CU_ARS_2025_WOF_F2!$A$2:$K$673,8,FALSE)</f>
        <v>1</v>
      </c>
      <c r="V389">
        <f>VLOOKUP(C389,CU_ARS_2025_WOF_F2!$A$2:$K$673,9,FALSE)</f>
        <v>0</v>
      </c>
      <c r="W389">
        <f>VLOOKUP(C389,CU_ARS_2025_WOF_F2!$A$2:$K$673,10,FALSE)</f>
        <v>0</v>
      </c>
      <c r="X389">
        <f>VLOOKUP(C389,CU_ARS_2025_WOF_F2!$A$2:$K$673,11,FALSE)</f>
        <v>3</v>
      </c>
      <c r="Y389" t="str">
        <f>VLOOKUP(Q389,cross_pedigree!$A$2:$B$23,2,FALSE)</f>
        <v>Gerard 227/PA8014-840</v>
      </c>
    </row>
    <row r="390" spans="1:25" ht="18">
      <c r="A390" s="21" t="s">
        <v>15</v>
      </c>
      <c r="B390" s="21" t="s">
        <v>16</v>
      </c>
      <c r="C390" s="22">
        <v>754018</v>
      </c>
      <c r="D390" s="23">
        <v>5</v>
      </c>
      <c r="E390" s="24" t="str">
        <f t="shared" si="6"/>
        <v>CU_ARS_2025_WOF_F2_3_plant_4</v>
      </c>
      <c r="F390" s="21" t="s">
        <v>71</v>
      </c>
      <c r="G390" s="44" t="s">
        <v>72</v>
      </c>
      <c r="H390" s="42"/>
      <c r="I390" s="42" t="s">
        <v>1047</v>
      </c>
      <c r="J390" s="42" t="s">
        <v>1003</v>
      </c>
      <c r="K390" s="42"/>
      <c r="L390" s="42"/>
      <c r="M390" s="42"/>
      <c r="N390" t="str">
        <f>VLOOKUP(C390,CU_ARS_2025_WOF_F2!$A$2:$K$673,2,FALSE)</f>
        <v>CU_ARS_2025_WOF_F2_3_plant_4</v>
      </c>
      <c r="O390" t="str">
        <f>VLOOKUP(C390,CU_ARS_2025_WOF_F2!$A$2:$K$673,2,FALSE)</f>
        <v>CU_ARS_2025_WOF_F2_3_plant_4</v>
      </c>
      <c r="P390" t="str">
        <f>VLOOKUP(C390,CU_ARS_2025_WOF_F2!$A$2:$K$673,3,FALSE)</f>
        <v>CU_ARS_2025_WOF_F2_3</v>
      </c>
      <c r="Q390" t="str">
        <f>VLOOKUP(C390,CU_ARS_2025_WOF_F2!$A$2:$K$673,4,FALSE)</f>
        <v>CU_ARS_2025_WOF_cross_87</v>
      </c>
      <c r="R390">
        <f>VLOOKUP(C390,CU_ARS_2025_WOF_F2!$A$2:$K$673,5,FALSE)</f>
        <v>3</v>
      </c>
      <c r="S390">
        <f>VLOOKUP(C390,CU_ARS_2025_WOF_F2!$A$2:$K$673,6,FALSE)</f>
        <v>1</v>
      </c>
      <c r="T390">
        <f>VLOOKUP(C390,CU_ARS_2025_WOF_F2!$A$2:$K$673,7,FALSE)</f>
        <v>0</v>
      </c>
      <c r="U390">
        <f>VLOOKUP(C390,CU_ARS_2025_WOF_F2!$A$2:$K$673,8,FALSE)</f>
        <v>1</v>
      </c>
      <c r="V390">
        <f>VLOOKUP(C390,CU_ARS_2025_WOF_F2!$A$2:$K$673,9,FALSE)</f>
        <v>0</v>
      </c>
      <c r="W390">
        <f>VLOOKUP(C390,CU_ARS_2025_WOF_F2!$A$2:$K$673,10,FALSE)</f>
        <v>0</v>
      </c>
      <c r="X390">
        <f>VLOOKUP(C390,CU_ARS_2025_WOF_F2!$A$2:$K$673,11,FALSE)</f>
        <v>4</v>
      </c>
      <c r="Y390" t="str">
        <f>VLOOKUP(Q390,cross_pedigree!$A$2:$B$23,2,FALSE)</f>
        <v>Gerard 227/PA8014-840</v>
      </c>
    </row>
    <row r="391" spans="1:25" ht="18">
      <c r="A391" s="21" t="s">
        <v>15</v>
      </c>
      <c r="B391" s="21" t="s">
        <v>16</v>
      </c>
      <c r="C391" s="22">
        <v>754019</v>
      </c>
      <c r="D391" s="23">
        <v>5</v>
      </c>
      <c r="E391" s="24" t="str">
        <f t="shared" si="6"/>
        <v>CU_ARS_2025_WOF_F2_3_plant_5</v>
      </c>
      <c r="F391" s="21" t="s">
        <v>73</v>
      </c>
      <c r="G391" s="44" t="s">
        <v>74</v>
      </c>
      <c r="H391" s="42"/>
      <c r="I391" s="42" t="s">
        <v>1047</v>
      </c>
      <c r="J391" s="42" t="s">
        <v>1003</v>
      </c>
      <c r="K391" s="42"/>
      <c r="L391" s="42"/>
      <c r="M391" s="42"/>
      <c r="N391" t="str">
        <f>VLOOKUP(C391,CU_ARS_2025_WOF_F2!$A$2:$K$673,2,FALSE)</f>
        <v>CU_ARS_2025_WOF_F2_3_plant_5</v>
      </c>
      <c r="O391" t="str">
        <f>VLOOKUP(C391,CU_ARS_2025_WOF_F2!$A$2:$K$673,2,FALSE)</f>
        <v>CU_ARS_2025_WOF_F2_3_plant_5</v>
      </c>
      <c r="P391" t="str">
        <f>VLOOKUP(C391,CU_ARS_2025_WOF_F2!$A$2:$K$673,3,FALSE)</f>
        <v>CU_ARS_2025_WOF_F2_3</v>
      </c>
      <c r="Q391" t="str">
        <f>VLOOKUP(C391,CU_ARS_2025_WOF_F2!$A$2:$K$673,4,FALSE)</f>
        <v>CU_ARS_2025_WOF_cross_87</v>
      </c>
      <c r="R391">
        <f>VLOOKUP(C391,CU_ARS_2025_WOF_F2!$A$2:$K$673,5,FALSE)</f>
        <v>3</v>
      </c>
      <c r="S391">
        <f>VLOOKUP(C391,CU_ARS_2025_WOF_F2!$A$2:$K$673,6,FALSE)</f>
        <v>1</v>
      </c>
      <c r="T391">
        <f>VLOOKUP(C391,CU_ARS_2025_WOF_F2!$A$2:$K$673,7,FALSE)</f>
        <v>0</v>
      </c>
      <c r="U391">
        <f>VLOOKUP(C391,CU_ARS_2025_WOF_F2!$A$2:$K$673,8,FALSE)</f>
        <v>1</v>
      </c>
      <c r="V391">
        <f>VLOOKUP(C391,CU_ARS_2025_WOF_F2!$A$2:$K$673,9,FALSE)</f>
        <v>0</v>
      </c>
      <c r="W391">
        <f>VLOOKUP(C391,CU_ARS_2025_WOF_F2!$A$2:$K$673,10,FALSE)</f>
        <v>0</v>
      </c>
      <c r="X391">
        <f>VLOOKUP(C391,CU_ARS_2025_WOF_F2!$A$2:$K$673,11,FALSE)</f>
        <v>5</v>
      </c>
      <c r="Y391" t="str">
        <f>VLOOKUP(Q391,cross_pedigree!$A$2:$B$23,2,FALSE)</f>
        <v>Gerard 227/PA8014-840</v>
      </c>
    </row>
    <row r="392" spans="1:25" ht="18">
      <c r="A392" s="21" t="s">
        <v>15</v>
      </c>
      <c r="B392" s="21" t="s">
        <v>16</v>
      </c>
      <c r="C392" s="22">
        <v>754071</v>
      </c>
      <c r="D392" s="23">
        <v>5</v>
      </c>
      <c r="E392" s="24" t="str">
        <f t="shared" si="6"/>
        <v>CU_ARS_2025_WOF_F2_3_plant_57</v>
      </c>
      <c r="F392" s="21" t="s">
        <v>75</v>
      </c>
      <c r="G392" s="44" t="s">
        <v>76</v>
      </c>
      <c r="H392" s="42"/>
      <c r="I392" s="42" t="s">
        <v>1047</v>
      </c>
      <c r="J392" s="42" t="s">
        <v>1003</v>
      </c>
      <c r="K392" s="42"/>
      <c r="L392" s="42"/>
      <c r="M392" s="42"/>
      <c r="N392" t="str">
        <f>VLOOKUP(C392,CU_ARS_2025_WOF_F2!$A$2:$K$673,2,FALSE)</f>
        <v>CU_ARS_2025_WOF_F2_3_plant_57</v>
      </c>
      <c r="O392" t="str">
        <f>VLOOKUP(C392,CU_ARS_2025_WOF_F2!$A$2:$K$673,2,FALSE)</f>
        <v>CU_ARS_2025_WOF_F2_3_plant_57</v>
      </c>
      <c r="P392" t="str">
        <f>VLOOKUP(C392,CU_ARS_2025_WOF_F2!$A$2:$K$673,3,FALSE)</f>
        <v>CU_ARS_2025_WOF_F2_3</v>
      </c>
      <c r="Q392" t="str">
        <f>VLOOKUP(C392,CU_ARS_2025_WOF_F2!$A$2:$K$673,4,FALSE)</f>
        <v>CU_ARS_2025_WOF_cross_87</v>
      </c>
      <c r="R392">
        <f>VLOOKUP(C392,CU_ARS_2025_WOF_F2!$A$2:$K$673,5,FALSE)</f>
        <v>3</v>
      </c>
      <c r="S392">
        <f>VLOOKUP(C392,CU_ARS_2025_WOF_F2!$A$2:$K$673,6,FALSE)</f>
        <v>1</v>
      </c>
      <c r="T392">
        <f>VLOOKUP(C392,CU_ARS_2025_WOF_F2!$A$2:$K$673,7,FALSE)</f>
        <v>0</v>
      </c>
      <c r="U392">
        <f>VLOOKUP(C392,CU_ARS_2025_WOF_F2!$A$2:$K$673,8,FALSE)</f>
        <v>1</v>
      </c>
      <c r="V392">
        <f>VLOOKUP(C392,CU_ARS_2025_WOF_F2!$A$2:$K$673,9,FALSE)</f>
        <v>0</v>
      </c>
      <c r="W392">
        <f>VLOOKUP(C392,CU_ARS_2025_WOF_F2!$A$2:$K$673,10,FALSE)</f>
        <v>0</v>
      </c>
      <c r="X392">
        <f>VLOOKUP(C392,CU_ARS_2025_WOF_F2!$A$2:$K$673,11,FALSE)</f>
        <v>57</v>
      </c>
      <c r="Y392" t="str">
        <f>VLOOKUP(Q392,cross_pedigree!$A$2:$B$23,2,FALSE)</f>
        <v>Gerard 227/PA8014-840</v>
      </c>
    </row>
    <row r="393" spans="1:25" ht="18">
      <c r="A393" s="21" t="s">
        <v>15</v>
      </c>
      <c r="B393" s="21" t="s">
        <v>16</v>
      </c>
      <c r="C393" s="22">
        <v>754072</v>
      </c>
      <c r="D393" s="23">
        <v>5</v>
      </c>
      <c r="E393" s="24" t="str">
        <f t="shared" si="6"/>
        <v>CU_ARS_2025_WOF_F2_3_plant_58</v>
      </c>
      <c r="F393" s="21" t="s">
        <v>77</v>
      </c>
      <c r="G393" s="44" t="s">
        <v>78</v>
      </c>
      <c r="H393" s="42"/>
      <c r="I393" s="42" t="s">
        <v>1047</v>
      </c>
      <c r="J393" s="42" t="s">
        <v>1003</v>
      </c>
      <c r="K393" s="42"/>
      <c r="L393" s="42"/>
      <c r="M393" s="42"/>
      <c r="N393" t="str">
        <f>VLOOKUP(C393,CU_ARS_2025_WOF_F2!$A$2:$K$673,2,FALSE)</f>
        <v>CU_ARS_2025_WOF_F2_3_plant_58</v>
      </c>
      <c r="O393" t="str">
        <f>VLOOKUP(C393,CU_ARS_2025_WOF_F2!$A$2:$K$673,2,FALSE)</f>
        <v>CU_ARS_2025_WOF_F2_3_plant_58</v>
      </c>
      <c r="P393" t="str">
        <f>VLOOKUP(C393,CU_ARS_2025_WOF_F2!$A$2:$K$673,3,FALSE)</f>
        <v>CU_ARS_2025_WOF_F2_3</v>
      </c>
      <c r="Q393" t="str">
        <f>VLOOKUP(C393,CU_ARS_2025_WOF_F2!$A$2:$K$673,4,FALSE)</f>
        <v>CU_ARS_2025_WOF_cross_87</v>
      </c>
      <c r="R393">
        <f>VLOOKUP(C393,CU_ARS_2025_WOF_F2!$A$2:$K$673,5,FALSE)</f>
        <v>3</v>
      </c>
      <c r="S393">
        <f>VLOOKUP(C393,CU_ARS_2025_WOF_F2!$A$2:$K$673,6,FALSE)</f>
        <v>1</v>
      </c>
      <c r="T393">
        <f>VLOOKUP(C393,CU_ARS_2025_WOF_F2!$A$2:$K$673,7,FALSE)</f>
        <v>0</v>
      </c>
      <c r="U393">
        <f>VLOOKUP(C393,CU_ARS_2025_WOF_F2!$A$2:$K$673,8,FALSE)</f>
        <v>1</v>
      </c>
      <c r="V393">
        <f>VLOOKUP(C393,CU_ARS_2025_WOF_F2!$A$2:$K$673,9,FALSE)</f>
        <v>0</v>
      </c>
      <c r="W393">
        <f>VLOOKUP(C393,CU_ARS_2025_WOF_F2!$A$2:$K$673,10,FALSE)</f>
        <v>0</v>
      </c>
      <c r="X393">
        <f>VLOOKUP(C393,CU_ARS_2025_WOF_F2!$A$2:$K$673,11,FALSE)</f>
        <v>58</v>
      </c>
      <c r="Y393" t="str">
        <f>VLOOKUP(Q393,cross_pedigree!$A$2:$B$23,2,FALSE)</f>
        <v>Gerard 227/PA8014-840</v>
      </c>
    </row>
    <row r="394" spans="1:25" ht="18">
      <c r="A394" s="21" t="s">
        <v>15</v>
      </c>
      <c r="B394" s="21" t="s">
        <v>16</v>
      </c>
      <c r="C394" s="22">
        <v>754073</v>
      </c>
      <c r="D394" s="23">
        <v>5</v>
      </c>
      <c r="E394" s="24" t="str">
        <f t="shared" si="6"/>
        <v>CU_ARS_2025_WOF_F2_3_plant_59</v>
      </c>
      <c r="F394" s="21" t="s">
        <v>79</v>
      </c>
      <c r="G394" s="44" t="s">
        <v>80</v>
      </c>
      <c r="H394" s="42"/>
      <c r="I394" s="42" t="s">
        <v>1047</v>
      </c>
      <c r="J394" s="42" t="s">
        <v>1003</v>
      </c>
      <c r="K394" s="42"/>
      <c r="L394" s="42"/>
      <c r="M394" s="42"/>
      <c r="N394" t="str">
        <f>VLOOKUP(C394,CU_ARS_2025_WOF_F2!$A$2:$K$673,2,FALSE)</f>
        <v>CU_ARS_2025_WOF_F2_3_plant_59</v>
      </c>
      <c r="O394" t="str">
        <f>VLOOKUP(C394,CU_ARS_2025_WOF_F2!$A$2:$K$673,2,FALSE)</f>
        <v>CU_ARS_2025_WOF_F2_3_plant_59</v>
      </c>
      <c r="P394" t="str">
        <f>VLOOKUP(C394,CU_ARS_2025_WOF_F2!$A$2:$K$673,3,FALSE)</f>
        <v>CU_ARS_2025_WOF_F2_3</v>
      </c>
      <c r="Q394" t="str">
        <f>VLOOKUP(C394,CU_ARS_2025_WOF_F2!$A$2:$K$673,4,FALSE)</f>
        <v>CU_ARS_2025_WOF_cross_87</v>
      </c>
      <c r="R394">
        <f>VLOOKUP(C394,CU_ARS_2025_WOF_F2!$A$2:$K$673,5,FALSE)</f>
        <v>3</v>
      </c>
      <c r="S394">
        <f>VLOOKUP(C394,CU_ARS_2025_WOF_F2!$A$2:$K$673,6,FALSE)</f>
        <v>1</v>
      </c>
      <c r="T394">
        <f>VLOOKUP(C394,CU_ARS_2025_WOF_F2!$A$2:$K$673,7,FALSE)</f>
        <v>0</v>
      </c>
      <c r="U394">
        <f>VLOOKUP(C394,CU_ARS_2025_WOF_F2!$A$2:$K$673,8,FALSE)</f>
        <v>1</v>
      </c>
      <c r="V394">
        <f>VLOOKUP(C394,CU_ARS_2025_WOF_F2!$A$2:$K$673,9,FALSE)</f>
        <v>0</v>
      </c>
      <c r="W394">
        <f>VLOOKUP(C394,CU_ARS_2025_WOF_F2!$A$2:$K$673,10,FALSE)</f>
        <v>0</v>
      </c>
      <c r="X394">
        <f>VLOOKUP(C394,CU_ARS_2025_WOF_F2!$A$2:$K$673,11,FALSE)</f>
        <v>59</v>
      </c>
      <c r="Y394" t="str">
        <f>VLOOKUP(Q394,cross_pedigree!$A$2:$B$23,2,FALSE)</f>
        <v>Gerard 227/PA8014-840</v>
      </c>
    </row>
    <row r="395" spans="1:25" ht="18">
      <c r="A395" s="21" t="s">
        <v>15</v>
      </c>
      <c r="B395" s="21" t="s">
        <v>16</v>
      </c>
      <c r="C395" s="22">
        <v>754074</v>
      </c>
      <c r="D395" s="23">
        <v>5</v>
      </c>
      <c r="E395" s="24" t="str">
        <f t="shared" si="6"/>
        <v>CU_ARS_2025_WOF_F2_3_plant_60</v>
      </c>
      <c r="F395" s="21" t="s">
        <v>81</v>
      </c>
      <c r="G395" s="44">
        <v>10</v>
      </c>
      <c r="H395" s="42"/>
      <c r="I395" s="42" t="s">
        <v>1047</v>
      </c>
      <c r="J395" s="42" t="s">
        <v>1003</v>
      </c>
      <c r="K395" s="42"/>
      <c r="L395" s="42"/>
      <c r="M395" s="42"/>
      <c r="N395" t="str">
        <f>VLOOKUP(C395,CU_ARS_2025_WOF_F2!$A$2:$K$673,2,FALSE)</f>
        <v>CU_ARS_2025_WOF_F2_3_plant_60</v>
      </c>
      <c r="O395" t="str">
        <f>VLOOKUP(C395,CU_ARS_2025_WOF_F2!$A$2:$K$673,2,FALSE)</f>
        <v>CU_ARS_2025_WOF_F2_3_plant_60</v>
      </c>
      <c r="P395" t="str">
        <f>VLOOKUP(C395,CU_ARS_2025_WOF_F2!$A$2:$K$673,3,FALSE)</f>
        <v>CU_ARS_2025_WOF_F2_3</v>
      </c>
      <c r="Q395" t="str">
        <f>VLOOKUP(C395,CU_ARS_2025_WOF_F2!$A$2:$K$673,4,FALSE)</f>
        <v>CU_ARS_2025_WOF_cross_87</v>
      </c>
      <c r="R395">
        <f>VLOOKUP(C395,CU_ARS_2025_WOF_F2!$A$2:$K$673,5,FALSE)</f>
        <v>3</v>
      </c>
      <c r="S395">
        <f>VLOOKUP(C395,CU_ARS_2025_WOF_F2!$A$2:$K$673,6,FALSE)</f>
        <v>1</v>
      </c>
      <c r="T395">
        <f>VLOOKUP(C395,CU_ARS_2025_WOF_F2!$A$2:$K$673,7,FALSE)</f>
        <v>0</v>
      </c>
      <c r="U395">
        <f>VLOOKUP(C395,CU_ARS_2025_WOF_F2!$A$2:$K$673,8,FALSE)</f>
        <v>1</v>
      </c>
      <c r="V395">
        <f>VLOOKUP(C395,CU_ARS_2025_WOF_F2!$A$2:$K$673,9,FALSE)</f>
        <v>0</v>
      </c>
      <c r="W395">
        <f>VLOOKUP(C395,CU_ARS_2025_WOF_F2!$A$2:$K$673,10,FALSE)</f>
        <v>0</v>
      </c>
      <c r="X395">
        <f>VLOOKUP(C395,CU_ARS_2025_WOF_F2!$A$2:$K$673,11,FALSE)</f>
        <v>60</v>
      </c>
      <c r="Y395" t="str">
        <f>VLOOKUP(Q395,cross_pedigree!$A$2:$B$23,2,FALSE)</f>
        <v>Gerard 227/PA8014-840</v>
      </c>
    </row>
    <row r="396" spans="1:25" ht="18">
      <c r="A396" s="21" t="s">
        <v>15</v>
      </c>
      <c r="B396" s="21" t="s">
        <v>16</v>
      </c>
      <c r="C396" s="22">
        <v>754075</v>
      </c>
      <c r="D396" s="23">
        <v>5</v>
      </c>
      <c r="E396" s="24" t="str">
        <f t="shared" si="6"/>
        <v>CU_ARS_2025_WOF_F2_3_plant_61</v>
      </c>
      <c r="F396" s="21" t="s">
        <v>82</v>
      </c>
      <c r="G396" s="44">
        <v>11</v>
      </c>
      <c r="H396" s="42"/>
      <c r="I396" s="42" t="s">
        <v>1047</v>
      </c>
      <c r="J396" s="42" t="s">
        <v>1003</v>
      </c>
      <c r="K396" s="42"/>
      <c r="L396" s="42"/>
      <c r="M396" s="42"/>
      <c r="N396" t="str">
        <f>VLOOKUP(C396,CU_ARS_2025_WOF_F2!$A$2:$K$673,2,FALSE)</f>
        <v>CU_ARS_2025_WOF_F2_3_plant_61</v>
      </c>
      <c r="O396" t="str">
        <f>VLOOKUP(C396,CU_ARS_2025_WOF_F2!$A$2:$K$673,2,FALSE)</f>
        <v>CU_ARS_2025_WOF_F2_3_plant_61</v>
      </c>
      <c r="P396" t="str">
        <f>VLOOKUP(C396,CU_ARS_2025_WOF_F2!$A$2:$K$673,3,FALSE)</f>
        <v>CU_ARS_2025_WOF_F2_3</v>
      </c>
      <c r="Q396" t="str">
        <f>VLOOKUP(C396,CU_ARS_2025_WOF_F2!$A$2:$K$673,4,FALSE)</f>
        <v>CU_ARS_2025_WOF_cross_87</v>
      </c>
      <c r="R396">
        <f>VLOOKUP(C396,CU_ARS_2025_WOF_F2!$A$2:$K$673,5,FALSE)</f>
        <v>3</v>
      </c>
      <c r="S396">
        <f>VLOOKUP(C396,CU_ARS_2025_WOF_F2!$A$2:$K$673,6,FALSE)</f>
        <v>1</v>
      </c>
      <c r="T396">
        <f>VLOOKUP(C396,CU_ARS_2025_WOF_F2!$A$2:$K$673,7,FALSE)</f>
        <v>0</v>
      </c>
      <c r="U396">
        <f>VLOOKUP(C396,CU_ARS_2025_WOF_F2!$A$2:$K$673,8,FALSE)</f>
        <v>1</v>
      </c>
      <c r="V396">
        <f>VLOOKUP(C396,CU_ARS_2025_WOF_F2!$A$2:$K$673,9,FALSE)</f>
        <v>0</v>
      </c>
      <c r="W396">
        <f>VLOOKUP(C396,CU_ARS_2025_WOF_F2!$A$2:$K$673,10,FALSE)</f>
        <v>0</v>
      </c>
      <c r="X396">
        <f>VLOOKUP(C396,CU_ARS_2025_WOF_F2!$A$2:$K$673,11,FALSE)</f>
        <v>61</v>
      </c>
      <c r="Y396" t="str">
        <f>VLOOKUP(Q396,cross_pedigree!$A$2:$B$23,2,FALSE)</f>
        <v>Gerard 227/PA8014-840</v>
      </c>
    </row>
    <row r="397" spans="1:25" ht="18">
      <c r="A397" s="21" t="s">
        <v>15</v>
      </c>
      <c r="B397" s="21" t="s">
        <v>16</v>
      </c>
      <c r="C397" s="22">
        <v>753998</v>
      </c>
      <c r="D397" s="23">
        <v>5</v>
      </c>
      <c r="E397" s="24" t="str">
        <f t="shared" si="6"/>
        <v>CU_ARS_2025_WOF_F2_5_plant_67</v>
      </c>
      <c r="F397" s="21" t="s">
        <v>83</v>
      </c>
      <c r="G397" s="44">
        <v>12</v>
      </c>
      <c r="H397" s="42"/>
      <c r="I397" s="42" t="s">
        <v>1035</v>
      </c>
      <c r="J397" s="42" t="s">
        <v>1003</v>
      </c>
      <c r="K397" s="42"/>
      <c r="L397" s="42"/>
      <c r="M397" s="42"/>
      <c r="N397" t="str">
        <f>VLOOKUP(C397,CU_ARS_2025_WOF_F2!$A$2:$K$673,2,FALSE)</f>
        <v>CU_ARS_2025_WOF_F2_5_plant_67</v>
      </c>
      <c r="O397" t="str">
        <f>VLOOKUP(C397,CU_ARS_2025_WOF_F2!$A$2:$K$673,2,FALSE)</f>
        <v>CU_ARS_2025_WOF_F2_5_plant_67</v>
      </c>
      <c r="P397" t="str">
        <f>VLOOKUP(C397,CU_ARS_2025_WOF_F2!$A$2:$K$673,3,FALSE)</f>
        <v>CU_ARS_2025_WOF_F2_5</v>
      </c>
      <c r="Q397" t="str">
        <f>VLOOKUP(C397,CU_ARS_2025_WOF_F2!$A$2:$K$673,4,FALSE)</f>
        <v>CU_ARS_2025_WOF_cross_54</v>
      </c>
      <c r="R397">
        <f>VLOOKUP(C397,CU_ARS_2025_WOF_F2!$A$2:$K$673,5,FALSE)</f>
        <v>5</v>
      </c>
      <c r="S397">
        <f>VLOOKUP(C397,CU_ARS_2025_WOF_F2!$A$2:$K$673,6,FALSE)</f>
        <v>1</v>
      </c>
      <c r="T397">
        <f>VLOOKUP(C397,CU_ARS_2025_WOF_F2!$A$2:$K$673,7,FALSE)</f>
        <v>0</v>
      </c>
      <c r="U397">
        <f>VLOOKUP(C397,CU_ARS_2025_WOF_F2!$A$2:$K$673,8,FALSE)</f>
        <v>1</v>
      </c>
      <c r="V397">
        <f>VLOOKUP(C397,CU_ARS_2025_WOF_F2!$A$2:$K$673,9,FALSE)</f>
        <v>0</v>
      </c>
      <c r="W397">
        <f>VLOOKUP(C397,CU_ARS_2025_WOF_F2!$A$2:$K$673,10,FALSE)</f>
        <v>0</v>
      </c>
      <c r="X397">
        <f>VLOOKUP(C397,CU_ARS_2025_WOF_F2!$A$2:$K$673,11,FALSE)</f>
        <v>67</v>
      </c>
      <c r="Y397" t="str">
        <f>VLOOKUP(Q397,cross_pedigree!$A$2:$B$23,2,FALSE)</f>
        <v>Gerard 227/NF13-4126-4_3</v>
      </c>
    </row>
    <row r="398" spans="1:25" ht="18">
      <c r="A398" s="21" t="s">
        <v>15</v>
      </c>
      <c r="B398" s="21" t="s">
        <v>16</v>
      </c>
      <c r="C398" s="22">
        <v>753987</v>
      </c>
      <c r="D398" s="23">
        <v>5</v>
      </c>
      <c r="E398" s="24" t="str">
        <f t="shared" si="6"/>
        <v>CU_ARS_2025_WOF_F2_5_plant_56</v>
      </c>
      <c r="F398" s="21" t="s">
        <v>84</v>
      </c>
      <c r="G398" s="44">
        <v>13</v>
      </c>
      <c r="H398" s="42"/>
      <c r="I398" s="42" t="s">
        <v>1035</v>
      </c>
      <c r="J398" s="42" t="s">
        <v>1003</v>
      </c>
      <c r="K398" s="42"/>
      <c r="L398" s="42"/>
      <c r="M398" s="42"/>
      <c r="N398" t="str">
        <f>VLOOKUP(C398,CU_ARS_2025_WOF_F2!$A$2:$K$673,2,FALSE)</f>
        <v>CU_ARS_2025_WOF_F2_5_plant_56</v>
      </c>
      <c r="O398" t="str">
        <f>VLOOKUP(C398,CU_ARS_2025_WOF_F2!$A$2:$K$673,2,FALSE)</f>
        <v>CU_ARS_2025_WOF_F2_5_plant_56</v>
      </c>
      <c r="P398" t="str">
        <f>VLOOKUP(C398,CU_ARS_2025_WOF_F2!$A$2:$K$673,3,FALSE)</f>
        <v>CU_ARS_2025_WOF_F2_5</v>
      </c>
      <c r="Q398" t="str">
        <f>VLOOKUP(C398,CU_ARS_2025_WOF_F2!$A$2:$K$673,4,FALSE)</f>
        <v>CU_ARS_2025_WOF_cross_54</v>
      </c>
      <c r="R398">
        <f>VLOOKUP(C398,CU_ARS_2025_WOF_F2!$A$2:$K$673,5,FALSE)</f>
        <v>5</v>
      </c>
      <c r="S398">
        <f>VLOOKUP(C398,CU_ARS_2025_WOF_F2!$A$2:$K$673,6,FALSE)</f>
        <v>1</v>
      </c>
      <c r="T398">
        <f>VLOOKUP(C398,CU_ARS_2025_WOF_F2!$A$2:$K$673,7,FALSE)</f>
        <v>0</v>
      </c>
      <c r="U398">
        <f>VLOOKUP(C398,CU_ARS_2025_WOF_F2!$A$2:$K$673,8,FALSE)</f>
        <v>1</v>
      </c>
      <c r="V398">
        <f>VLOOKUP(C398,CU_ARS_2025_WOF_F2!$A$2:$K$673,9,FALSE)</f>
        <v>0</v>
      </c>
      <c r="W398">
        <f>VLOOKUP(C398,CU_ARS_2025_WOF_F2!$A$2:$K$673,10,FALSE)</f>
        <v>0</v>
      </c>
      <c r="X398">
        <f>VLOOKUP(C398,CU_ARS_2025_WOF_F2!$A$2:$K$673,11,FALSE)</f>
        <v>56</v>
      </c>
      <c r="Y398" t="str">
        <f>VLOOKUP(Q398,cross_pedigree!$A$2:$B$23,2,FALSE)</f>
        <v>Gerard 227/NF13-4126-4_3</v>
      </c>
    </row>
    <row r="399" spans="1:25" ht="18">
      <c r="A399" s="21" t="s">
        <v>15</v>
      </c>
      <c r="B399" s="21" t="s">
        <v>16</v>
      </c>
      <c r="C399" s="22">
        <v>753988</v>
      </c>
      <c r="D399" s="23">
        <v>5</v>
      </c>
      <c r="E399" s="24" t="str">
        <f t="shared" si="6"/>
        <v>CU_ARS_2025_WOF_F2_5_plant_57</v>
      </c>
      <c r="F399" s="21" t="s">
        <v>85</v>
      </c>
      <c r="G399" s="44">
        <v>14</v>
      </c>
      <c r="H399" s="42"/>
      <c r="I399" s="42" t="s">
        <v>1035</v>
      </c>
      <c r="J399" s="42" t="s">
        <v>1003</v>
      </c>
      <c r="K399" s="42"/>
      <c r="L399" s="42"/>
      <c r="M399" s="42"/>
      <c r="N399" t="str">
        <f>VLOOKUP(C399,CU_ARS_2025_WOF_F2!$A$2:$K$673,2,FALSE)</f>
        <v>CU_ARS_2025_WOF_F2_5_plant_57</v>
      </c>
      <c r="O399" t="str">
        <f>VLOOKUP(C399,CU_ARS_2025_WOF_F2!$A$2:$K$673,2,FALSE)</f>
        <v>CU_ARS_2025_WOF_F2_5_plant_57</v>
      </c>
      <c r="P399" t="str">
        <f>VLOOKUP(C399,CU_ARS_2025_WOF_F2!$A$2:$K$673,3,FALSE)</f>
        <v>CU_ARS_2025_WOF_F2_5</v>
      </c>
      <c r="Q399" t="str">
        <f>VLOOKUP(C399,CU_ARS_2025_WOF_F2!$A$2:$K$673,4,FALSE)</f>
        <v>CU_ARS_2025_WOF_cross_54</v>
      </c>
      <c r="R399">
        <f>VLOOKUP(C399,CU_ARS_2025_WOF_F2!$A$2:$K$673,5,FALSE)</f>
        <v>5</v>
      </c>
      <c r="S399">
        <f>VLOOKUP(C399,CU_ARS_2025_WOF_F2!$A$2:$K$673,6,FALSE)</f>
        <v>1</v>
      </c>
      <c r="T399">
        <f>VLOOKUP(C399,CU_ARS_2025_WOF_F2!$A$2:$K$673,7,FALSE)</f>
        <v>0</v>
      </c>
      <c r="U399">
        <f>VLOOKUP(C399,CU_ARS_2025_WOF_F2!$A$2:$K$673,8,FALSE)</f>
        <v>1</v>
      </c>
      <c r="V399">
        <f>VLOOKUP(C399,CU_ARS_2025_WOF_F2!$A$2:$K$673,9,FALSE)</f>
        <v>0</v>
      </c>
      <c r="W399">
        <f>VLOOKUP(C399,CU_ARS_2025_WOF_F2!$A$2:$K$673,10,FALSE)</f>
        <v>0</v>
      </c>
      <c r="X399">
        <f>VLOOKUP(C399,CU_ARS_2025_WOF_F2!$A$2:$K$673,11,FALSE)</f>
        <v>57</v>
      </c>
      <c r="Y399" t="str">
        <f>VLOOKUP(Q399,cross_pedigree!$A$2:$B$23,2,FALSE)</f>
        <v>Gerard 227/NF13-4126-4_3</v>
      </c>
    </row>
    <row r="400" spans="1:25" ht="18">
      <c r="A400" s="21" t="s">
        <v>15</v>
      </c>
      <c r="B400" s="21" t="s">
        <v>16</v>
      </c>
      <c r="C400" s="22">
        <v>754027</v>
      </c>
      <c r="D400" s="23">
        <v>5</v>
      </c>
      <c r="E400" s="24" t="str">
        <f t="shared" si="6"/>
        <v>CU_ARS_2025_WOF_F2_3_plant_13</v>
      </c>
      <c r="F400" s="21" t="s">
        <v>117</v>
      </c>
      <c r="G400" s="44">
        <v>15</v>
      </c>
      <c r="H400" s="42"/>
      <c r="I400" s="42" t="s">
        <v>1047</v>
      </c>
      <c r="J400" s="42" t="s">
        <v>1003</v>
      </c>
      <c r="K400" s="42"/>
      <c r="L400" s="42"/>
      <c r="M400" s="42"/>
      <c r="N400" t="str">
        <f>VLOOKUP(C400,CU_ARS_2025_WOF_F2!$A$2:$K$673,2,FALSE)</f>
        <v>CU_ARS_2025_WOF_F2_3_plant_13</v>
      </c>
      <c r="O400" t="str">
        <f>VLOOKUP(C400,CU_ARS_2025_WOF_F2!$A$2:$K$673,2,FALSE)</f>
        <v>CU_ARS_2025_WOF_F2_3_plant_13</v>
      </c>
      <c r="P400" t="str">
        <f>VLOOKUP(C400,CU_ARS_2025_WOF_F2!$A$2:$K$673,3,FALSE)</f>
        <v>CU_ARS_2025_WOF_F2_3</v>
      </c>
      <c r="Q400" t="str">
        <f>VLOOKUP(C400,CU_ARS_2025_WOF_F2!$A$2:$K$673,4,FALSE)</f>
        <v>CU_ARS_2025_WOF_cross_87</v>
      </c>
      <c r="R400">
        <f>VLOOKUP(C400,CU_ARS_2025_WOF_F2!$A$2:$K$673,5,FALSE)</f>
        <v>3</v>
      </c>
      <c r="S400">
        <f>VLOOKUP(C400,CU_ARS_2025_WOF_F2!$A$2:$K$673,6,FALSE)</f>
        <v>1</v>
      </c>
      <c r="T400">
        <f>VLOOKUP(C400,CU_ARS_2025_WOF_F2!$A$2:$K$673,7,FALSE)</f>
        <v>0</v>
      </c>
      <c r="U400">
        <f>VLOOKUP(C400,CU_ARS_2025_WOF_F2!$A$2:$K$673,8,FALSE)</f>
        <v>1</v>
      </c>
      <c r="V400">
        <f>VLOOKUP(C400,CU_ARS_2025_WOF_F2!$A$2:$K$673,9,FALSE)</f>
        <v>0</v>
      </c>
      <c r="W400">
        <f>VLOOKUP(C400,CU_ARS_2025_WOF_F2!$A$2:$K$673,10,FALSE)</f>
        <v>0</v>
      </c>
      <c r="X400">
        <f>VLOOKUP(C400,CU_ARS_2025_WOF_F2!$A$2:$K$673,11,FALSE)</f>
        <v>13</v>
      </c>
      <c r="Y400" t="str">
        <f>VLOOKUP(Q400,cross_pedigree!$A$2:$B$23,2,FALSE)</f>
        <v>Gerard 227/PA8014-840</v>
      </c>
    </row>
    <row r="401" spans="1:25" ht="18">
      <c r="A401" s="21" t="s">
        <v>15</v>
      </c>
      <c r="B401" s="21" t="s">
        <v>16</v>
      </c>
      <c r="C401" s="22">
        <v>754026</v>
      </c>
      <c r="D401" s="23">
        <v>5</v>
      </c>
      <c r="E401" s="24" t="str">
        <f t="shared" si="6"/>
        <v>CU_ARS_2025_WOF_F2_3_plant_12</v>
      </c>
      <c r="F401" s="21" t="s">
        <v>119</v>
      </c>
      <c r="G401" s="44">
        <v>16</v>
      </c>
      <c r="H401" s="42"/>
      <c r="I401" s="42" t="s">
        <v>1047</v>
      </c>
      <c r="J401" s="42" t="s">
        <v>1003</v>
      </c>
      <c r="K401" s="42"/>
      <c r="L401" s="42"/>
      <c r="M401" s="42"/>
      <c r="N401" t="str">
        <f>VLOOKUP(C401,CU_ARS_2025_WOF_F2!$A$2:$K$673,2,FALSE)</f>
        <v>CU_ARS_2025_WOF_F2_3_plant_12</v>
      </c>
      <c r="O401" t="str">
        <f>VLOOKUP(C401,CU_ARS_2025_WOF_F2!$A$2:$K$673,2,FALSE)</f>
        <v>CU_ARS_2025_WOF_F2_3_plant_12</v>
      </c>
      <c r="P401" t="str">
        <f>VLOOKUP(C401,CU_ARS_2025_WOF_F2!$A$2:$K$673,3,FALSE)</f>
        <v>CU_ARS_2025_WOF_F2_3</v>
      </c>
      <c r="Q401" t="str">
        <f>VLOOKUP(C401,CU_ARS_2025_WOF_F2!$A$2:$K$673,4,FALSE)</f>
        <v>CU_ARS_2025_WOF_cross_87</v>
      </c>
      <c r="R401">
        <f>VLOOKUP(C401,CU_ARS_2025_WOF_F2!$A$2:$K$673,5,FALSE)</f>
        <v>3</v>
      </c>
      <c r="S401">
        <f>VLOOKUP(C401,CU_ARS_2025_WOF_F2!$A$2:$K$673,6,FALSE)</f>
        <v>1</v>
      </c>
      <c r="T401">
        <f>VLOOKUP(C401,CU_ARS_2025_WOF_F2!$A$2:$K$673,7,FALSE)</f>
        <v>0</v>
      </c>
      <c r="U401">
        <f>VLOOKUP(C401,CU_ARS_2025_WOF_F2!$A$2:$K$673,8,FALSE)</f>
        <v>1</v>
      </c>
      <c r="V401">
        <f>VLOOKUP(C401,CU_ARS_2025_WOF_F2!$A$2:$K$673,9,FALSE)</f>
        <v>0</v>
      </c>
      <c r="W401">
        <f>VLOOKUP(C401,CU_ARS_2025_WOF_F2!$A$2:$K$673,10,FALSE)</f>
        <v>0</v>
      </c>
      <c r="X401">
        <f>VLOOKUP(C401,CU_ARS_2025_WOF_F2!$A$2:$K$673,11,FALSE)</f>
        <v>12</v>
      </c>
      <c r="Y401" t="str">
        <f>VLOOKUP(Q401,cross_pedigree!$A$2:$B$23,2,FALSE)</f>
        <v>Gerard 227/PA8014-840</v>
      </c>
    </row>
    <row r="402" spans="1:25" ht="18">
      <c r="A402" s="21" t="s">
        <v>15</v>
      </c>
      <c r="B402" s="21" t="s">
        <v>16</v>
      </c>
      <c r="C402" s="22">
        <v>754025</v>
      </c>
      <c r="D402" s="23">
        <v>5</v>
      </c>
      <c r="E402" s="24" t="str">
        <f t="shared" si="6"/>
        <v>CU_ARS_2025_WOF_F2_3_plant_11</v>
      </c>
      <c r="F402" s="21" t="s">
        <v>121</v>
      </c>
      <c r="G402" s="44">
        <v>17</v>
      </c>
      <c r="H402" s="42"/>
      <c r="I402" s="42" t="s">
        <v>1047</v>
      </c>
      <c r="J402" s="42" t="s">
        <v>1003</v>
      </c>
      <c r="K402" s="42"/>
      <c r="L402" s="42"/>
      <c r="M402" s="42"/>
      <c r="N402" t="str">
        <f>VLOOKUP(C402,CU_ARS_2025_WOF_F2!$A$2:$K$673,2,FALSE)</f>
        <v>CU_ARS_2025_WOF_F2_3_plant_11</v>
      </c>
      <c r="O402" t="str">
        <f>VLOOKUP(C402,CU_ARS_2025_WOF_F2!$A$2:$K$673,2,FALSE)</f>
        <v>CU_ARS_2025_WOF_F2_3_plant_11</v>
      </c>
      <c r="P402" t="str">
        <f>VLOOKUP(C402,CU_ARS_2025_WOF_F2!$A$2:$K$673,3,FALSE)</f>
        <v>CU_ARS_2025_WOF_F2_3</v>
      </c>
      <c r="Q402" t="str">
        <f>VLOOKUP(C402,CU_ARS_2025_WOF_F2!$A$2:$K$673,4,FALSE)</f>
        <v>CU_ARS_2025_WOF_cross_87</v>
      </c>
      <c r="R402">
        <f>VLOOKUP(C402,CU_ARS_2025_WOF_F2!$A$2:$K$673,5,FALSE)</f>
        <v>3</v>
      </c>
      <c r="S402">
        <f>VLOOKUP(C402,CU_ARS_2025_WOF_F2!$A$2:$K$673,6,FALSE)</f>
        <v>1</v>
      </c>
      <c r="T402">
        <f>VLOOKUP(C402,CU_ARS_2025_WOF_F2!$A$2:$K$673,7,FALSE)</f>
        <v>0</v>
      </c>
      <c r="U402">
        <f>VLOOKUP(C402,CU_ARS_2025_WOF_F2!$A$2:$K$673,8,FALSE)</f>
        <v>1</v>
      </c>
      <c r="V402">
        <f>VLOOKUP(C402,CU_ARS_2025_WOF_F2!$A$2:$K$673,9,FALSE)</f>
        <v>0</v>
      </c>
      <c r="W402">
        <f>VLOOKUP(C402,CU_ARS_2025_WOF_F2!$A$2:$K$673,10,FALSE)</f>
        <v>0</v>
      </c>
      <c r="X402">
        <f>VLOOKUP(C402,CU_ARS_2025_WOF_F2!$A$2:$K$673,11,FALSE)</f>
        <v>11</v>
      </c>
      <c r="Y402" t="str">
        <f>VLOOKUP(Q402,cross_pedigree!$A$2:$B$23,2,FALSE)</f>
        <v>Gerard 227/PA8014-840</v>
      </c>
    </row>
    <row r="403" spans="1:25" ht="18">
      <c r="A403" s="21" t="s">
        <v>15</v>
      </c>
      <c r="B403" s="21" t="s">
        <v>16</v>
      </c>
      <c r="C403" s="22">
        <v>754020</v>
      </c>
      <c r="D403" s="23">
        <v>5</v>
      </c>
      <c r="E403" s="24" t="str">
        <f t="shared" si="6"/>
        <v>CU_ARS_2025_WOF_F2_3_plant_6</v>
      </c>
      <c r="F403" s="21" t="s">
        <v>123</v>
      </c>
      <c r="G403" s="44">
        <v>18</v>
      </c>
      <c r="H403" s="42"/>
      <c r="I403" s="42" t="s">
        <v>1047</v>
      </c>
      <c r="J403" s="42" t="s">
        <v>1003</v>
      </c>
      <c r="K403" s="42"/>
      <c r="L403" s="42"/>
      <c r="M403" s="42"/>
      <c r="N403" t="str">
        <f>VLOOKUP(C403,CU_ARS_2025_WOF_F2!$A$2:$K$673,2,FALSE)</f>
        <v>CU_ARS_2025_WOF_F2_3_plant_6</v>
      </c>
      <c r="O403" t="str">
        <f>VLOOKUP(C403,CU_ARS_2025_WOF_F2!$A$2:$K$673,2,FALSE)</f>
        <v>CU_ARS_2025_WOF_F2_3_plant_6</v>
      </c>
      <c r="P403" t="str">
        <f>VLOOKUP(C403,CU_ARS_2025_WOF_F2!$A$2:$K$673,3,FALSE)</f>
        <v>CU_ARS_2025_WOF_F2_3</v>
      </c>
      <c r="Q403" t="str">
        <f>VLOOKUP(C403,CU_ARS_2025_WOF_F2!$A$2:$K$673,4,FALSE)</f>
        <v>CU_ARS_2025_WOF_cross_87</v>
      </c>
      <c r="R403">
        <f>VLOOKUP(C403,CU_ARS_2025_WOF_F2!$A$2:$K$673,5,FALSE)</f>
        <v>3</v>
      </c>
      <c r="S403">
        <f>VLOOKUP(C403,CU_ARS_2025_WOF_F2!$A$2:$K$673,6,FALSE)</f>
        <v>1</v>
      </c>
      <c r="T403">
        <f>VLOOKUP(C403,CU_ARS_2025_WOF_F2!$A$2:$K$673,7,FALSE)</f>
        <v>0</v>
      </c>
      <c r="U403">
        <f>VLOOKUP(C403,CU_ARS_2025_WOF_F2!$A$2:$K$673,8,FALSE)</f>
        <v>1</v>
      </c>
      <c r="V403">
        <f>VLOOKUP(C403,CU_ARS_2025_WOF_F2!$A$2:$K$673,9,FALSE)</f>
        <v>0</v>
      </c>
      <c r="W403">
        <f>VLOOKUP(C403,CU_ARS_2025_WOF_F2!$A$2:$K$673,10,FALSE)</f>
        <v>0</v>
      </c>
      <c r="X403">
        <f>VLOOKUP(C403,CU_ARS_2025_WOF_F2!$A$2:$K$673,11,FALSE)</f>
        <v>6</v>
      </c>
      <c r="Y403" t="str">
        <f>VLOOKUP(Q403,cross_pedigree!$A$2:$B$23,2,FALSE)</f>
        <v>Gerard 227/PA8014-840</v>
      </c>
    </row>
    <row r="404" spans="1:25" ht="18">
      <c r="A404" s="21" t="s">
        <v>15</v>
      </c>
      <c r="B404" s="21" t="s">
        <v>16</v>
      </c>
      <c r="C404" s="22">
        <v>754021</v>
      </c>
      <c r="D404" s="23">
        <v>5</v>
      </c>
      <c r="E404" s="24" t="str">
        <f t="shared" si="6"/>
        <v>CU_ARS_2025_WOF_F2_3_plant_7</v>
      </c>
      <c r="F404" s="21" t="s">
        <v>125</v>
      </c>
      <c r="G404" s="44">
        <v>19</v>
      </c>
      <c r="H404" s="42"/>
      <c r="I404" s="42" t="s">
        <v>1047</v>
      </c>
      <c r="J404" s="42" t="s">
        <v>1003</v>
      </c>
      <c r="K404" s="42"/>
      <c r="L404" s="42"/>
      <c r="M404" s="42"/>
      <c r="N404" t="str">
        <f>VLOOKUP(C404,CU_ARS_2025_WOF_F2!$A$2:$K$673,2,FALSE)</f>
        <v>CU_ARS_2025_WOF_F2_3_plant_7</v>
      </c>
      <c r="O404" t="str">
        <f>VLOOKUP(C404,CU_ARS_2025_WOF_F2!$A$2:$K$673,2,FALSE)</f>
        <v>CU_ARS_2025_WOF_F2_3_plant_7</v>
      </c>
      <c r="P404" t="str">
        <f>VLOOKUP(C404,CU_ARS_2025_WOF_F2!$A$2:$K$673,3,FALSE)</f>
        <v>CU_ARS_2025_WOF_F2_3</v>
      </c>
      <c r="Q404" t="str">
        <f>VLOOKUP(C404,CU_ARS_2025_WOF_F2!$A$2:$K$673,4,FALSE)</f>
        <v>CU_ARS_2025_WOF_cross_87</v>
      </c>
      <c r="R404">
        <f>VLOOKUP(C404,CU_ARS_2025_WOF_F2!$A$2:$K$673,5,FALSE)</f>
        <v>3</v>
      </c>
      <c r="S404">
        <f>VLOOKUP(C404,CU_ARS_2025_WOF_F2!$A$2:$K$673,6,FALSE)</f>
        <v>1</v>
      </c>
      <c r="T404">
        <f>VLOOKUP(C404,CU_ARS_2025_WOF_F2!$A$2:$K$673,7,FALSE)</f>
        <v>0</v>
      </c>
      <c r="U404">
        <f>VLOOKUP(C404,CU_ARS_2025_WOF_F2!$A$2:$K$673,8,FALSE)</f>
        <v>1</v>
      </c>
      <c r="V404">
        <f>VLOOKUP(C404,CU_ARS_2025_WOF_F2!$A$2:$K$673,9,FALSE)</f>
        <v>0</v>
      </c>
      <c r="W404">
        <f>VLOOKUP(C404,CU_ARS_2025_WOF_F2!$A$2:$K$673,10,FALSE)</f>
        <v>0</v>
      </c>
      <c r="X404">
        <f>VLOOKUP(C404,CU_ARS_2025_WOF_F2!$A$2:$K$673,11,FALSE)</f>
        <v>7</v>
      </c>
      <c r="Y404" t="str">
        <f>VLOOKUP(Q404,cross_pedigree!$A$2:$B$23,2,FALSE)</f>
        <v>Gerard 227/PA8014-840</v>
      </c>
    </row>
    <row r="405" spans="1:25" ht="18">
      <c r="A405" s="21" t="s">
        <v>15</v>
      </c>
      <c r="B405" s="21" t="s">
        <v>16</v>
      </c>
      <c r="C405" s="22">
        <v>753991</v>
      </c>
      <c r="D405" s="23">
        <v>5</v>
      </c>
      <c r="E405" s="24" t="str">
        <f t="shared" si="6"/>
        <v>CU_ARS_2025_WOF_F2_5_plant_60</v>
      </c>
      <c r="F405" s="21" t="s">
        <v>86</v>
      </c>
      <c r="G405" s="44">
        <v>20</v>
      </c>
      <c r="H405" s="42"/>
      <c r="I405" s="42" t="s">
        <v>1035</v>
      </c>
      <c r="J405" s="42" t="s">
        <v>1003</v>
      </c>
      <c r="K405" s="42"/>
      <c r="L405" s="42"/>
      <c r="M405" s="42"/>
      <c r="N405" t="str">
        <f>VLOOKUP(C405,CU_ARS_2025_WOF_F2!$A$2:$K$673,2,FALSE)</f>
        <v>CU_ARS_2025_WOF_F2_5_plant_60</v>
      </c>
      <c r="O405" t="str">
        <f>VLOOKUP(C405,CU_ARS_2025_WOF_F2!$A$2:$K$673,2,FALSE)</f>
        <v>CU_ARS_2025_WOF_F2_5_plant_60</v>
      </c>
      <c r="P405" t="str">
        <f>VLOOKUP(C405,CU_ARS_2025_WOF_F2!$A$2:$K$673,3,FALSE)</f>
        <v>CU_ARS_2025_WOF_F2_5</v>
      </c>
      <c r="Q405" t="str">
        <f>VLOOKUP(C405,CU_ARS_2025_WOF_F2!$A$2:$K$673,4,FALSE)</f>
        <v>CU_ARS_2025_WOF_cross_54</v>
      </c>
      <c r="R405">
        <f>VLOOKUP(C405,CU_ARS_2025_WOF_F2!$A$2:$K$673,5,FALSE)</f>
        <v>5</v>
      </c>
      <c r="S405">
        <f>VLOOKUP(C405,CU_ARS_2025_WOF_F2!$A$2:$K$673,6,FALSE)</f>
        <v>1</v>
      </c>
      <c r="T405">
        <f>VLOOKUP(C405,CU_ARS_2025_WOF_F2!$A$2:$K$673,7,FALSE)</f>
        <v>0</v>
      </c>
      <c r="U405">
        <f>VLOOKUP(C405,CU_ARS_2025_WOF_F2!$A$2:$K$673,8,FALSE)</f>
        <v>1</v>
      </c>
      <c r="V405">
        <f>VLOOKUP(C405,CU_ARS_2025_WOF_F2!$A$2:$K$673,9,FALSE)</f>
        <v>0</v>
      </c>
      <c r="W405">
        <f>VLOOKUP(C405,CU_ARS_2025_WOF_F2!$A$2:$K$673,10,FALSE)</f>
        <v>0</v>
      </c>
      <c r="X405">
        <f>VLOOKUP(C405,CU_ARS_2025_WOF_F2!$A$2:$K$673,11,FALSE)</f>
        <v>60</v>
      </c>
      <c r="Y405" t="str">
        <f>VLOOKUP(Q405,cross_pedigree!$A$2:$B$23,2,FALSE)</f>
        <v>Gerard 227/NF13-4126-4_3</v>
      </c>
    </row>
    <row r="406" spans="1:25" ht="18">
      <c r="A406" s="21" t="s">
        <v>15</v>
      </c>
      <c r="B406" s="21" t="s">
        <v>16</v>
      </c>
      <c r="C406" s="22">
        <v>753993</v>
      </c>
      <c r="D406" s="23">
        <v>5</v>
      </c>
      <c r="E406" s="24" t="str">
        <f t="shared" si="6"/>
        <v>CU_ARS_2025_WOF_F2_5_plant_62</v>
      </c>
      <c r="F406" s="21" t="s">
        <v>87</v>
      </c>
      <c r="G406" s="44">
        <v>21</v>
      </c>
      <c r="H406" s="42"/>
      <c r="I406" s="42" t="s">
        <v>1035</v>
      </c>
      <c r="J406" s="42" t="s">
        <v>1003</v>
      </c>
      <c r="K406" s="42"/>
      <c r="L406" s="42"/>
      <c r="M406" s="42"/>
      <c r="N406" t="str">
        <f>VLOOKUP(C406,CU_ARS_2025_WOF_F2!$A$2:$K$673,2,FALSE)</f>
        <v>CU_ARS_2025_WOF_F2_5_plant_62</v>
      </c>
      <c r="O406" t="str">
        <f>VLOOKUP(C406,CU_ARS_2025_WOF_F2!$A$2:$K$673,2,FALSE)</f>
        <v>CU_ARS_2025_WOF_F2_5_plant_62</v>
      </c>
      <c r="P406" t="str">
        <f>VLOOKUP(C406,CU_ARS_2025_WOF_F2!$A$2:$K$673,3,FALSE)</f>
        <v>CU_ARS_2025_WOF_F2_5</v>
      </c>
      <c r="Q406" t="str">
        <f>VLOOKUP(C406,CU_ARS_2025_WOF_F2!$A$2:$K$673,4,FALSE)</f>
        <v>CU_ARS_2025_WOF_cross_54</v>
      </c>
      <c r="R406">
        <f>VLOOKUP(C406,CU_ARS_2025_WOF_F2!$A$2:$K$673,5,FALSE)</f>
        <v>5</v>
      </c>
      <c r="S406">
        <f>VLOOKUP(C406,CU_ARS_2025_WOF_F2!$A$2:$K$673,6,FALSE)</f>
        <v>1</v>
      </c>
      <c r="T406">
        <f>VLOOKUP(C406,CU_ARS_2025_WOF_F2!$A$2:$K$673,7,FALSE)</f>
        <v>0</v>
      </c>
      <c r="U406">
        <f>VLOOKUP(C406,CU_ARS_2025_WOF_F2!$A$2:$K$673,8,FALSE)</f>
        <v>1</v>
      </c>
      <c r="V406">
        <f>VLOOKUP(C406,CU_ARS_2025_WOF_F2!$A$2:$K$673,9,FALSE)</f>
        <v>0</v>
      </c>
      <c r="W406">
        <f>VLOOKUP(C406,CU_ARS_2025_WOF_F2!$A$2:$K$673,10,FALSE)</f>
        <v>0</v>
      </c>
      <c r="X406">
        <f>VLOOKUP(C406,CU_ARS_2025_WOF_F2!$A$2:$K$673,11,FALSE)</f>
        <v>62</v>
      </c>
      <c r="Y406" t="str">
        <f>VLOOKUP(Q406,cross_pedigree!$A$2:$B$23,2,FALSE)</f>
        <v>Gerard 227/NF13-4126-4_3</v>
      </c>
    </row>
    <row r="407" spans="1:25" ht="18">
      <c r="A407" s="21" t="s">
        <v>15</v>
      </c>
      <c r="B407" s="21" t="s">
        <v>16</v>
      </c>
      <c r="C407" s="22">
        <v>753992</v>
      </c>
      <c r="D407" s="23">
        <v>5</v>
      </c>
      <c r="E407" s="24" t="str">
        <f t="shared" si="6"/>
        <v>CU_ARS_2025_WOF_F2_5_plant_61</v>
      </c>
      <c r="F407" s="21" t="s">
        <v>88</v>
      </c>
      <c r="G407" s="44">
        <v>22</v>
      </c>
      <c r="H407" s="42"/>
      <c r="I407" s="42" t="s">
        <v>1035</v>
      </c>
      <c r="J407" s="42" t="s">
        <v>1003</v>
      </c>
      <c r="K407" s="42"/>
      <c r="L407" s="42"/>
      <c r="M407" s="42"/>
      <c r="N407" t="str">
        <f>VLOOKUP(C407,CU_ARS_2025_WOF_F2!$A$2:$K$673,2,FALSE)</f>
        <v>CU_ARS_2025_WOF_F2_5_plant_61</v>
      </c>
      <c r="O407" t="str">
        <f>VLOOKUP(C407,CU_ARS_2025_WOF_F2!$A$2:$K$673,2,FALSE)</f>
        <v>CU_ARS_2025_WOF_F2_5_plant_61</v>
      </c>
      <c r="P407" t="str">
        <f>VLOOKUP(C407,CU_ARS_2025_WOF_F2!$A$2:$K$673,3,FALSE)</f>
        <v>CU_ARS_2025_WOF_F2_5</v>
      </c>
      <c r="Q407" t="str">
        <f>VLOOKUP(C407,CU_ARS_2025_WOF_F2!$A$2:$K$673,4,FALSE)</f>
        <v>CU_ARS_2025_WOF_cross_54</v>
      </c>
      <c r="R407">
        <f>VLOOKUP(C407,CU_ARS_2025_WOF_F2!$A$2:$K$673,5,FALSE)</f>
        <v>5</v>
      </c>
      <c r="S407">
        <f>VLOOKUP(C407,CU_ARS_2025_WOF_F2!$A$2:$K$673,6,FALSE)</f>
        <v>1</v>
      </c>
      <c r="T407">
        <f>VLOOKUP(C407,CU_ARS_2025_WOF_F2!$A$2:$K$673,7,FALSE)</f>
        <v>0</v>
      </c>
      <c r="U407">
        <f>VLOOKUP(C407,CU_ARS_2025_WOF_F2!$A$2:$K$673,8,FALSE)</f>
        <v>1</v>
      </c>
      <c r="V407">
        <f>VLOOKUP(C407,CU_ARS_2025_WOF_F2!$A$2:$K$673,9,FALSE)</f>
        <v>0</v>
      </c>
      <c r="W407">
        <f>VLOOKUP(C407,CU_ARS_2025_WOF_F2!$A$2:$K$673,10,FALSE)</f>
        <v>0</v>
      </c>
      <c r="X407">
        <f>VLOOKUP(C407,CU_ARS_2025_WOF_F2!$A$2:$K$673,11,FALSE)</f>
        <v>61</v>
      </c>
      <c r="Y407" t="str">
        <f>VLOOKUP(Q407,cross_pedigree!$A$2:$B$23,2,FALSE)</f>
        <v>Gerard 227/NF13-4126-4_3</v>
      </c>
    </row>
    <row r="408" spans="1:25" ht="18">
      <c r="A408" s="21" t="s">
        <v>15</v>
      </c>
      <c r="B408" s="21" t="s">
        <v>16</v>
      </c>
      <c r="C408" s="22">
        <v>754000</v>
      </c>
      <c r="D408" s="23">
        <v>5</v>
      </c>
      <c r="E408" s="24" t="str">
        <f t="shared" si="6"/>
        <v>CU_ARS_2025_WOF_F2_5_plant_69</v>
      </c>
      <c r="F408" s="21" t="s">
        <v>89</v>
      </c>
      <c r="G408" s="44">
        <v>23</v>
      </c>
      <c r="H408" s="42"/>
      <c r="I408" s="42" t="s">
        <v>1035</v>
      </c>
      <c r="J408" s="42" t="s">
        <v>1003</v>
      </c>
      <c r="K408" s="42"/>
      <c r="L408" s="42"/>
      <c r="M408" s="42"/>
      <c r="N408" t="str">
        <f>VLOOKUP(C408,CU_ARS_2025_WOF_F2!$A$2:$K$673,2,FALSE)</f>
        <v>CU_ARS_2025_WOF_F2_5_plant_69</v>
      </c>
      <c r="O408" t="str">
        <f>VLOOKUP(C408,CU_ARS_2025_WOF_F2!$A$2:$K$673,2,FALSE)</f>
        <v>CU_ARS_2025_WOF_F2_5_plant_69</v>
      </c>
      <c r="P408" t="str">
        <f>VLOOKUP(C408,CU_ARS_2025_WOF_F2!$A$2:$K$673,3,FALSE)</f>
        <v>CU_ARS_2025_WOF_F2_5</v>
      </c>
      <c r="Q408" t="str">
        <f>VLOOKUP(C408,CU_ARS_2025_WOF_F2!$A$2:$K$673,4,FALSE)</f>
        <v>CU_ARS_2025_WOF_cross_54</v>
      </c>
      <c r="R408">
        <f>VLOOKUP(C408,CU_ARS_2025_WOF_F2!$A$2:$K$673,5,FALSE)</f>
        <v>5</v>
      </c>
      <c r="S408">
        <f>VLOOKUP(C408,CU_ARS_2025_WOF_F2!$A$2:$K$673,6,FALSE)</f>
        <v>1</v>
      </c>
      <c r="T408">
        <f>VLOOKUP(C408,CU_ARS_2025_WOF_F2!$A$2:$K$673,7,FALSE)</f>
        <v>0</v>
      </c>
      <c r="U408">
        <f>VLOOKUP(C408,CU_ARS_2025_WOF_F2!$A$2:$K$673,8,FALSE)</f>
        <v>1</v>
      </c>
      <c r="V408">
        <f>VLOOKUP(C408,CU_ARS_2025_WOF_F2!$A$2:$K$673,9,FALSE)</f>
        <v>0</v>
      </c>
      <c r="W408">
        <f>VLOOKUP(C408,CU_ARS_2025_WOF_F2!$A$2:$K$673,10,FALSE)</f>
        <v>0</v>
      </c>
      <c r="X408">
        <f>VLOOKUP(C408,CU_ARS_2025_WOF_F2!$A$2:$K$673,11,FALSE)</f>
        <v>69</v>
      </c>
      <c r="Y408" t="str">
        <f>VLOOKUP(Q408,cross_pedigree!$A$2:$B$23,2,FALSE)</f>
        <v>Gerard 227/NF13-4126-4_3</v>
      </c>
    </row>
    <row r="409" spans="1:25" ht="18">
      <c r="A409" s="21" t="s">
        <v>15</v>
      </c>
      <c r="B409" s="21" t="s">
        <v>16</v>
      </c>
      <c r="C409" s="22">
        <v>754001</v>
      </c>
      <c r="D409" s="23">
        <v>5</v>
      </c>
      <c r="E409" s="24" t="str">
        <f t="shared" si="6"/>
        <v>CU_ARS_2025_WOF_F2_5_plant_70</v>
      </c>
      <c r="F409" s="21" t="s">
        <v>90</v>
      </c>
      <c r="G409" s="44">
        <v>24</v>
      </c>
      <c r="H409" s="42"/>
      <c r="I409" s="42" t="s">
        <v>1035</v>
      </c>
      <c r="J409" s="42" t="s">
        <v>1003</v>
      </c>
      <c r="K409" s="42"/>
      <c r="L409" s="42"/>
      <c r="M409" s="42"/>
      <c r="N409" t="str">
        <f>VLOOKUP(C409,CU_ARS_2025_WOF_F2!$A$2:$K$673,2,FALSE)</f>
        <v>CU_ARS_2025_WOF_F2_5_plant_70</v>
      </c>
      <c r="O409" t="str">
        <f>VLOOKUP(C409,CU_ARS_2025_WOF_F2!$A$2:$K$673,2,FALSE)</f>
        <v>CU_ARS_2025_WOF_F2_5_plant_70</v>
      </c>
      <c r="P409" t="str">
        <f>VLOOKUP(C409,CU_ARS_2025_WOF_F2!$A$2:$K$673,3,FALSE)</f>
        <v>CU_ARS_2025_WOF_F2_5</v>
      </c>
      <c r="Q409" t="str">
        <f>VLOOKUP(C409,CU_ARS_2025_WOF_F2!$A$2:$K$673,4,FALSE)</f>
        <v>CU_ARS_2025_WOF_cross_54</v>
      </c>
      <c r="R409">
        <f>VLOOKUP(C409,CU_ARS_2025_WOF_F2!$A$2:$K$673,5,FALSE)</f>
        <v>5</v>
      </c>
      <c r="S409">
        <f>VLOOKUP(C409,CU_ARS_2025_WOF_F2!$A$2:$K$673,6,FALSE)</f>
        <v>1</v>
      </c>
      <c r="T409">
        <f>VLOOKUP(C409,CU_ARS_2025_WOF_F2!$A$2:$K$673,7,FALSE)</f>
        <v>0</v>
      </c>
      <c r="U409">
        <f>VLOOKUP(C409,CU_ARS_2025_WOF_F2!$A$2:$K$673,8,FALSE)</f>
        <v>1</v>
      </c>
      <c r="V409">
        <f>VLOOKUP(C409,CU_ARS_2025_WOF_F2!$A$2:$K$673,9,FALSE)</f>
        <v>0</v>
      </c>
      <c r="W409">
        <f>VLOOKUP(C409,CU_ARS_2025_WOF_F2!$A$2:$K$673,10,FALSE)</f>
        <v>0</v>
      </c>
      <c r="X409">
        <f>VLOOKUP(C409,CU_ARS_2025_WOF_F2!$A$2:$K$673,11,FALSE)</f>
        <v>70</v>
      </c>
      <c r="Y409" t="str">
        <f>VLOOKUP(Q409,cross_pedigree!$A$2:$B$23,2,FALSE)</f>
        <v>Gerard 227/NF13-4126-4_3</v>
      </c>
    </row>
    <row r="410" spans="1:25" ht="18">
      <c r="A410" s="21" t="s">
        <v>15</v>
      </c>
      <c r="B410" s="21" t="s">
        <v>16</v>
      </c>
      <c r="C410" s="22">
        <v>754024</v>
      </c>
      <c r="D410" s="23">
        <v>5</v>
      </c>
      <c r="E410" s="24" t="str">
        <f t="shared" si="6"/>
        <v>CU_ARS_2025_WOF_F2_3_plant_10</v>
      </c>
      <c r="F410" s="21" t="s">
        <v>132</v>
      </c>
      <c r="G410" s="44">
        <v>25</v>
      </c>
      <c r="H410" s="42"/>
      <c r="I410" s="42" t="s">
        <v>1047</v>
      </c>
      <c r="J410" s="42" t="s">
        <v>1003</v>
      </c>
      <c r="K410" s="42"/>
      <c r="L410" s="42"/>
      <c r="M410" s="42"/>
      <c r="N410" t="str">
        <f>VLOOKUP(C410,CU_ARS_2025_WOF_F2!$A$2:$K$673,2,FALSE)</f>
        <v>CU_ARS_2025_WOF_F2_3_plant_10</v>
      </c>
      <c r="O410" t="str">
        <f>VLOOKUP(C410,CU_ARS_2025_WOF_F2!$A$2:$K$673,2,FALSE)</f>
        <v>CU_ARS_2025_WOF_F2_3_plant_10</v>
      </c>
      <c r="P410" t="str">
        <f>VLOOKUP(C410,CU_ARS_2025_WOF_F2!$A$2:$K$673,3,FALSE)</f>
        <v>CU_ARS_2025_WOF_F2_3</v>
      </c>
      <c r="Q410" t="str">
        <f>VLOOKUP(C410,CU_ARS_2025_WOF_F2!$A$2:$K$673,4,FALSE)</f>
        <v>CU_ARS_2025_WOF_cross_87</v>
      </c>
      <c r="R410">
        <f>VLOOKUP(C410,CU_ARS_2025_WOF_F2!$A$2:$K$673,5,FALSE)</f>
        <v>3</v>
      </c>
      <c r="S410">
        <f>VLOOKUP(C410,CU_ARS_2025_WOF_F2!$A$2:$K$673,6,FALSE)</f>
        <v>1</v>
      </c>
      <c r="T410">
        <f>VLOOKUP(C410,CU_ARS_2025_WOF_F2!$A$2:$K$673,7,FALSE)</f>
        <v>0</v>
      </c>
      <c r="U410">
        <f>VLOOKUP(C410,CU_ARS_2025_WOF_F2!$A$2:$K$673,8,FALSE)</f>
        <v>1</v>
      </c>
      <c r="V410">
        <f>VLOOKUP(C410,CU_ARS_2025_WOF_F2!$A$2:$K$673,9,FALSE)</f>
        <v>0</v>
      </c>
      <c r="W410">
        <f>VLOOKUP(C410,CU_ARS_2025_WOF_F2!$A$2:$K$673,10,FALSE)</f>
        <v>0</v>
      </c>
      <c r="X410">
        <f>VLOOKUP(C410,CU_ARS_2025_WOF_F2!$A$2:$K$673,11,FALSE)</f>
        <v>10</v>
      </c>
      <c r="Y410" t="str">
        <f>VLOOKUP(Q410,cross_pedigree!$A$2:$B$23,2,FALSE)</f>
        <v>Gerard 227/PA8014-840</v>
      </c>
    </row>
    <row r="411" spans="1:25" ht="18">
      <c r="A411" s="21" t="s">
        <v>15</v>
      </c>
      <c r="B411" s="21" t="s">
        <v>16</v>
      </c>
      <c r="C411" s="22">
        <v>754023</v>
      </c>
      <c r="D411" s="23">
        <v>5</v>
      </c>
      <c r="E411" s="24" t="str">
        <f t="shared" si="6"/>
        <v>CU_ARS_2025_WOF_F2_3_plant_9</v>
      </c>
      <c r="F411" s="21" t="s">
        <v>134</v>
      </c>
      <c r="G411" s="44">
        <v>26</v>
      </c>
      <c r="H411" s="42"/>
      <c r="I411" s="42" t="s">
        <v>1047</v>
      </c>
      <c r="J411" s="42" t="s">
        <v>1003</v>
      </c>
      <c r="K411" s="42"/>
      <c r="L411" s="42"/>
      <c r="M411" s="42"/>
      <c r="N411" t="str">
        <f>VLOOKUP(C411,CU_ARS_2025_WOF_F2!$A$2:$K$673,2,FALSE)</f>
        <v>CU_ARS_2025_WOF_F2_3_plant_9</v>
      </c>
      <c r="O411" t="str">
        <f>VLOOKUP(C411,CU_ARS_2025_WOF_F2!$A$2:$K$673,2,FALSE)</f>
        <v>CU_ARS_2025_WOF_F2_3_plant_9</v>
      </c>
      <c r="P411" t="str">
        <f>VLOOKUP(C411,CU_ARS_2025_WOF_F2!$A$2:$K$673,3,FALSE)</f>
        <v>CU_ARS_2025_WOF_F2_3</v>
      </c>
      <c r="Q411" t="str">
        <f>VLOOKUP(C411,CU_ARS_2025_WOF_F2!$A$2:$K$673,4,FALSE)</f>
        <v>CU_ARS_2025_WOF_cross_87</v>
      </c>
      <c r="R411">
        <f>VLOOKUP(C411,CU_ARS_2025_WOF_F2!$A$2:$K$673,5,FALSE)</f>
        <v>3</v>
      </c>
      <c r="S411">
        <f>VLOOKUP(C411,CU_ARS_2025_WOF_F2!$A$2:$K$673,6,FALSE)</f>
        <v>1</v>
      </c>
      <c r="T411">
        <f>VLOOKUP(C411,CU_ARS_2025_WOF_F2!$A$2:$K$673,7,FALSE)</f>
        <v>0</v>
      </c>
      <c r="U411">
        <f>VLOOKUP(C411,CU_ARS_2025_WOF_F2!$A$2:$K$673,8,FALSE)</f>
        <v>1</v>
      </c>
      <c r="V411">
        <f>VLOOKUP(C411,CU_ARS_2025_WOF_F2!$A$2:$K$673,9,FALSE)</f>
        <v>0</v>
      </c>
      <c r="W411">
        <f>VLOOKUP(C411,CU_ARS_2025_WOF_F2!$A$2:$K$673,10,FALSE)</f>
        <v>0</v>
      </c>
      <c r="X411">
        <f>VLOOKUP(C411,CU_ARS_2025_WOF_F2!$A$2:$K$673,11,FALSE)</f>
        <v>9</v>
      </c>
      <c r="Y411" t="str">
        <f>VLOOKUP(Q411,cross_pedigree!$A$2:$B$23,2,FALSE)</f>
        <v>Gerard 227/PA8014-840</v>
      </c>
    </row>
    <row r="412" spans="1:25" ht="18">
      <c r="A412" s="21" t="s">
        <v>15</v>
      </c>
      <c r="B412" s="21" t="s">
        <v>16</v>
      </c>
      <c r="C412" s="22">
        <v>754022</v>
      </c>
      <c r="D412" s="23">
        <v>5</v>
      </c>
      <c r="E412" s="24" t="str">
        <f t="shared" si="6"/>
        <v>CU_ARS_2025_WOF_F2_3_plant_8</v>
      </c>
      <c r="F412" s="21" t="s">
        <v>136</v>
      </c>
      <c r="G412" s="44">
        <v>27</v>
      </c>
      <c r="H412" s="42"/>
      <c r="I412" s="42" t="s">
        <v>1047</v>
      </c>
      <c r="J412" s="42" t="s">
        <v>1003</v>
      </c>
      <c r="K412" s="42"/>
      <c r="L412" s="42"/>
      <c r="M412" s="42"/>
      <c r="N412" t="str">
        <f>VLOOKUP(C412,CU_ARS_2025_WOF_F2!$A$2:$K$673,2,FALSE)</f>
        <v>CU_ARS_2025_WOF_F2_3_plant_8</v>
      </c>
      <c r="O412" t="str">
        <f>VLOOKUP(C412,CU_ARS_2025_WOF_F2!$A$2:$K$673,2,FALSE)</f>
        <v>CU_ARS_2025_WOF_F2_3_plant_8</v>
      </c>
      <c r="P412" t="str">
        <f>VLOOKUP(C412,CU_ARS_2025_WOF_F2!$A$2:$K$673,3,FALSE)</f>
        <v>CU_ARS_2025_WOF_F2_3</v>
      </c>
      <c r="Q412" t="str">
        <f>VLOOKUP(C412,CU_ARS_2025_WOF_F2!$A$2:$K$673,4,FALSE)</f>
        <v>CU_ARS_2025_WOF_cross_87</v>
      </c>
      <c r="R412">
        <f>VLOOKUP(C412,CU_ARS_2025_WOF_F2!$A$2:$K$673,5,FALSE)</f>
        <v>3</v>
      </c>
      <c r="S412">
        <f>VLOOKUP(C412,CU_ARS_2025_WOF_F2!$A$2:$K$673,6,FALSE)</f>
        <v>1</v>
      </c>
      <c r="T412">
        <f>VLOOKUP(C412,CU_ARS_2025_WOF_F2!$A$2:$K$673,7,FALSE)</f>
        <v>0</v>
      </c>
      <c r="U412">
        <f>VLOOKUP(C412,CU_ARS_2025_WOF_F2!$A$2:$K$673,8,FALSE)</f>
        <v>1</v>
      </c>
      <c r="V412">
        <f>VLOOKUP(C412,CU_ARS_2025_WOF_F2!$A$2:$K$673,9,FALSE)</f>
        <v>0</v>
      </c>
      <c r="W412">
        <f>VLOOKUP(C412,CU_ARS_2025_WOF_F2!$A$2:$K$673,10,FALSE)</f>
        <v>0</v>
      </c>
      <c r="X412">
        <f>VLOOKUP(C412,CU_ARS_2025_WOF_F2!$A$2:$K$673,11,FALSE)</f>
        <v>8</v>
      </c>
      <c r="Y412" t="str">
        <f>VLOOKUP(Q412,cross_pedigree!$A$2:$B$23,2,FALSE)</f>
        <v>Gerard 227/PA8014-840</v>
      </c>
    </row>
    <row r="413" spans="1:25" ht="18">
      <c r="A413" s="21" t="s">
        <v>15</v>
      </c>
      <c r="B413" s="21" t="s">
        <v>16</v>
      </c>
      <c r="C413" s="22">
        <v>754028</v>
      </c>
      <c r="D413" s="23">
        <v>5</v>
      </c>
      <c r="E413" s="24" t="str">
        <f t="shared" si="6"/>
        <v>CU_ARS_2025_WOF_F2_3_plant_14</v>
      </c>
      <c r="F413" s="21" t="s">
        <v>138</v>
      </c>
      <c r="G413" s="44">
        <v>28</v>
      </c>
      <c r="H413" s="42"/>
      <c r="I413" s="42" t="s">
        <v>1047</v>
      </c>
      <c r="J413" s="42" t="s">
        <v>1003</v>
      </c>
      <c r="K413" s="42"/>
      <c r="L413" s="42"/>
      <c r="M413" s="42"/>
      <c r="N413" t="str">
        <f>VLOOKUP(C413,CU_ARS_2025_WOF_F2!$A$2:$K$673,2,FALSE)</f>
        <v>CU_ARS_2025_WOF_F2_3_plant_14</v>
      </c>
      <c r="O413" t="str">
        <f>VLOOKUP(C413,CU_ARS_2025_WOF_F2!$A$2:$K$673,2,FALSE)</f>
        <v>CU_ARS_2025_WOF_F2_3_plant_14</v>
      </c>
      <c r="P413" t="str">
        <f>VLOOKUP(C413,CU_ARS_2025_WOF_F2!$A$2:$K$673,3,FALSE)</f>
        <v>CU_ARS_2025_WOF_F2_3</v>
      </c>
      <c r="Q413" t="str">
        <f>VLOOKUP(C413,CU_ARS_2025_WOF_F2!$A$2:$K$673,4,FALSE)</f>
        <v>CU_ARS_2025_WOF_cross_87</v>
      </c>
      <c r="R413">
        <f>VLOOKUP(C413,CU_ARS_2025_WOF_F2!$A$2:$K$673,5,FALSE)</f>
        <v>3</v>
      </c>
      <c r="S413">
        <f>VLOOKUP(C413,CU_ARS_2025_WOF_F2!$A$2:$K$673,6,FALSE)</f>
        <v>1</v>
      </c>
      <c r="T413">
        <f>VLOOKUP(C413,CU_ARS_2025_WOF_F2!$A$2:$K$673,7,FALSE)</f>
        <v>0</v>
      </c>
      <c r="U413">
        <f>VLOOKUP(C413,CU_ARS_2025_WOF_F2!$A$2:$K$673,8,FALSE)</f>
        <v>1</v>
      </c>
      <c r="V413">
        <f>VLOOKUP(C413,CU_ARS_2025_WOF_F2!$A$2:$K$673,9,FALSE)</f>
        <v>0</v>
      </c>
      <c r="W413">
        <f>VLOOKUP(C413,CU_ARS_2025_WOF_F2!$A$2:$K$673,10,FALSE)</f>
        <v>0</v>
      </c>
      <c r="X413">
        <f>VLOOKUP(C413,CU_ARS_2025_WOF_F2!$A$2:$K$673,11,FALSE)</f>
        <v>14</v>
      </c>
      <c r="Y413" t="str">
        <f>VLOOKUP(Q413,cross_pedigree!$A$2:$B$23,2,FALSE)</f>
        <v>Gerard 227/PA8014-840</v>
      </c>
    </row>
    <row r="414" spans="1:25" ht="18">
      <c r="A414" s="21" t="s">
        <v>15</v>
      </c>
      <c r="B414" s="21" t="s">
        <v>16</v>
      </c>
      <c r="C414" s="22">
        <v>754029</v>
      </c>
      <c r="D414" s="23">
        <v>5</v>
      </c>
      <c r="E414" s="24" t="str">
        <f t="shared" si="6"/>
        <v>CU_ARS_2025_WOF_F2_3_plant_15</v>
      </c>
      <c r="F414" s="21" t="s">
        <v>140</v>
      </c>
      <c r="G414" s="44">
        <v>29</v>
      </c>
      <c r="H414" s="42"/>
      <c r="I414" s="42" t="s">
        <v>1047</v>
      </c>
      <c r="J414" s="42" t="s">
        <v>1003</v>
      </c>
      <c r="K414" s="42"/>
      <c r="L414" s="42"/>
      <c r="M414" s="42"/>
      <c r="N414" t="str">
        <f>VLOOKUP(C414,CU_ARS_2025_WOF_F2!$A$2:$K$673,2,FALSE)</f>
        <v>CU_ARS_2025_WOF_F2_3_plant_15</v>
      </c>
      <c r="O414" t="str">
        <f>VLOOKUP(C414,CU_ARS_2025_WOF_F2!$A$2:$K$673,2,FALSE)</f>
        <v>CU_ARS_2025_WOF_F2_3_plant_15</v>
      </c>
      <c r="P414" t="str">
        <f>VLOOKUP(C414,CU_ARS_2025_WOF_F2!$A$2:$K$673,3,FALSE)</f>
        <v>CU_ARS_2025_WOF_F2_3</v>
      </c>
      <c r="Q414" t="str">
        <f>VLOOKUP(C414,CU_ARS_2025_WOF_F2!$A$2:$K$673,4,FALSE)</f>
        <v>CU_ARS_2025_WOF_cross_87</v>
      </c>
      <c r="R414">
        <f>VLOOKUP(C414,CU_ARS_2025_WOF_F2!$A$2:$K$673,5,FALSE)</f>
        <v>3</v>
      </c>
      <c r="S414">
        <f>VLOOKUP(C414,CU_ARS_2025_WOF_F2!$A$2:$K$673,6,FALSE)</f>
        <v>1</v>
      </c>
      <c r="T414">
        <f>VLOOKUP(C414,CU_ARS_2025_WOF_F2!$A$2:$K$673,7,FALSE)</f>
        <v>0</v>
      </c>
      <c r="U414">
        <f>VLOOKUP(C414,CU_ARS_2025_WOF_F2!$A$2:$K$673,8,FALSE)</f>
        <v>1</v>
      </c>
      <c r="V414">
        <f>VLOOKUP(C414,CU_ARS_2025_WOF_F2!$A$2:$K$673,9,FALSE)</f>
        <v>0</v>
      </c>
      <c r="W414">
        <f>VLOOKUP(C414,CU_ARS_2025_WOF_F2!$A$2:$K$673,10,FALSE)</f>
        <v>0</v>
      </c>
      <c r="X414">
        <f>VLOOKUP(C414,CU_ARS_2025_WOF_F2!$A$2:$K$673,11,FALSE)</f>
        <v>15</v>
      </c>
      <c r="Y414" t="str">
        <f>VLOOKUP(Q414,cross_pedigree!$A$2:$B$23,2,FALSE)</f>
        <v>Gerard 227/PA8014-840</v>
      </c>
    </row>
    <row r="415" spans="1:25" ht="18">
      <c r="A415" s="21" t="s">
        <v>15</v>
      </c>
      <c r="B415" s="21" t="s">
        <v>16</v>
      </c>
      <c r="C415" s="22">
        <v>754045</v>
      </c>
      <c r="D415" s="23">
        <v>5</v>
      </c>
      <c r="E415" s="24" t="str">
        <f t="shared" si="6"/>
        <v>CU_ARS_2025_WOF_F2_3_plant_31</v>
      </c>
      <c r="F415" s="21" t="s">
        <v>142</v>
      </c>
      <c r="G415" s="44">
        <v>30</v>
      </c>
      <c r="H415" s="42"/>
      <c r="I415" s="42" t="s">
        <v>1047</v>
      </c>
      <c r="J415" s="42" t="s">
        <v>1003</v>
      </c>
      <c r="K415" s="42"/>
      <c r="L415" s="42"/>
      <c r="M415" s="42"/>
      <c r="N415" t="str">
        <f>VLOOKUP(C415,CU_ARS_2025_WOF_F2!$A$2:$K$673,2,FALSE)</f>
        <v>CU_ARS_2025_WOF_F2_3_plant_31</v>
      </c>
      <c r="O415" t="str">
        <f>VLOOKUP(C415,CU_ARS_2025_WOF_F2!$A$2:$K$673,2,FALSE)</f>
        <v>CU_ARS_2025_WOF_F2_3_plant_31</v>
      </c>
      <c r="P415" t="str">
        <f>VLOOKUP(C415,CU_ARS_2025_WOF_F2!$A$2:$K$673,3,FALSE)</f>
        <v>CU_ARS_2025_WOF_F2_3</v>
      </c>
      <c r="Q415" t="str">
        <f>VLOOKUP(C415,CU_ARS_2025_WOF_F2!$A$2:$K$673,4,FALSE)</f>
        <v>CU_ARS_2025_WOF_cross_87</v>
      </c>
      <c r="R415">
        <f>VLOOKUP(C415,CU_ARS_2025_WOF_F2!$A$2:$K$673,5,FALSE)</f>
        <v>3</v>
      </c>
      <c r="S415">
        <f>VLOOKUP(C415,CU_ARS_2025_WOF_F2!$A$2:$K$673,6,FALSE)</f>
        <v>1</v>
      </c>
      <c r="T415">
        <f>VLOOKUP(C415,CU_ARS_2025_WOF_F2!$A$2:$K$673,7,FALSE)</f>
        <v>0</v>
      </c>
      <c r="U415">
        <f>VLOOKUP(C415,CU_ARS_2025_WOF_F2!$A$2:$K$673,8,FALSE)</f>
        <v>1</v>
      </c>
      <c r="V415">
        <f>VLOOKUP(C415,CU_ARS_2025_WOF_F2!$A$2:$K$673,9,FALSE)</f>
        <v>0</v>
      </c>
      <c r="W415">
        <f>VLOOKUP(C415,CU_ARS_2025_WOF_F2!$A$2:$K$673,10,FALSE)</f>
        <v>0</v>
      </c>
      <c r="X415">
        <f>VLOOKUP(C415,CU_ARS_2025_WOF_F2!$A$2:$K$673,11,FALSE)</f>
        <v>31</v>
      </c>
      <c r="Y415" t="str">
        <f>VLOOKUP(Q415,cross_pedigree!$A$2:$B$23,2,FALSE)</f>
        <v>Gerard 227/PA8014-840</v>
      </c>
    </row>
    <row r="416" spans="1:25" ht="18">
      <c r="A416" s="21" t="s">
        <v>15</v>
      </c>
      <c r="B416" s="21" t="s">
        <v>16</v>
      </c>
      <c r="C416" s="22">
        <v>754043</v>
      </c>
      <c r="D416" s="23">
        <v>5</v>
      </c>
      <c r="E416" s="24" t="str">
        <f t="shared" si="6"/>
        <v>CU_ARS_2025_WOF_F2_3_plant_29</v>
      </c>
      <c r="F416" s="21" t="s">
        <v>144</v>
      </c>
      <c r="G416" s="44">
        <v>31</v>
      </c>
      <c r="H416" s="42"/>
      <c r="I416" s="42" t="s">
        <v>1047</v>
      </c>
      <c r="J416" s="42" t="s">
        <v>1003</v>
      </c>
      <c r="K416" s="42"/>
      <c r="L416" s="42"/>
      <c r="M416" s="42"/>
      <c r="N416" t="str">
        <f>VLOOKUP(C416,CU_ARS_2025_WOF_F2!$A$2:$K$673,2,FALSE)</f>
        <v>CU_ARS_2025_WOF_F2_3_plant_29</v>
      </c>
      <c r="O416" t="str">
        <f>VLOOKUP(C416,CU_ARS_2025_WOF_F2!$A$2:$K$673,2,FALSE)</f>
        <v>CU_ARS_2025_WOF_F2_3_plant_29</v>
      </c>
      <c r="P416" t="str">
        <f>VLOOKUP(C416,CU_ARS_2025_WOF_F2!$A$2:$K$673,3,FALSE)</f>
        <v>CU_ARS_2025_WOF_F2_3</v>
      </c>
      <c r="Q416" t="str">
        <f>VLOOKUP(C416,CU_ARS_2025_WOF_F2!$A$2:$K$673,4,FALSE)</f>
        <v>CU_ARS_2025_WOF_cross_87</v>
      </c>
      <c r="R416">
        <f>VLOOKUP(C416,CU_ARS_2025_WOF_F2!$A$2:$K$673,5,FALSE)</f>
        <v>3</v>
      </c>
      <c r="S416">
        <f>VLOOKUP(C416,CU_ARS_2025_WOF_F2!$A$2:$K$673,6,FALSE)</f>
        <v>1</v>
      </c>
      <c r="T416">
        <f>VLOOKUP(C416,CU_ARS_2025_WOF_F2!$A$2:$K$673,7,FALSE)</f>
        <v>0</v>
      </c>
      <c r="U416">
        <f>VLOOKUP(C416,CU_ARS_2025_WOF_F2!$A$2:$K$673,8,FALSE)</f>
        <v>1</v>
      </c>
      <c r="V416">
        <f>VLOOKUP(C416,CU_ARS_2025_WOF_F2!$A$2:$K$673,9,FALSE)</f>
        <v>0</v>
      </c>
      <c r="W416">
        <f>VLOOKUP(C416,CU_ARS_2025_WOF_F2!$A$2:$K$673,10,FALSE)</f>
        <v>0</v>
      </c>
      <c r="X416">
        <f>VLOOKUP(C416,CU_ARS_2025_WOF_F2!$A$2:$K$673,11,FALSE)</f>
        <v>29</v>
      </c>
      <c r="Y416" t="str">
        <f>VLOOKUP(Q416,cross_pedigree!$A$2:$B$23,2,FALSE)</f>
        <v>Gerard 227/PA8014-840</v>
      </c>
    </row>
    <row r="417" spans="1:25" ht="18">
      <c r="A417" s="21" t="s">
        <v>15</v>
      </c>
      <c r="B417" s="21" t="s">
        <v>16</v>
      </c>
      <c r="C417" s="22">
        <v>754044</v>
      </c>
      <c r="D417" s="23">
        <v>5</v>
      </c>
      <c r="E417" s="24" t="str">
        <f t="shared" si="6"/>
        <v>CU_ARS_2025_WOF_F2_3_plant_30</v>
      </c>
      <c r="F417" s="21" t="s">
        <v>146</v>
      </c>
      <c r="G417" s="44">
        <v>32</v>
      </c>
      <c r="H417" s="42"/>
      <c r="I417" s="42" t="s">
        <v>1047</v>
      </c>
      <c r="J417" s="42" t="s">
        <v>1003</v>
      </c>
      <c r="K417" s="42"/>
      <c r="L417" s="42"/>
      <c r="M417" s="42"/>
      <c r="N417" t="str">
        <f>VLOOKUP(C417,CU_ARS_2025_WOF_F2!$A$2:$K$673,2,FALSE)</f>
        <v>CU_ARS_2025_WOF_F2_3_plant_30</v>
      </c>
      <c r="O417" t="str">
        <f>VLOOKUP(C417,CU_ARS_2025_WOF_F2!$A$2:$K$673,2,FALSE)</f>
        <v>CU_ARS_2025_WOF_F2_3_plant_30</v>
      </c>
      <c r="P417" t="str">
        <f>VLOOKUP(C417,CU_ARS_2025_WOF_F2!$A$2:$K$673,3,FALSE)</f>
        <v>CU_ARS_2025_WOF_F2_3</v>
      </c>
      <c r="Q417" t="str">
        <f>VLOOKUP(C417,CU_ARS_2025_WOF_F2!$A$2:$K$673,4,FALSE)</f>
        <v>CU_ARS_2025_WOF_cross_87</v>
      </c>
      <c r="R417">
        <f>VLOOKUP(C417,CU_ARS_2025_WOF_F2!$A$2:$K$673,5,FALSE)</f>
        <v>3</v>
      </c>
      <c r="S417">
        <f>VLOOKUP(C417,CU_ARS_2025_WOF_F2!$A$2:$K$673,6,FALSE)</f>
        <v>1</v>
      </c>
      <c r="T417">
        <f>VLOOKUP(C417,CU_ARS_2025_WOF_F2!$A$2:$K$673,7,FALSE)</f>
        <v>0</v>
      </c>
      <c r="U417">
        <f>VLOOKUP(C417,CU_ARS_2025_WOF_F2!$A$2:$K$673,8,FALSE)</f>
        <v>1</v>
      </c>
      <c r="V417">
        <f>VLOOKUP(C417,CU_ARS_2025_WOF_F2!$A$2:$K$673,9,FALSE)</f>
        <v>0</v>
      </c>
      <c r="W417">
        <f>VLOOKUP(C417,CU_ARS_2025_WOF_F2!$A$2:$K$673,10,FALSE)</f>
        <v>0</v>
      </c>
      <c r="X417">
        <f>VLOOKUP(C417,CU_ARS_2025_WOF_F2!$A$2:$K$673,11,FALSE)</f>
        <v>30</v>
      </c>
      <c r="Y417" t="str">
        <f>VLOOKUP(Q417,cross_pedigree!$A$2:$B$23,2,FALSE)</f>
        <v>Gerard 227/PA8014-840</v>
      </c>
    </row>
    <row r="418" spans="1:25" ht="18">
      <c r="A418" s="21" t="s">
        <v>15</v>
      </c>
      <c r="B418" s="21" t="s">
        <v>16</v>
      </c>
      <c r="C418" s="22">
        <v>754059</v>
      </c>
      <c r="D418" s="23">
        <v>5</v>
      </c>
      <c r="E418" s="24" t="str">
        <f t="shared" si="6"/>
        <v>CU_ARS_2025_WOF_F2_3_plant_45</v>
      </c>
      <c r="F418" s="21" t="s">
        <v>148</v>
      </c>
      <c r="G418" s="44">
        <v>33</v>
      </c>
      <c r="H418" s="42"/>
      <c r="I418" s="42" t="s">
        <v>1047</v>
      </c>
      <c r="J418" s="42" t="s">
        <v>1003</v>
      </c>
      <c r="K418" s="42"/>
      <c r="L418" s="42"/>
      <c r="M418" s="42"/>
      <c r="N418" t="str">
        <f>VLOOKUP(C418,CU_ARS_2025_WOF_F2!$A$2:$K$673,2,FALSE)</f>
        <v>CU_ARS_2025_WOF_F2_3_plant_45</v>
      </c>
      <c r="O418" t="str">
        <f>VLOOKUP(C418,CU_ARS_2025_WOF_F2!$A$2:$K$673,2,FALSE)</f>
        <v>CU_ARS_2025_WOF_F2_3_plant_45</v>
      </c>
      <c r="P418" t="str">
        <f>VLOOKUP(C418,CU_ARS_2025_WOF_F2!$A$2:$K$673,3,FALSE)</f>
        <v>CU_ARS_2025_WOF_F2_3</v>
      </c>
      <c r="Q418" t="str">
        <f>VLOOKUP(C418,CU_ARS_2025_WOF_F2!$A$2:$K$673,4,FALSE)</f>
        <v>CU_ARS_2025_WOF_cross_87</v>
      </c>
      <c r="R418">
        <f>VLOOKUP(C418,CU_ARS_2025_WOF_F2!$A$2:$K$673,5,FALSE)</f>
        <v>3</v>
      </c>
      <c r="S418">
        <f>VLOOKUP(C418,CU_ARS_2025_WOF_F2!$A$2:$K$673,6,FALSE)</f>
        <v>1</v>
      </c>
      <c r="T418">
        <f>VLOOKUP(C418,CU_ARS_2025_WOF_F2!$A$2:$K$673,7,FALSE)</f>
        <v>0</v>
      </c>
      <c r="U418">
        <f>VLOOKUP(C418,CU_ARS_2025_WOF_F2!$A$2:$K$673,8,FALSE)</f>
        <v>1</v>
      </c>
      <c r="V418">
        <f>VLOOKUP(C418,CU_ARS_2025_WOF_F2!$A$2:$K$673,9,FALSE)</f>
        <v>0</v>
      </c>
      <c r="W418">
        <f>VLOOKUP(C418,CU_ARS_2025_WOF_F2!$A$2:$K$673,10,FALSE)</f>
        <v>0</v>
      </c>
      <c r="X418">
        <f>VLOOKUP(C418,CU_ARS_2025_WOF_F2!$A$2:$K$673,11,FALSE)</f>
        <v>45</v>
      </c>
      <c r="Y418" t="str">
        <f>VLOOKUP(Q418,cross_pedigree!$A$2:$B$23,2,FALSE)</f>
        <v>Gerard 227/PA8014-840</v>
      </c>
    </row>
    <row r="419" spans="1:25" ht="18">
      <c r="A419" s="21" t="s">
        <v>15</v>
      </c>
      <c r="B419" s="21" t="s">
        <v>16</v>
      </c>
      <c r="C419" s="22">
        <v>754053</v>
      </c>
      <c r="D419" s="23">
        <v>5</v>
      </c>
      <c r="E419" s="24" t="str">
        <f t="shared" si="6"/>
        <v>CU_ARS_2025_WOF_F2_3_plant_39</v>
      </c>
      <c r="F419" s="21" t="s">
        <v>150</v>
      </c>
      <c r="G419" s="44">
        <v>34</v>
      </c>
      <c r="H419" s="42"/>
      <c r="I419" s="42" t="s">
        <v>1047</v>
      </c>
      <c r="J419" s="42" t="s">
        <v>1003</v>
      </c>
      <c r="K419" s="42"/>
      <c r="L419" s="42"/>
      <c r="M419" s="42"/>
      <c r="N419" t="str">
        <f>VLOOKUP(C419,CU_ARS_2025_WOF_F2!$A$2:$K$673,2,FALSE)</f>
        <v>CU_ARS_2025_WOF_F2_3_plant_39</v>
      </c>
      <c r="O419" t="str">
        <f>VLOOKUP(C419,CU_ARS_2025_WOF_F2!$A$2:$K$673,2,FALSE)</f>
        <v>CU_ARS_2025_WOF_F2_3_plant_39</v>
      </c>
      <c r="P419" t="str">
        <f>VLOOKUP(C419,CU_ARS_2025_WOF_F2!$A$2:$K$673,3,FALSE)</f>
        <v>CU_ARS_2025_WOF_F2_3</v>
      </c>
      <c r="Q419" t="str">
        <f>VLOOKUP(C419,CU_ARS_2025_WOF_F2!$A$2:$K$673,4,FALSE)</f>
        <v>CU_ARS_2025_WOF_cross_87</v>
      </c>
      <c r="R419">
        <f>VLOOKUP(C419,CU_ARS_2025_WOF_F2!$A$2:$K$673,5,FALSE)</f>
        <v>3</v>
      </c>
      <c r="S419">
        <f>VLOOKUP(C419,CU_ARS_2025_WOF_F2!$A$2:$K$673,6,FALSE)</f>
        <v>1</v>
      </c>
      <c r="T419">
        <f>VLOOKUP(C419,CU_ARS_2025_WOF_F2!$A$2:$K$673,7,FALSE)</f>
        <v>0</v>
      </c>
      <c r="U419">
        <f>VLOOKUP(C419,CU_ARS_2025_WOF_F2!$A$2:$K$673,8,FALSE)</f>
        <v>1</v>
      </c>
      <c r="V419">
        <f>VLOOKUP(C419,CU_ARS_2025_WOF_F2!$A$2:$K$673,9,FALSE)</f>
        <v>0</v>
      </c>
      <c r="W419">
        <f>VLOOKUP(C419,CU_ARS_2025_WOF_F2!$A$2:$K$673,10,FALSE)</f>
        <v>0</v>
      </c>
      <c r="X419">
        <f>VLOOKUP(C419,CU_ARS_2025_WOF_F2!$A$2:$K$673,11,FALSE)</f>
        <v>39</v>
      </c>
      <c r="Y419" t="str">
        <f>VLOOKUP(Q419,cross_pedigree!$A$2:$B$23,2,FALSE)</f>
        <v>Gerard 227/PA8014-840</v>
      </c>
    </row>
    <row r="420" spans="1:25" ht="18">
      <c r="A420" s="21" t="s">
        <v>15</v>
      </c>
      <c r="B420" s="21" t="s">
        <v>16</v>
      </c>
      <c r="C420" s="22">
        <v>754052</v>
      </c>
      <c r="D420" s="23">
        <v>5</v>
      </c>
      <c r="E420" s="24" t="str">
        <f t="shared" si="6"/>
        <v>CU_ARS_2025_WOF_F2_3_plant_38</v>
      </c>
      <c r="F420" s="21" t="s">
        <v>13</v>
      </c>
      <c r="G420" s="44">
        <v>35</v>
      </c>
      <c r="H420" s="42"/>
      <c r="I420" s="42" t="s">
        <v>1047</v>
      </c>
      <c r="J420" s="42" t="s">
        <v>1003</v>
      </c>
      <c r="K420" s="42"/>
      <c r="L420" s="42"/>
      <c r="M420" s="42"/>
      <c r="N420" t="str">
        <f>VLOOKUP(C420,CU_ARS_2025_WOF_F2!$A$2:$K$673,2,FALSE)</f>
        <v>CU_ARS_2025_WOF_F2_3_plant_38</v>
      </c>
      <c r="O420" t="str">
        <f>VLOOKUP(C420,CU_ARS_2025_WOF_F2!$A$2:$K$673,2,FALSE)</f>
        <v>CU_ARS_2025_WOF_F2_3_plant_38</v>
      </c>
      <c r="P420" t="str">
        <f>VLOOKUP(C420,CU_ARS_2025_WOF_F2!$A$2:$K$673,3,FALSE)</f>
        <v>CU_ARS_2025_WOF_F2_3</v>
      </c>
      <c r="Q420" t="str">
        <f>VLOOKUP(C420,CU_ARS_2025_WOF_F2!$A$2:$K$673,4,FALSE)</f>
        <v>CU_ARS_2025_WOF_cross_87</v>
      </c>
      <c r="R420">
        <f>VLOOKUP(C420,CU_ARS_2025_WOF_F2!$A$2:$K$673,5,FALSE)</f>
        <v>3</v>
      </c>
      <c r="S420">
        <f>VLOOKUP(C420,CU_ARS_2025_WOF_F2!$A$2:$K$673,6,FALSE)</f>
        <v>1</v>
      </c>
      <c r="T420">
        <f>VLOOKUP(C420,CU_ARS_2025_WOF_F2!$A$2:$K$673,7,FALSE)</f>
        <v>0</v>
      </c>
      <c r="U420">
        <f>VLOOKUP(C420,CU_ARS_2025_WOF_F2!$A$2:$K$673,8,FALSE)</f>
        <v>1</v>
      </c>
      <c r="V420">
        <f>VLOOKUP(C420,CU_ARS_2025_WOF_F2!$A$2:$K$673,9,FALSE)</f>
        <v>0</v>
      </c>
      <c r="W420">
        <f>VLOOKUP(C420,CU_ARS_2025_WOF_F2!$A$2:$K$673,10,FALSE)</f>
        <v>0</v>
      </c>
      <c r="X420">
        <f>VLOOKUP(C420,CU_ARS_2025_WOF_F2!$A$2:$K$673,11,FALSE)</f>
        <v>38</v>
      </c>
      <c r="Y420" t="str">
        <f>VLOOKUP(Q420,cross_pedigree!$A$2:$B$23,2,FALSE)</f>
        <v>Gerard 227/PA8014-840</v>
      </c>
    </row>
    <row r="421" spans="1:25" ht="18">
      <c r="A421" s="21" t="s">
        <v>15</v>
      </c>
      <c r="B421" s="21" t="s">
        <v>16</v>
      </c>
      <c r="C421" s="22">
        <v>754051</v>
      </c>
      <c r="D421" s="23">
        <v>5</v>
      </c>
      <c r="E421" s="24" t="str">
        <f t="shared" si="6"/>
        <v>CU_ARS_2025_WOF_F2_3_plant_37</v>
      </c>
      <c r="F421" s="21" t="s">
        <v>17</v>
      </c>
      <c r="G421" s="44">
        <v>36</v>
      </c>
      <c r="H421" s="42"/>
      <c r="I421" s="42" t="s">
        <v>1047</v>
      </c>
      <c r="J421" s="42" t="s">
        <v>1003</v>
      </c>
      <c r="K421" s="42"/>
      <c r="L421" s="42"/>
      <c r="M421" s="42"/>
      <c r="N421" t="str">
        <f>VLOOKUP(C421,CU_ARS_2025_WOF_F2!$A$2:$K$673,2,FALSE)</f>
        <v>CU_ARS_2025_WOF_F2_3_plant_37</v>
      </c>
      <c r="O421" t="str">
        <f>VLOOKUP(C421,CU_ARS_2025_WOF_F2!$A$2:$K$673,2,FALSE)</f>
        <v>CU_ARS_2025_WOF_F2_3_plant_37</v>
      </c>
      <c r="P421" t="str">
        <f>VLOOKUP(C421,CU_ARS_2025_WOF_F2!$A$2:$K$673,3,FALSE)</f>
        <v>CU_ARS_2025_WOF_F2_3</v>
      </c>
      <c r="Q421" t="str">
        <f>VLOOKUP(C421,CU_ARS_2025_WOF_F2!$A$2:$K$673,4,FALSE)</f>
        <v>CU_ARS_2025_WOF_cross_87</v>
      </c>
      <c r="R421">
        <f>VLOOKUP(C421,CU_ARS_2025_WOF_F2!$A$2:$K$673,5,FALSE)</f>
        <v>3</v>
      </c>
      <c r="S421">
        <f>VLOOKUP(C421,CU_ARS_2025_WOF_F2!$A$2:$K$673,6,FALSE)</f>
        <v>1</v>
      </c>
      <c r="T421">
        <f>VLOOKUP(C421,CU_ARS_2025_WOF_F2!$A$2:$K$673,7,FALSE)</f>
        <v>0</v>
      </c>
      <c r="U421">
        <f>VLOOKUP(C421,CU_ARS_2025_WOF_F2!$A$2:$K$673,8,FALSE)</f>
        <v>1</v>
      </c>
      <c r="V421">
        <f>VLOOKUP(C421,CU_ARS_2025_WOF_F2!$A$2:$K$673,9,FALSE)</f>
        <v>0</v>
      </c>
      <c r="W421">
        <f>VLOOKUP(C421,CU_ARS_2025_WOF_F2!$A$2:$K$673,10,FALSE)</f>
        <v>0</v>
      </c>
      <c r="X421">
        <f>VLOOKUP(C421,CU_ARS_2025_WOF_F2!$A$2:$K$673,11,FALSE)</f>
        <v>37</v>
      </c>
      <c r="Y421" t="str">
        <f>VLOOKUP(Q421,cross_pedigree!$A$2:$B$23,2,FALSE)</f>
        <v>Gerard 227/PA8014-840</v>
      </c>
    </row>
    <row r="422" spans="1:25" ht="18">
      <c r="A422" s="21" t="s">
        <v>15</v>
      </c>
      <c r="B422" s="21" t="s">
        <v>16</v>
      </c>
      <c r="C422" s="22">
        <v>754046</v>
      </c>
      <c r="D422" s="23">
        <v>5</v>
      </c>
      <c r="E422" s="24" t="str">
        <f t="shared" si="6"/>
        <v>CU_ARS_2025_WOF_F2_3_plant_32</v>
      </c>
      <c r="F422" s="21" t="s">
        <v>19</v>
      </c>
      <c r="G422" s="44">
        <v>37</v>
      </c>
      <c r="H422" s="42"/>
      <c r="I422" s="42" t="s">
        <v>1047</v>
      </c>
      <c r="J422" s="42" t="s">
        <v>1003</v>
      </c>
      <c r="K422" s="42"/>
      <c r="L422" s="42"/>
      <c r="M422" s="42"/>
      <c r="N422" t="str">
        <f>VLOOKUP(C422,CU_ARS_2025_WOF_F2!$A$2:$K$673,2,FALSE)</f>
        <v>CU_ARS_2025_WOF_F2_3_plant_32</v>
      </c>
      <c r="O422" t="str">
        <f>VLOOKUP(C422,CU_ARS_2025_WOF_F2!$A$2:$K$673,2,FALSE)</f>
        <v>CU_ARS_2025_WOF_F2_3_plant_32</v>
      </c>
      <c r="P422" t="str">
        <f>VLOOKUP(C422,CU_ARS_2025_WOF_F2!$A$2:$K$673,3,FALSE)</f>
        <v>CU_ARS_2025_WOF_F2_3</v>
      </c>
      <c r="Q422" t="str">
        <f>VLOOKUP(C422,CU_ARS_2025_WOF_F2!$A$2:$K$673,4,FALSE)</f>
        <v>CU_ARS_2025_WOF_cross_87</v>
      </c>
      <c r="R422">
        <f>VLOOKUP(C422,CU_ARS_2025_WOF_F2!$A$2:$K$673,5,FALSE)</f>
        <v>3</v>
      </c>
      <c r="S422">
        <f>VLOOKUP(C422,CU_ARS_2025_WOF_F2!$A$2:$K$673,6,FALSE)</f>
        <v>1</v>
      </c>
      <c r="T422">
        <f>VLOOKUP(C422,CU_ARS_2025_WOF_F2!$A$2:$K$673,7,FALSE)</f>
        <v>0</v>
      </c>
      <c r="U422">
        <f>VLOOKUP(C422,CU_ARS_2025_WOF_F2!$A$2:$K$673,8,FALSE)</f>
        <v>1</v>
      </c>
      <c r="V422">
        <f>VLOOKUP(C422,CU_ARS_2025_WOF_F2!$A$2:$K$673,9,FALSE)</f>
        <v>0</v>
      </c>
      <c r="W422">
        <f>VLOOKUP(C422,CU_ARS_2025_WOF_F2!$A$2:$K$673,10,FALSE)</f>
        <v>0</v>
      </c>
      <c r="X422">
        <f>VLOOKUP(C422,CU_ARS_2025_WOF_F2!$A$2:$K$673,11,FALSE)</f>
        <v>32</v>
      </c>
      <c r="Y422" t="str">
        <f>VLOOKUP(Q422,cross_pedigree!$A$2:$B$23,2,FALSE)</f>
        <v>Gerard 227/PA8014-840</v>
      </c>
    </row>
    <row r="423" spans="1:25" ht="18">
      <c r="A423" s="21" t="s">
        <v>15</v>
      </c>
      <c r="B423" s="21" t="s">
        <v>16</v>
      </c>
      <c r="C423" s="22">
        <v>754047</v>
      </c>
      <c r="D423" s="23">
        <v>5</v>
      </c>
      <c r="E423" s="24" t="str">
        <f t="shared" si="6"/>
        <v>CU_ARS_2025_WOF_F2_3_plant_33</v>
      </c>
      <c r="F423" s="21" t="s">
        <v>21</v>
      </c>
      <c r="G423" s="44">
        <v>38</v>
      </c>
      <c r="H423" s="42"/>
      <c r="I423" s="42" t="s">
        <v>1047</v>
      </c>
      <c r="J423" s="42" t="s">
        <v>1003</v>
      </c>
      <c r="K423" s="42"/>
      <c r="L423" s="42"/>
      <c r="M423" s="42"/>
      <c r="N423" t="str">
        <f>VLOOKUP(C423,CU_ARS_2025_WOF_F2!$A$2:$K$673,2,FALSE)</f>
        <v>CU_ARS_2025_WOF_F2_3_plant_33</v>
      </c>
      <c r="O423" t="str">
        <f>VLOOKUP(C423,CU_ARS_2025_WOF_F2!$A$2:$K$673,2,FALSE)</f>
        <v>CU_ARS_2025_WOF_F2_3_plant_33</v>
      </c>
      <c r="P423" t="str">
        <f>VLOOKUP(C423,CU_ARS_2025_WOF_F2!$A$2:$K$673,3,FALSE)</f>
        <v>CU_ARS_2025_WOF_F2_3</v>
      </c>
      <c r="Q423" t="str">
        <f>VLOOKUP(C423,CU_ARS_2025_WOF_F2!$A$2:$K$673,4,FALSE)</f>
        <v>CU_ARS_2025_WOF_cross_87</v>
      </c>
      <c r="R423">
        <f>VLOOKUP(C423,CU_ARS_2025_WOF_F2!$A$2:$K$673,5,FALSE)</f>
        <v>3</v>
      </c>
      <c r="S423">
        <f>VLOOKUP(C423,CU_ARS_2025_WOF_F2!$A$2:$K$673,6,FALSE)</f>
        <v>1</v>
      </c>
      <c r="T423">
        <f>VLOOKUP(C423,CU_ARS_2025_WOF_F2!$A$2:$K$673,7,FALSE)</f>
        <v>0</v>
      </c>
      <c r="U423">
        <f>VLOOKUP(C423,CU_ARS_2025_WOF_F2!$A$2:$K$673,8,FALSE)</f>
        <v>1</v>
      </c>
      <c r="V423">
        <f>VLOOKUP(C423,CU_ARS_2025_WOF_F2!$A$2:$K$673,9,FALSE)</f>
        <v>0</v>
      </c>
      <c r="W423">
        <f>VLOOKUP(C423,CU_ARS_2025_WOF_F2!$A$2:$K$673,10,FALSE)</f>
        <v>0</v>
      </c>
      <c r="X423">
        <f>VLOOKUP(C423,CU_ARS_2025_WOF_F2!$A$2:$K$673,11,FALSE)</f>
        <v>33</v>
      </c>
      <c r="Y423" t="str">
        <f>VLOOKUP(Q423,cross_pedigree!$A$2:$B$23,2,FALSE)</f>
        <v>Gerard 227/PA8014-840</v>
      </c>
    </row>
    <row r="424" spans="1:25" ht="18">
      <c r="A424" s="21" t="s">
        <v>15</v>
      </c>
      <c r="B424" s="21" t="s">
        <v>16</v>
      </c>
      <c r="C424" s="22">
        <v>754048</v>
      </c>
      <c r="D424" s="23">
        <v>5</v>
      </c>
      <c r="E424" s="24" t="str">
        <f t="shared" si="6"/>
        <v>CU_ARS_2025_WOF_F2_3_plant_34</v>
      </c>
      <c r="F424" s="21" t="s">
        <v>152</v>
      </c>
      <c r="G424" s="44">
        <v>39</v>
      </c>
      <c r="H424" s="42"/>
      <c r="I424" s="42" t="s">
        <v>1047</v>
      </c>
      <c r="J424" s="42" t="s">
        <v>1003</v>
      </c>
      <c r="K424" s="42"/>
      <c r="L424" s="42"/>
      <c r="M424" s="42"/>
      <c r="N424" t="str">
        <f>VLOOKUP(C424,CU_ARS_2025_WOF_F2!$A$2:$K$673,2,FALSE)</f>
        <v>CU_ARS_2025_WOF_F2_3_plant_34</v>
      </c>
      <c r="O424" t="str">
        <f>VLOOKUP(C424,CU_ARS_2025_WOF_F2!$A$2:$K$673,2,FALSE)</f>
        <v>CU_ARS_2025_WOF_F2_3_plant_34</v>
      </c>
      <c r="P424" t="str">
        <f>VLOOKUP(C424,CU_ARS_2025_WOF_F2!$A$2:$K$673,3,FALSE)</f>
        <v>CU_ARS_2025_WOF_F2_3</v>
      </c>
      <c r="Q424" t="str">
        <f>VLOOKUP(C424,CU_ARS_2025_WOF_F2!$A$2:$K$673,4,FALSE)</f>
        <v>CU_ARS_2025_WOF_cross_87</v>
      </c>
      <c r="R424">
        <f>VLOOKUP(C424,CU_ARS_2025_WOF_F2!$A$2:$K$673,5,FALSE)</f>
        <v>3</v>
      </c>
      <c r="S424">
        <f>VLOOKUP(C424,CU_ARS_2025_WOF_F2!$A$2:$K$673,6,FALSE)</f>
        <v>1</v>
      </c>
      <c r="T424">
        <f>VLOOKUP(C424,CU_ARS_2025_WOF_F2!$A$2:$K$673,7,FALSE)</f>
        <v>0</v>
      </c>
      <c r="U424">
        <f>VLOOKUP(C424,CU_ARS_2025_WOF_F2!$A$2:$K$673,8,FALSE)</f>
        <v>1</v>
      </c>
      <c r="V424">
        <f>VLOOKUP(C424,CU_ARS_2025_WOF_F2!$A$2:$K$673,9,FALSE)</f>
        <v>0</v>
      </c>
      <c r="W424">
        <f>VLOOKUP(C424,CU_ARS_2025_WOF_F2!$A$2:$K$673,10,FALSE)</f>
        <v>0</v>
      </c>
      <c r="X424">
        <f>VLOOKUP(C424,CU_ARS_2025_WOF_F2!$A$2:$K$673,11,FALSE)</f>
        <v>34</v>
      </c>
      <c r="Y424" t="str">
        <f>VLOOKUP(Q424,cross_pedigree!$A$2:$B$23,2,FALSE)</f>
        <v>Gerard 227/PA8014-840</v>
      </c>
    </row>
    <row r="425" spans="1:25" ht="18">
      <c r="A425" s="21" t="s">
        <v>15</v>
      </c>
      <c r="B425" s="21" t="s">
        <v>16</v>
      </c>
      <c r="C425" s="22">
        <v>754049</v>
      </c>
      <c r="D425" s="23">
        <v>5</v>
      </c>
      <c r="E425" s="24" t="str">
        <f t="shared" si="6"/>
        <v>CU_ARS_2025_WOF_F2_3_plant_35</v>
      </c>
      <c r="F425" s="21" t="s">
        <v>154</v>
      </c>
      <c r="G425" s="44">
        <v>40</v>
      </c>
      <c r="H425" s="42"/>
      <c r="I425" s="42" t="s">
        <v>1047</v>
      </c>
      <c r="J425" s="42" t="s">
        <v>1003</v>
      </c>
      <c r="K425" s="42"/>
      <c r="L425" s="42"/>
      <c r="M425" s="42"/>
      <c r="N425" t="str">
        <f>VLOOKUP(C425,CU_ARS_2025_WOF_F2!$A$2:$K$673,2,FALSE)</f>
        <v>CU_ARS_2025_WOF_F2_3_plant_35</v>
      </c>
      <c r="O425" t="str">
        <f>VLOOKUP(C425,CU_ARS_2025_WOF_F2!$A$2:$K$673,2,FALSE)</f>
        <v>CU_ARS_2025_WOF_F2_3_plant_35</v>
      </c>
      <c r="P425" t="str">
        <f>VLOOKUP(C425,CU_ARS_2025_WOF_F2!$A$2:$K$673,3,FALSE)</f>
        <v>CU_ARS_2025_WOF_F2_3</v>
      </c>
      <c r="Q425" t="str">
        <f>VLOOKUP(C425,CU_ARS_2025_WOF_F2!$A$2:$K$673,4,FALSE)</f>
        <v>CU_ARS_2025_WOF_cross_87</v>
      </c>
      <c r="R425">
        <f>VLOOKUP(C425,CU_ARS_2025_WOF_F2!$A$2:$K$673,5,FALSE)</f>
        <v>3</v>
      </c>
      <c r="S425">
        <f>VLOOKUP(C425,CU_ARS_2025_WOF_F2!$A$2:$K$673,6,FALSE)</f>
        <v>1</v>
      </c>
      <c r="T425">
        <f>VLOOKUP(C425,CU_ARS_2025_WOF_F2!$A$2:$K$673,7,FALSE)</f>
        <v>0</v>
      </c>
      <c r="U425">
        <f>VLOOKUP(C425,CU_ARS_2025_WOF_F2!$A$2:$K$673,8,FALSE)</f>
        <v>1</v>
      </c>
      <c r="V425">
        <f>VLOOKUP(C425,CU_ARS_2025_WOF_F2!$A$2:$K$673,9,FALSE)</f>
        <v>0</v>
      </c>
      <c r="W425">
        <f>VLOOKUP(C425,CU_ARS_2025_WOF_F2!$A$2:$K$673,10,FALSE)</f>
        <v>0</v>
      </c>
      <c r="X425">
        <f>VLOOKUP(C425,CU_ARS_2025_WOF_F2!$A$2:$K$673,11,FALSE)</f>
        <v>35</v>
      </c>
      <c r="Y425" t="str">
        <f>VLOOKUP(Q425,cross_pedigree!$A$2:$B$23,2,FALSE)</f>
        <v>Gerard 227/PA8014-840</v>
      </c>
    </row>
    <row r="426" spans="1:25" ht="18">
      <c r="A426" s="21" t="s">
        <v>15</v>
      </c>
      <c r="B426" s="21" t="s">
        <v>16</v>
      </c>
      <c r="C426" s="22">
        <v>754050</v>
      </c>
      <c r="D426" s="23">
        <v>5</v>
      </c>
      <c r="E426" s="24" t="str">
        <f t="shared" si="6"/>
        <v>CU_ARS_2025_WOF_F2_3_plant_36</v>
      </c>
      <c r="F426" s="21" t="s">
        <v>156</v>
      </c>
      <c r="G426" s="44">
        <v>41</v>
      </c>
      <c r="H426" s="42"/>
      <c r="I426" s="42" t="s">
        <v>1047</v>
      </c>
      <c r="J426" s="42" t="s">
        <v>1003</v>
      </c>
      <c r="K426" s="42"/>
      <c r="L426" s="42"/>
      <c r="M426" s="42"/>
      <c r="N426" t="str">
        <f>VLOOKUP(C426,CU_ARS_2025_WOF_F2!$A$2:$K$673,2,FALSE)</f>
        <v>CU_ARS_2025_WOF_F2_3_plant_36</v>
      </c>
      <c r="O426" t="str">
        <f>VLOOKUP(C426,CU_ARS_2025_WOF_F2!$A$2:$K$673,2,FALSE)</f>
        <v>CU_ARS_2025_WOF_F2_3_plant_36</v>
      </c>
      <c r="P426" t="str">
        <f>VLOOKUP(C426,CU_ARS_2025_WOF_F2!$A$2:$K$673,3,FALSE)</f>
        <v>CU_ARS_2025_WOF_F2_3</v>
      </c>
      <c r="Q426" t="str">
        <f>VLOOKUP(C426,CU_ARS_2025_WOF_F2!$A$2:$K$673,4,FALSE)</f>
        <v>CU_ARS_2025_WOF_cross_87</v>
      </c>
      <c r="R426">
        <f>VLOOKUP(C426,CU_ARS_2025_WOF_F2!$A$2:$K$673,5,FALSE)</f>
        <v>3</v>
      </c>
      <c r="S426">
        <f>VLOOKUP(C426,CU_ARS_2025_WOF_F2!$A$2:$K$673,6,FALSE)</f>
        <v>1</v>
      </c>
      <c r="T426">
        <f>VLOOKUP(C426,CU_ARS_2025_WOF_F2!$A$2:$K$673,7,FALSE)</f>
        <v>0</v>
      </c>
      <c r="U426">
        <f>VLOOKUP(C426,CU_ARS_2025_WOF_F2!$A$2:$K$673,8,FALSE)</f>
        <v>1</v>
      </c>
      <c r="V426">
        <f>VLOOKUP(C426,CU_ARS_2025_WOF_F2!$A$2:$K$673,9,FALSE)</f>
        <v>0</v>
      </c>
      <c r="W426">
        <f>VLOOKUP(C426,CU_ARS_2025_WOF_F2!$A$2:$K$673,10,FALSE)</f>
        <v>0</v>
      </c>
      <c r="X426">
        <f>VLOOKUP(C426,CU_ARS_2025_WOF_F2!$A$2:$K$673,11,FALSE)</f>
        <v>36</v>
      </c>
      <c r="Y426" t="str">
        <f>VLOOKUP(Q426,cross_pedigree!$A$2:$B$23,2,FALSE)</f>
        <v>Gerard 227/PA8014-840</v>
      </c>
    </row>
    <row r="427" spans="1:25" ht="18">
      <c r="A427" s="21" t="s">
        <v>15</v>
      </c>
      <c r="B427" s="21" t="s">
        <v>16</v>
      </c>
      <c r="C427" s="22">
        <v>754058</v>
      </c>
      <c r="D427" s="23">
        <v>5</v>
      </c>
      <c r="E427" s="24" t="str">
        <f t="shared" si="6"/>
        <v>CU_ARS_2025_WOF_F2_3_plant_44</v>
      </c>
      <c r="F427" s="21" t="s">
        <v>158</v>
      </c>
      <c r="G427" s="44">
        <v>42</v>
      </c>
      <c r="H427" s="42"/>
      <c r="I427" s="42" t="s">
        <v>1047</v>
      </c>
      <c r="J427" s="42" t="s">
        <v>1003</v>
      </c>
      <c r="K427" s="42"/>
      <c r="L427" s="42"/>
      <c r="M427" s="42"/>
      <c r="N427" t="str">
        <f>VLOOKUP(C427,CU_ARS_2025_WOF_F2!$A$2:$K$673,2,FALSE)</f>
        <v>CU_ARS_2025_WOF_F2_3_plant_44</v>
      </c>
      <c r="O427" t="str">
        <f>VLOOKUP(C427,CU_ARS_2025_WOF_F2!$A$2:$K$673,2,FALSE)</f>
        <v>CU_ARS_2025_WOF_F2_3_plant_44</v>
      </c>
      <c r="P427" t="str">
        <f>VLOOKUP(C427,CU_ARS_2025_WOF_F2!$A$2:$K$673,3,FALSE)</f>
        <v>CU_ARS_2025_WOF_F2_3</v>
      </c>
      <c r="Q427" t="str">
        <f>VLOOKUP(C427,CU_ARS_2025_WOF_F2!$A$2:$K$673,4,FALSE)</f>
        <v>CU_ARS_2025_WOF_cross_87</v>
      </c>
      <c r="R427">
        <f>VLOOKUP(C427,CU_ARS_2025_WOF_F2!$A$2:$K$673,5,FALSE)</f>
        <v>3</v>
      </c>
      <c r="S427">
        <f>VLOOKUP(C427,CU_ARS_2025_WOF_F2!$A$2:$K$673,6,FALSE)</f>
        <v>1</v>
      </c>
      <c r="T427">
        <f>VLOOKUP(C427,CU_ARS_2025_WOF_F2!$A$2:$K$673,7,FALSE)</f>
        <v>0</v>
      </c>
      <c r="U427">
        <f>VLOOKUP(C427,CU_ARS_2025_WOF_F2!$A$2:$K$673,8,FALSE)</f>
        <v>1</v>
      </c>
      <c r="V427">
        <f>VLOOKUP(C427,CU_ARS_2025_WOF_F2!$A$2:$K$673,9,FALSE)</f>
        <v>0</v>
      </c>
      <c r="W427">
        <f>VLOOKUP(C427,CU_ARS_2025_WOF_F2!$A$2:$K$673,10,FALSE)</f>
        <v>0</v>
      </c>
      <c r="X427">
        <f>VLOOKUP(C427,CU_ARS_2025_WOF_F2!$A$2:$K$673,11,FALSE)</f>
        <v>44</v>
      </c>
      <c r="Y427" t="str">
        <f>VLOOKUP(Q427,cross_pedigree!$A$2:$B$23,2,FALSE)</f>
        <v>Gerard 227/PA8014-840</v>
      </c>
    </row>
    <row r="428" spans="1:25" ht="18">
      <c r="A428" s="21" t="s">
        <v>15</v>
      </c>
      <c r="B428" s="21" t="s">
        <v>16</v>
      </c>
      <c r="C428" s="22">
        <v>754057</v>
      </c>
      <c r="D428" s="23">
        <v>5</v>
      </c>
      <c r="E428" s="24" t="str">
        <f t="shared" si="6"/>
        <v>CU_ARS_2025_WOF_F2_3_plant_43</v>
      </c>
      <c r="F428" s="21" t="s">
        <v>160</v>
      </c>
      <c r="G428" s="44">
        <v>43</v>
      </c>
      <c r="H428" s="42"/>
      <c r="I428" s="42" t="s">
        <v>1047</v>
      </c>
      <c r="J428" s="42" t="s">
        <v>1003</v>
      </c>
      <c r="K428" s="42"/>
      <c r="L428" s="42"/>
      <c r="M428" s="42"/>
      <c r="N428" t="str">
        <f>VLOOKUP(C428,CU_ARS_2025_WOF_F2!$A$2:$K$673,2,FALSE)</f>
        <v>CU_ARS_2025_WOF_F2_3_plant_43</v>
      </c>
      <c r="O428" t="str">
        <f>VLOOKUP(C428,CU_ARS_2025_WOF_F2!$A$2:$K$673,2,FALSE)</f>
        <v>CU_ARS_2025_WOF_F2_3_plant_43</v>
      </c>
      <c r="P428" t="str">
        <f>VLOOKUP(C428,CU_ARS_2025_WOF_F2!$A$2:$K$673,3,FALSE)</f>
        <v>CU_ARS_2025_WOF_F2_3</v>
      </c>
      <c r="Q428" t="str">
        <f>VLOOKUP(C428,CU_ARS_2025_WOF_F2!$A$2:$K$673,4,FALSE)</f>
        <v>CU_ARS_2025_WOF_cross_87</v>
      </c>
      <c r="R428">
        <f>VLOOKUP(C428,CU_ARS_2025_WOF_F2!$A$2:$K$673,5,FALSE)</f>
        <v>3</v>
      </c>
      <c r="S428">
        <f>VLOOKUP(C428,CU_ARS_2025_WOF_F2!$A$2:$K$673,6,FALSE)</f>
        <v>1</v>
      </c>
      <c r="T428">
        <f>VLOOKUP(C428,CU_ARS_2025_WOF_F2!$A$2:$K$673,7,FALSE)</f>
        <v>0</v>
      </c>
      <c r="U428">
        <f>VLOOKUP(C428,CU_ARS_2025_WOF_F2!$A$2:$K$673,8,FALSE)</f>
        <v>1</v>
      </c>
      <c r="V428">
        <f>VLOOKUP(C428,CU_ARS_2025_WOF_F2!$A$2:$K$673,9,FALSE)</f>
        <v>0</v>
      </c>
      <c r="W428">
        <f>VLOOKUP(C428,CU_ARS_2025_WOF_F2!$A$2:$K$673,10,FALSE)</f>
        <v>0</v>
      </c>
      <c r="X428">
        <f>VLOOKUP(C428,CU_ARS_2025_WOF_F2!$A$2:$K$673,11,FALSE)</f>
        <v>43</v>
      </c>
      <c r="Y428" t="str">
        <f>VLOOKUP(Q428,cross_pedigree!$A$2:$B$23,2,FALSE)</f>
        <v>Gerard 227/PA8014-840</v>
      </c>
    </row>
    <row r="429" spans="1:25" ht="18">
      <c r="A429" s="21" t="s">
        <v>15</v>
      </c>
      <c r="B429" s="21" t="s">
        <v>16</v>
      </c>
      <c r="C429" s="22">
        <v>754056</v>
      </c>
      <c r="D429" s="23">
        <v>5</v>
      </c>
      <c r="E429" s="24" t="str">
        <f t="shared" si="6"/>
        <v>CU_ARS_2025_WOF_F2_3_plant_42</v>
      </c>
      <c r="F429" s="21" t="s">
        <v>23</v>
      </c>
      <c r="G429" s="44">
        <v>44</v>
      </c>
      <c r="H429" s="42"/>
      <c r="I429" s="42" t="s">
        <v>1047</v>
      </c>
      <c r="J429" s="42" t="s">
        <v>1003</v>
      </c>
      <c r="K429" s="42"/>
      <c r="L429" s="42"/>
      <c r="M429" s="42"/>
      <c r="N429" t="str">
        <f>VLOOKUP(C429,CU_ARS_2025_WOF_F2!$A$2:$K$673,2,FALSE)</f>
        <v>CU_ARS_2025_WOF_F2_3_plant_42</v>
      </c>
      <c r="O429" t="str">
        <f>VLOOKUP(C429,CU_ARS_2025_WOF_F2!$A$2:$K$673,2,FALSE)</f>
        <v>CU_ARS_2025_WOF_F2_3_plant_42</v>
      </c>
      <c r="P429" t="str">
        <f>VLOOKUP(C429,CU_ARS_2025_WOF_F2!$A$2:$K$673,3,FALSE)</f>
        <v>CU_ARS_2025_WOF_F2_3</v>
      </c>
      <c r="Q429" t="str">
        <f>VLOOKUP(C429,CU_ARS_2025_WOF_F2!$A$2:$K$673,4,FALSE)</f>
        <v>CU_ARS_2025_WOF_cross_87</v>
      </c>
      <c r="R429">
        <f>VLOOKUP(C429,CU_ARS_2025_WOF_F2!$A$2:$K$673,5,FALSE)</f>
        <v>3</v>
      </c>
      <c r="S429">
        <f>VLOOKUP(C429,CU_ARS_2025_WOF_F2!$A$2:$K$673,6,FALSE)</f>
        <v>1</v>
      </c>
      <c r="T429">
        <f>VLOOKUP(C429,CU_ARS_2025_WOF_F2!$A$2:$K$673,7,FALSE)</f>
        <v>0</v>
      </c>
      <c r="U429">
        <f>VLOOKUP(C429,CU_ARS_2025_WOF_F2!$A$2:$K$673,8,FALSE)</f>
        <v>1</v>
      </c>
      <c r="V429">
        <f>VLOOKUP(C429,CU_ARS_2025_WOF_F2!$A$2:$K$673,9,FALSE)</f>
        <v>0</v>
      </c>
      <c r="W429">
        <f>VLOOKUP(C429,CU_ARS_2025_WOF_F2!$A$2:$K$673,10,FALSE)</f>
        <v>0</v>
      </c>
      <c r="X429">
        <f>VLOOKUP(C429,CU_ARS_2025_WOF_F2!$A$2:$K$673,11,FALSE)</f>
        <v>42</v>
      </c>
      <c r="Y429" t="str">
        <f>VLOOKUP(Q429,cross_pedigree!$A$2:$B$23,2,FALSE)</f>
        <v>Gerard 227/PA8014-840</v>
      </c>
    </row>
    <row r="430" spans="1:25" ht="18">
      <c r="A430" s="21" t="s">
        <v>15</v>
      </c>
      <c r="B430" s="21" t="s">
        <v>16</v>
      </c>
      <c r="C430" s="22">
        <v>754055</v>
      </c>
      <c r="D430" s="23">
        <v>5</v>
      </c>
      <c r="E430" s="24" t="str">
        <f t="shared" si="6"/>
        <v>CU_ARS_2025_WOF_F2_3_plant_41</v>
      </c>
      <c r="F430" s="21" t="s">
        <v>25</v>
      </c>
      <c r="G430" s="44">
        <v>45</v>
      </c>
      <c r="H430" s="42"/>
      <c r="I430" s="42" t="s">
        <v>1047</v>
      </c>
      <c r="J430" s="42" t="s">
        <v>1003</v>
      </c>
      <c r="K430" s="42"/>
      <c r="L430" s="42"/>
      <c r="M430" s="42"/>
      <c r="N430" t="str">
        <f>VLOOKUP(C430,CU_ARS_2025_WOF_F2!$A$2:$K$673,2,FALSE)</f>
        <v>CU_ARS_2025_WOF_F2_3_plant_41</v>
      </c>
      <c r="O430" t="str">
        <f>VLOOKUP(C430,CU_ARS_2025_WOF_F2!$A$2:$K$673,2,FALSE)</f>
        <v>CU_ARS_2025_WOF_F2_3_plant_41</v>
      </c>
      <c r="P430" t="str">
        <f>VLOOKUP(C430,CU_ARS_2025_WOF_F2!$A$2:$K$673,3,FALSE)</f>
        <v>CU_ARS_2025_WOF_F2_3</v>
      </c>
      <c r="Q430" t="str">
        <f>VLOOKUP(C430,CU_ARS_2025_WOF_F2!$A$2:$K$673,4,FALSE)</f>
        <v>CU_ARS_2025_WOF_cross_87</v>
      </c>
      <c r="R430">
        <f>VLOOKUP(C430,CU_ARS_2025_WOF_F2!$A$2:$K$673,5,FALSE)</f>
        <v>3</v>
      </c>
      <c r="S430">
        <f>VLOOKUP(C430,CU_ARS_2025_WOF_F2!$A$2:$K$673,6,FALSE)</f>
        <v>1</v>
      </c>
      <c r="T430">
        <f>VLOOKUP(C430,CU_ARS_2025_WOF_F2!$A$2:$K$673,7,FALSE)</f>
        <v>0</v>
      </c>
      <c r="U430">
        <f>VLOOKUP(C430,CU_ARS_2025_WOF_F2!$A$2:$K$673,8,FALSE)</f>
        <v>1</v>
      </c>
      <c r="V430">
        <f>VLOOKUP(C430,CU_ARS_2025_WOF_F2!$A$2:$K$673,9,FALSE)</f>
        <v>0</v>
      </c>
      <c r="W430">
        <f>VLOOKUP(C430,CU_ARS_2025_WOF_F2!$A$2:$K$673,10,FALSE)</f>
        <v>0</v>
      </c>
      <c r="X430">
        <f>VLOOKUP(C430,CU_ARS_2025_WOF_F2!$A$2:$K$673,11,FALSE)</f>
        <v>41</v>
      </c>
      <c r="Y430" t="str">
        <f>VLOOKUP(Q430,cross_pedigree!$A$2:$B$23,2,FALSE)</f>
        <v>Gerard 227/PA8014-840</v>
      </c>
    </row>
    <row r="431" spans="1:25" ht="18">
      <c r="A431" s="21" t="s">
        <v>15</v>
      </c>
      <c r="B431" s="21" t="s">
        <v>16</v>
      </c>
      <c r="C431" s="22">
        <v>754054</v>
      </c>
      <c r="D431" s="23">
        <v>5</v>
      </c>
      <c r="E431" s="24" t="str">
        <f t="shared" si="6"/>
        <v>CU_ARS_2025_WOF_F2_3_plant_40</v>
      </c>
      <c r="F431" s="21" t="s">
        <v>27</v>
      </c>
      <c r="G431" s="44">
        <v>46</v>
      </c>
      <c r="H431" s="42"/>
      <c r="I431" s="42" t="s">
        <v>1047</v>
      </c>
      <c r="J431" s="42" t="s">
        <v>1003</v>
      </c>
      <c r="K431" s="42"/>
      <c r="L431" s="42"/>
      <c r="M431" s="42"/>
      <c r="N431" t="str">
        <f>VLOOKUP(C431,CU_ARS_2025_WOF_F2!$A$2:$K$673,2,FALSE)</f>
        <v>CU_ARS_2025_WOF_F2_3_plant_40</v>
      </c>
      <c r="O431" t="str">
        <f>VLOOKUP(C431,CU_ARS_2025_WOF_F2!$A$2:$K$673,2,FALSE)</f>
        <v>CU_ARS_2025_WOF_F2_3_plant_40</v>
      </c>
      <c r="P431" t="str">
        <f>VLOOKUP(C431,CU_ARS_2025_WOF_F2!$A$2:$K$673,3,FALSE)</f>
        <v>CU_ARS_2025_WOF_F2_3</v>
      </c>
      <c r="Q431" t="str">
        <f>VLOOKUP(C431,CU_ARS_2025_WOF_F2!$A$2:$K$673,4,FALSE)</f>
        <v>CU_ARS_2025_WOF_cross_87</v>
      </c>
      <c r="R431">
        <f>VLOOKUP(C431,CU_ARS_2025_WOF_F2!$A$2:$K$673,5,FALSE)</f>
        <v>3</v>
      </c>
      <c r="S431">
        <f>VLOOKUP(C431,CU_ARS_2025_WOF_F2!$A$2:$K$673,6,FALSE)</f>
        <v>1</v>
      </c>
      <c r="T431">
        <f>VLOOKUP(C431,CU_ARS_2025_WOF_F2!$A$2:$K$673,7,FALSE)</f>
        <v>0</v>
      </c>
      <c r="U431">
        <f>VLOOKUP(C431,CU_ARS_2025_WOF_F2!$A$2:$K$673,8,FALSE)</f>
        <v>1</v>
      </c>
      <c r="V431">
        <f>VLOOKUP(C431,CU_ARS_2025_WOF_F2!$A$2:$K$673,9,FALSE)</f>
        <v>0</v>
      </c>
      <c r="W431">
        <f>VLOOKUP(C431,CU_ARS_2025_WOF_F2!$A$2:$K$673,10,FALSE)</f>
        <v>0</v>
      </c>
      <c r="X431">
        <f>VLOOKUP(C431,CU_ARS_2025_WOF_F2!$A$2:$K$673,11,FALSE)</f>
        <v>40</v>
      </c>
      <c r="Y431" t="str">
        <f>VLOOKUP(Q431,cross_pedigree!$A$2:$B$23,2,FALSE)</f>
        <v>Gerard 227/PA8014-840</v>
      </c>
    </row>
    <row r="432" spans="1:25" ht="18">
      <c r="A432" s="21" t="s">
        <v>15</v>
      </c>
      <c r="B432" s="21" t="s">
        <v>16</v>
      </c>
      <c r="C432" s="22">
        <v>754037</v>
      </c>
      <c r="D432" s="23">
        <v>5</v>
      </c>
      <c r="E432" s="24" t="str">
        <f t="shared" si="6"/>
        <v>CU_ARS_2025_WOF_F2_3_plant_23</v>
      </c>
      <c r="F432" s="21" t="s">
        <v>162</v>
      </c>
      <c r="G432" s="44">
        <v>47</v>
      </c>
      <c r="H432" s="42"/>
      <c r="I432" s="42" t="s">
        <v>1047</v>
      </c>
      <c r="J432" s="42" t="s">
        <v>1003</v>
      </c>
      <c r="K432" s="42"/>
      <c r="L432" s="42"/>
      <c r="M432" s="42"/>
      <c r="N432" t="str">
        <f>VLOOKUP(C432,CU_ARS_2025_WOF_F2!$A$2:$K$673,2,FALSE)</f>
        <v>CU_ARS_2025_WOF_F2_3_plant_23</v>
      </c>
      <c r="O432" t="str">
        <f>VLOOKUP(C432,CU_ARS_2025_WOF_F2!$A$2:$K$673,2,FALSE)</f>
        <v>CU_ARS_2025_WOF_F2_3_plant_23</v>
      </c>
      <c r="P432" t="str">
        <f>VLOOKUP(C432,CU_ARS_2025_WOF_F2!$A$2:$K$673,3,FALSE)</f>
        <v>CU_ARS_2025_WOF_F2_3</v>
      </c>
      <c r="Q432" t="str">
        <f>VLOOKUP(C432,CU_ARS_2025_WOF_F2!$A$2:$K$673,4,FALSE)</f>
        <v>CU_ARS_2025_WOF_cross_87</v>
      </c>
      <c r="R432">
        <f>VLOOKUP(C432,CU_ARS_2025_WOF_F2!$A$2:$K$673,5,FALSE)</f>
        <v>3</v>
      </c>
      <c r="S432">
        <f>VLOOKUP(C432,CU_ARS_2025_WOF_F2!$A$2:$K$673,6,FALSE)</f>
        <v>1</v>
      </c>
      <c r="T432">
        <f>VLOOKUP(C432,CU_ARS_2025_WOF_F2!$A$2:$K$673,7,FALSE)</f>
        <v>0</v>
      </c>
      <c r="U432">
        <f>VLOOKUP(C432,CU_ARS_2025_WOF_F2!$A$2:$K$673,8,FALSE)</f>
        <v>1</v>
      </c>
      <c r="V432">
        <f>VLOOKUP(C432,CU_ARS_2025_WOF_F2!$A$2:$K$673,9,FALSE)</f>
        <v>0</v>
      </c>
      <c r="W432">
        <f>VLOOKUP(C432,CU_ARS_2025_WOF_F2!$A$2:$K$673,10,FALSE)</f>
        <v>0</v>
      </c>
      <c r="X432">
        <f>VLOOKUP(C432,CU_ARS_2025_WOF_F2!$A$2:$K$673,11,FALSE)</f>
        <v>23</v>
      </c>
      <c r="Y432" t="str">
        <f>VLOOKUP(Q432,cross_pedigree!$A$2:$B$23,2,FALSE)</f>
        <v>Gerard 227/PA8014-840</v>
      </c>
    </row>
    <row r="433" spans="1:25" ht="18">
      <c r="A433" s="21" t="s">
        <v>15</v>
      </c>
      <c r="B433" s="21" t="s">
        <v>16</v>
      </c>
      <c r="C433" s="22">
        <v>754036</v>
      </c>
      <c r="D433" s="23">
        <v>5</v>
      </c>
      <c r="E433" s="24" t="str">
        <f t="shared" si="6"/>
        <v>CU_ARS_2025_WOF_F2_3_plant_22</v>
      </c>
      <c r="F433" s="21" t="s">
        <v>164</v>
      </c>
      <c r="G433" s="44">
        <v>48</v>
      </c>
      <c r="H433" s="42"/>
      <c r="I433" s="42" t="s">
        <v>1047</v>
      </c>
      <c r="J433" s="42" t="s">
        <v>1003</v>
      </c>
      <c r="K433" s="42"/>
      <c r="L433" s="42"/>
      <c r="M433" s="42"/>
      <c r="N433" t="str">
        <f>VLOOKUP(C433,CU_ARS_2025_WOF_F2!$A$2:$K$673,2,FALSE)</f>
        <v>CU_ARS_2025_WOF_F2_3_plant_22</v>
      </c>
      <c r="O433" t="str">
        <f>VLOOKUP(C433,CU_ARS_2025_WOF_F2!$A$2:$K$673,2,FALSE)</f>
        <v>CU_ARS_2025_WOF_F2_3_plant_22</v>
      </c>
      <c r="P433" t="str">
        <f>VLOOKUP(C433,CU_ARS_2025_WOF_F2!$A$2:$K$673,3,FALSE)</f>
        <v>CU_ARS_2025_WOF_F2_3</v>
      </c>
      <c r="Q433" t="str">
        <f>VLOOKUP(C433,CU_ARS_2025_WOF_F2!$A$2:$K$673,4,FALSE)</f>
        <v>CU_ARS_2025_WOF_cross_87</v>
      </c>
      <c r="R433">
        <f>VLOOKUP(C433,CU_ARS_2025_WOF_F2!$A$2:$K$673,5,FALSE)</f>
        <v>3</v>
      </c>
      <c r="S433">
        <f>VLOOKUP(C433,CU_ARS_2025_WOF_F2!$A$2:$K$673,6,FALSE)</f>
        <v>1</v>
      </c>
      <c r="T433">
        <f>VLOOKUP(C433,CU_ARS_2025_WOF_F2!$A$2:$K$673,7,FALSE)</f>
        <v>0</v>
      </c>
      <c r="U433">
        <f>VLOOKUP(C433,CU_ARS_2025_WOF_F2!$A$2:$K$673,8,FALSE)</f>
        <v>1</v>
      </c>
      <c r="V433">
        <f>VLOOKUP(C433,CU_ARS_2025_WOF_F2!$A$2:$K$673,9,FALSE)</f>
        <v>0</v>
      </c>
      <c r="W433">
        <f>VLOOKUP(C433,CU_ARS_2025_WOF_F2!$A$2:$K$673,10,FALSE)</f>
        <v>0</v>
      </c>
      <c r="X433">
        <f>VLOOKUP(C433,CU_ARS_2025_WOF_F2!$A$2:$K$673,11,FALSE)</f>
        <v>22</v>
      </c>
      <c r="Y433" t="str">
        <f>VLOOKUP(Q433,cross_pedigree!$A$2:$B$23,2,FALSE)</f>
        <v>Gerard 227/PA8014-840</v>
      </c>
    </row>
    <row r="434" spans="1:25" ht="18">
      <c r="A434" s="21" t="s">
        <v>15</v>
      </c>
      <c r="B434" s="21" t="s">
        <v>16</v>
      </c>
      <c r="C434" s="22">
        <v>754035</v>
      </c>
      <c r="D434" s="23">
        <v>5</v>
      </c>
      <c r="E434" s="24" t="str">
        <f t="shared" si="6"/>
        <v>CU_ARS_2025_WOF_F2_3_plant_21</v>
      </c>
      <c r="F434" s="21" t="s">
        <v>166</v>
      </c>
      <c r="G434" s="44">
        <v>49</v>
      </c>
      <c r="H434" s="42"/>
      <c r="I434" s="42" t="s">
        <v>1047</v>
      </c>
      <c r="J434" s="42" t="s">
        <v>1003</v>
      </c>
      <c r="K434" s="42"/>
      <c r="L434" s="42"/>
      <c r="M434" s="42"/>
      <c r="N434" t="str">
        <f>VLOOKUP(C434,CU_ARS_2025_WOF_F2!$A$2:$K$673,2,FALSE)</f>
        <v>CU_ARS_2025_WOF_F2_3_plant_21</v>
      </c>
      <c r="O434" t="str">
        <f>VLOOKUP(C434,CU_ARS_2025_WOF_F2!$A$2:$K$673,2,FALSE)</f>
        <v>CU_ARS_2025_WOF_F2_3_plant_21</v>
      </c>
      <c r="P434" t="str">
        <f>VLOOKUP(C434,CU_ARS_2025_WOF_F2!$A$2:$K$673,3,FALSE)</f>
        <v>CU_ARS_2025_WOF_F2_3</v>
      </c>
      <c r="Q434" t="str">
        <f>VLOOKUP(C434,CU_ARS_2025_WOF_F2!$A$2:$K$673,4,FALSE)</f>
        <v>CU_ARS_2025_WOF_cross_87</v>
      </c>
      <c r="R434">
        <f>VLOOKUP(C434,CU_ARS_2025_WOF_F2!$A$2:$K$673,5,FALSE)</f>
        <v>3</v>
      </c>
      <c r="S434">
        <f>VLOOKUP(C434,CU_ARS_2025_WOF_F2!$A$2:$K$673,6,FALSE)</f>
        <v>1</v>
      </c>
      <c r="T434">
        <f>VLOOKUP(C434,CU_ARS_2025_WOF_F2!$A$2:$K$673,7,FALSE)</f>
        <v>0</v>
      </c>
      <c r="U434">
        <f>VLOOKUP(C434,CU_ARS_2025_WOF_F2!$A$2:$K$673,8,FALSE)</f>
        <v>1</v>
      </c>
      <c r="V434">
        <f>VLOOKUP(C434,CU_ARS_2025_WOF_F2!$A$2:$K$673,9,FALSE)</f>
        <v>0</v>
      </c>
      <c r="W434">
        <f>VLOOKUP(C434,CU_ARS_2025_WOF_F2!$A$2:$K$673,10,FALSE)</f>
        <v>0</v>
      </c>
      <c r="X434">
        <f>VLOOKUP(C434,CU_ARS_2025_WOF_F2!$A$2:$K$673,11,FALSE)</f>
        <v>21</v>
      </c>
      <c r="Y434" t="str">
        <f>VLOOKUP(Q434,cross_pedigree!$A$2:$B$23,2,FALSE)</f>
        <v>Gerard 227/PA8014-840</v>
      </c>
    </row>
    <row r="435" spans="1:25" ht="18">
      <c r="A435" s="21" t="s">
        <v>15</v>
      </c>
      <c r="B435" s="21" t="s">
        <v>16</v>
      </c>
      <c r="C435" s="22">
        <v>754062</v>
      </c>
      <c r="D435" s="23">
        <v>5</v>
      </c>
      <c r="E435" s="24" t="str">
        <f t="shared" si="6"/>
        <v>CU_ARS_2025_WOF_F2_3_plant_48</v>
      </c>
      <c r="F435" s="21" t="s">
        <v>168</v>
      </c>
      <c r="G435" s="44">
        <v>50</v>
      </c>
      <c r="H435" s="42"/>
      <c r="I435" s="42" t="s">
        <v>1047</v>
      </c>
      <c r="J435" s="42" t="s">
        <v>1003</v>
      </c>
      <c r="K435" s="42"/>
      <c r="L435" s="42"/>
      <c r="M435" s="42"/>
      <c r="N435" t="str">
        <f>VLOOKUP(C435,CU_ARS_2025_WOF_F2!$A$2:$K$673,2,FALSE)</f>
        <v>CU_ARS_2025_WOF_F2_3_plant_48</v>
      </c>
      <c r="O435" t="str">
        <f>VLOOKUP(C435,CU_ARS_2025_WOF_F2!$A$2:$K$673,2,FALSE)</f>
        <v>CU_ARS_2025_WOF_F2_3_plant_48</v>
      </c>
      <c r="P435" t="str">
        <f>VLOOKUP(C435,CU_ARS_2025_WOF_F2!$A$2:$K$673,3,FALSE)</f>
        <v>CU_ARS_2025_WOF_F2_3</v>
      </c>
      <c r="Q435" t="str">
        <f>VLOOKUP(C435,CU_ARS_2025_WOF_F2!$A$2:$K$673,4,FALSE)</f>
        <v>CU_ARS_2025_WOF_cross_87</v>
      </c>
      <c r="R435">
        <f>VLOOKUP(C435,CU_ARS_2025_WOF_F2!$A$2:$K$673,5,FALSE)</f>
        <v>3</v>
      </c>
      <c r="S435">
        <f>VLOOKUP(C435,CU_ARS_2025_WOF_F2!$A$2:$K$673,6,FALSE)</f>
        <v>1</v>
      </c>
      <c r="T435">
        <f>VLOOKUP(C435,CU_ARS_2025_WOF_F2!$A$2:$K$673,7,FALSE)</f>
        <v>0</v>
      </c>
      <c r="U435">
        <f>VLOOKUP(C435,CU_ARS_2025_WOF_F2!$A$2:$K$673,8,FALSE)</f>
        <v>1</v>
      </c>
      <c r="V435">
        <f>VLOOKUP(C435,CU_ARS_2025_WOF_F2!$A$2:$K$673,9,FALSE)</f>
        <v>0</v>
      </c>
      <c r="W435">
        <f>VLOOKUP(C435,CU_ARS_2025_WOF_F2!$A$2:$K$673,10,FALSE)</f>
        <v>0</v>
      </c>
      <c r="X435">
        <f>VLOOKUP(C435,CU_ARS_2025_WOF_F2!$A$2:$K$673,11,FALSE)</f>
        <v>48</v>
      </c>
      <c r="Y435" t="str">
        <f>VLOOKUP(Q435,cross_pedigree!$A$2:$B$23,2,FALSE)</f>
        <v>Gerard 227/PA8014-840</v>
      </c>
    </row>
    <row r="436" spans="1:25" ht="18">
      <c r="A436" s="21" t="s">
        <v>15</v>
      </c>
      <c r="B436" s="21" t="s">
        <v>16</v>
      </c>
      <c r="C436" s="22">
        <v>754061</v>
      </c>
      <c r="D436" s="23">
        <v>5</v>
      </c>
      <c r="E436" s="24" t="str">
        <f t="shared" si="6"/>
        <v>CU_ARS_2025_WOF_F2_3_plant_47</v>
      </c>
      <c r="F436" s="21" t="s">
        <v>43</v>
      </c>
      <c r="G436" s="44">
        <v>51</v>
      </c>
      <c r="H436" s="42"/>
      <c r="I436" s="42" t="s">
        <v>1047</v>
      </c>
      <c r="J436" s="42" t="s">
        <v>1003</v>
      </c>
      <c r="K436" s="42"/>
      <c r="L436" s="42"/>
      <c r="M436" s="42"/>
      <c r="N436" t="str">
        <f>VLOOKUP(C436,CU_ARS_2025_WOF_F2!$A$2:$K$673,2,FALSE)</f>
        <v>CU_ARS_2025_WOF_F2_3_plant_47</v>
      </c>
      <c r="O436" t="str">
        <f>VLOOKUP(C436,CU_ARS_2025_WOF_F2!$A$2:$K$673,2,FALSE)</f>
        <v>CU_ARS_2025_WOF_F2_3_plant_47</v>
      </c>
      <c r="P436" t="str">
        <f>VLOOKUP(C436,CU_ARS_2025_WOF_F2!$A$2:$K$673,3,FALSE)</f>
        <v>CU_ARS_2025_WOF_F2_3</v>
      </c>
      <c r="Q436" t="str">
        <f>VLOOKUP(C436,CU_ARS_2025_WOF_F2!$A$2:$K$673,4,FALSE)</f>
        <v>CU_ARS_2025_WOF_cross_87</v>
      </c>
      <c r="R436">
        <f>VLOOKUP(C436,CU_ARS_2025_WOF_F2!$A$2:$K$673,5,FALSE)</f>
        <v>3</v>
      </c>
      <c r="S436">
        <f>VLOOKUP(C436,CU_ARS_2025_WOF_F2!$A$2:$K$673,6,FALSE)</f>
        <v>1</v>
      </c>
      <c r="T436">
        <f>VLOOKUP(C436,CU_ARS_2025_WOF_F2!$A$2:$K$673,7,FALSE)</f>
        <v>0</v>
      </c>
      <c r="U436">
        <f>VLOOKUP(C436,CU_ARS_2025_WOF_F2!$A$2:$K$673,8,FALSE)</f>
        <v>1</v>
      </c>
      <c r="V436">
        <f>VLOOKUP(C436,CU_ARS_2025_WOF_F2!$A$2:$K$673,9,FALSE)</f>
        <v>0</v>
      </c>
      <c r="W436">
        <f>VLOOKUP(C436,CU_ARS_2025_WOF_F2!$A$2:$K$673,10,FALSE)</f>
        <v>0</v>
      </c>
      <c r="X436">
        <f>VLOOKUP(C436,CU_ARS_2025_WOF_F2!$A$2:$K$673,11,FALSE)</f>
        <v>47</v>
      </c>
      <c r="Y436" t="str">
        <f>VLOOKUP(Q436,cross_pedigree!$A$2:$B$23,2,FALSE)</f>
        <v>Gerard 227/PA8014-840</v>
      </c>
    </row>
    <row r="437" spans="1:25" ht="18">
      <c r="A437" s="21" t="s">
        <v>15</v>
      </c>
      <c r="B437" s="21" t="s">
        <v>16</v>
      </c>
      <c r="C437" s="22">
        <v>754060</v>
      </c>
      <c r="D437" s="23">
        <v>5</v>
      </c>
      <c r="E437" s="24" t="str">
        <f t="shared" si="6"/>
        <v>CU_ARS_2025_WOF_F2_3_plant_46</v>
      </c>
      <c r="F437" s="21" t="s">
        <v>45</v>
      </c>
      <c r="G437" s="44">
        <v>52</v>
      </c>
      <c r="H437" s="42"/>
      <c r="I437" s="42" t="s">
        <v>1047</v>
      </c>
      <c r="J437" s="42" t="s">
        <v>1003</v>
      </c>
      <c r="K437" s="42"/>
      <c r="L437" s="42"/>
      <c r="M437" s="42"/>
      <c r="N437" t="str">
        <f>VLOOKUP(C437,CU_ARS_2025_WOF_F2!$A$2:$K$673,2,FALSE)</f>
        <v>CU_ARS_2025_WOF_F2_3_plant_46</v>
      </c>
      <c r="O437" t="str">
        <f>VLOOKUP(C437,CU_ARS_2025_WOF_F2!$A$2:$K$673,2,FALSE)</f>
        <v>CU_ARS_2025_WOF_F2_3_plant_46</v>
      </c>
      <c r="P437" t="str">
        <f>VLOOKUP(C437,CU_ARS_2025_WOF_F2!$A$2:$K$673,3,FALSE)</f>
        <v>CU_ARS_2025_WOF_F2_3</v>
      </c>
      <c r="Q437" t="str">
        <f>VLOOKUP(C437,CU_ARS_2025_WOF_F2!$A$2:$K$673,4,FALSE)</f>
        <v>CU_ARS_2025_WOF_cross_87</v>
      </c>
      <c r="R437">
        <f>VLOOKUP(C437,CU_ARS_2025_WOF_F2!$A$2:$K$673,5,FALSE)</f>
        <v>3</v>
      </c>
      <c r="S437">
        <f>VLOOKUP(C437,CU_ARS_2025_WOF_F2!$A$2:$K$673,6,FALSE)</f>
        <v>1</v>
      </c>
      <c r="T437">
        <f>VLOOKUP(C437,CU_ARS_2025_WOF_F2!$A$2:$K$673,7,FALSE)</f>
        <v>0</v>
      </c>
      <c r="U437">
        <f>VLOOKUP(C437,CU_ARS_2025_WOF_F2!$A$2:$K$673,8,FALSE)</f>
        <v>1</v>
      </c>
      <c r="V437">
        <f>VLOOKUP(C437,CU_ARS_2025_WOF_F2!$A$2:$K$673,9,FALSE)</f>
        <v>0</v>
      </c>
      <c r="W437">
        <f>VLOOKUP(C437,CU_ARS_2025_WOF_F2!$A$2:$K$673,10,FALSE)</f>
        <v>0</v>
      </c>
      <c r="X437">
        <f>VLOOKUP(C437,CU_ARS_2025_WOF_F2!$A$2:$K$673,11,FALSE)</f>
        <v>46</v>
      </c>
      <c r="Y437" t="str">
        <f>VLOOKUP(Q437,cross_pedigree!$A$2:$B$23,2,FALSE)</f>
        <v>Gerard 227/PA8014-840</v>
      </c>
    </row>
    <row r="438" spans="1:25" ht="18">
      <c r="A438" s="21" t="s">
        <v>15</v>
      </c>
      <c r="B438" s="21" t="s">
        <v>16</v>
      </c>
      <c r="C438" s="22">
        <v>754070</v>
      </c>
      <c r="D438" s="23">
        <v>5</v>
      </c>
      <c r="E438" s="24" t="str">
        <f t="shared" si="6"/>
        <v>CU_ARS_2025_WOF_F2_3_plant_56</v>
      </c>
      <c r="F438" s="21" t="s">
        <v>170</v>
      </c>
      <c r="G438" s="44">
        <v>53</v>
      </c>
      <c r="H438" s="42"/>
      <c r="I438" s="42" t="s">
        <v>1047</v>
      </c>
      <c r="J438" s="42" t="s">
        <v>1003</v>
      </c>
      <c r="K438" s="42"/>
      <c r="L438" s="42"/>
      <c r="M438" s="42"/>
      <c r="N438" t="str">
        <f>VLOOKUP(C438,CU_ARS_2025_WOF_F2!$A$2:$K$673,2,FALSE)</f>
        <v>CU_ARS_2025_WOF_F2_3_plant_56</v>
      </c>
      <c r="O438" t="str">
        <f>VLOOKUP(C438,CU_ARS_2025_WOF_F2!$A$2:$K$673,2,FALSE)</f>
        <v>CU_ARS_2025_WOF_F2_3_plant_56</v>
      </c>
      <c r="P438" t="str">
        <f>VLOOKUP(C438,CU_ARS_2025_WOF_F2!$A$2:$K$673,3,FALSE)</f>
        <v>CU_ARS_2025_WOF_F2_3</v>
      </c>
      <c r="Q438" t="str">
        <f>VLOOKUP(C438,CU_ARS_2025_WOF_F2!$A$2:$K$673,4,FALSE)</f>
        <v>CU_ARS_2025_WOF_cross_87</v>
      </c>
      <c r="R438">
        <f>VLOOKUP(C438,CU_ARS_2025_WOF_F2!$A$2:$K$673,5,FALSE)</f>
        <v>3</v>
      </c>
      <c r="S438">
        <f>VLOOKUP(C438,CU_ARS_2025_WOF_F2!$A$2:$K$673,6,FALSE)</f>
        <v>1</v>
      </c>
      <c r="T438">
        <f>VLOOKUP(C438,CU_ARS_2025_WOF_F2!$A$2:$K$673,7,FALSE)</f>
        <v>0</v>
      </c>
      <c r="U438">
        <f>VLOOKUP(C438,CU_ARS_2025_WOF_F2!$A$2:$K$673,8,FALSE)</f>
        <v>1</v>
      </c>
      <c r="V438">
        <f>VLOOKUP(C438,CU_ARS_2025_WOF_F2!$A$2:$K$673,9,FALSE)</f>
        <v>0</v>
      </c>
      <c r="W438">
        <f>VLOOKUP(C438,CU_ARS_2025_WOF_F2!$A$2:$K$673,10,FALSE)</f>
        <v>0</v>
      </c>
      <c r="X438">
        <f>VLOOKUP(C438,CU_ARS_2025_WOF_F2!$A$2:$K$673,11,FALSE)</f>
        <v>56</v>
      </c>
      <c r="Y438" t="str">
        <f>VLOOKUP(Q438,cross_pedigree!$A$2:$B$23,2,FALSE)</f>
        <v>Gerard 227/PA8014-840</v>
      </c>
    </row>
    <row r="439" spans="1:25" ht="18">
      <c r="A439" s="21" t="s">
        <v>15</v>
      </c>
      <c r="B439" s="21" t="s">
        <v>16</v>
      </c>
      <c r="C439" s="22">
        <v>754069</v>
      </c>
      <c r="D439" s="23">
        <v>5</v>
      </c>
      <c r="E439" s="24" t="str">
        <f t="shared" si="6"/>
        <v>CU_ARS_2025_WOF_F2_3_plant_55</v>
      </c>
      <c r="F439" s="21" t="s">
        <v>29</v>
      </c>
      <c r="G439" s="44">
        <v>54</v>
      </c>
      <c r="H439" s="42"/>
      <c r="I439" s="42" t="s">
        <v>1047</v>
      </c>
      <c r="J439" s="42" t="s">
        <v>1003</v>
      </c>
      <c r="K439" s="42"/>
      <c r="L439" s="42"/>
      <c r="M439" s="42"/>
      <c r="N439" t="str">
        <f>VLOOKUP(C439,CU_ARS_2025_WOF_F2!$A$2:$K$673,2,FALSE)</f>
        <v>CU_ARS_2025_WOF_F2_3_plant_55</v>
      </c>
      <c r="O439" t="str">
        <f>VLOOKUP(C439,CU_ARS_2025_WOF_F2!$A$2:$K$673,2,FALSE)</f>
        <v>CU_ARS_2025_WOF_F2_3_plant_55</v>
      </c>
      <c r="P439" t="str">
        <f>VLOOKUP(C439,CU_ARS_2025_WOF_F2!$A$2:$K$673,3,FALSE)</f>
        <v>CU_ARS_2025_WOF_F2_3</v>
      </c>
      <c r="Q439" t="str">
        <f>VLOOKUP(C439,CU_ARS_2025_WOF_F2!$A$2:$K$673,4,FALSE)</f>
        <v>CU_ARS_2025_WOF_cross_87</v>
      </c>
      <c r="R439">
        <f>VLOOKUP(C439,CU_ARS_2025_WOF_F2!$A$2:$K$673,5,FALSE)</f>
        <v>3</v>
      </c>
      <c r="S439">
        <f>VLOOKUP(C439,CU_ARS_2025_WOF_F2!$A$2:$K$673,6,FALSE)</f>
        <v>1</v>
      </c>
      <c r="T439">
        <f>VLOOKUP(C439,CU_ARS_2025_WOF_F2!$A$2:$K$673,7,FALSE)</f>
        <v>0</v>
      </c>
      <c r="U439">
        <f>VLOOKUP(C439,CU_ARS_2025_WOF_F2!$A$2:$K$673,8,FALSE)</f>
        <v>1</v>
      </c>
      <c r="V439">
        <f>VLOOKUP(C439,CU_ARS_2025_WOF_F2!$A$2:$K$673,9,FALSE)</f>
        <v>0</v>
      </c>
      <c r="W439">
        <f>VLOOKUP(C439,CU_ARS_2025_WOF_F2!$A$2:$K$673,10,FALSE)</f>
        <v>0</v>
      </c>
      <c r="X439">
        <f>VLOOKUP(C439,CU_ARS_2025_WOF_F2!$A$2:$K$673,11,FALSE)</f>
        <v>55</v>
      </c>
      <c r="Y439" t="str">
        <f>VLOOKUP(Q439,cross_pedigree!$A$2:$B$23,2,FALSE)</f>
        <v>Gerard 227/PA8014-840</v>
      </c>
    </row>
    <row r="440" spans="1:25" ht="18">
      <c r="A440" s="21" t="s">
        <v>15</v>
      </c>
      <c r="B440" s="21" t="s">
        <v>16</v>
      </c>
      <c r="C440" s="22">
        <v>754068</v>
      </c>
      <c r="D440" s="23">
        <v>5</v>
      </c>
      <c r="E440" s="24" t="str">
        <f t="shared" si="6"/>
        <v>CU_ARS_2025_WOF_F2_3_plant_54</v>
      </c>
      <c r="F440" s="21" t="s">
        <v>31</v>
      </c>
      <c r="G440" s="44">
        <v>55</v>
      </c>
      <c r="H440" s="42"/>
      <c r="I440" s="42" t="s">
        <v>1047</v>
      </c>
      <c r="J440" s="42" t="s">
        <v>1003</v>
      </c>
      <c r="K440" s="42"/>
      <c r="L440" s="42"/>
      <c r="M440" s="42"/>
      <c r="N440" t="str">
        <f>VLOOKUP(C440,CU_ARS_2025_WOF_F2!$A$2:$K$673,2,FALSE)</f>
        <v>CU_ARS_2025_WOF_F2_3_plant_54</v>
      </c>
      <c r="O440" t="str">
        <f>VLOOKUP(C440,CU_ARS_2025_WOF_F2!$A$2:$K$673,2,FALSE)</f>
        <v>CU_ARS_2025_WOF_F2_3_plant_54</v>
      </c>
      <c r="P440" t="str">
        <f>VLOOKUP(C440,CU_ARS_2025_WOF_F2!$A$2:$K$673,3,FALSE)</f>
        <v>CU_ARS_2025_WOF_F2_3</v>
      </c>
      <c r="Q440" t="str">
        <f>VLOOKUP(C440,CU_ARS_2025_WOF_F2!$A$2:$K$673,4,FALSE)</f>
        <v>CU_ARS_2025_WOF_cross_87</v>
      </c>
      <c r="R440">
        <f>VLOOKUP(C440,CU_ARS_2025_WOF_F2!$A$2:$K$673,5,FALSE)</f>
        <v>3</v>
      </c>
      <c r="S440">
        <f>VLOOKUP(C440,CU_ARS_2025_WOF_F2!$A$2:$K$673,6,FALSE)</f>
        <v>1</v>
      </c>
      <c r="T440">
        <f>VLOOKUP(C440,CU_ARS_2025_WOF_F2!$A$2:$K$673,7,FALSE)</f>
        <v>0</v>
      </c>
      <c r="U440">
        <f>VLOOKUP(C440,CU_ARS_2025_WOF_F2!$A$2:$K$673,8,FALSE)</f>
        <v>1</v>
      </c>
      <c r="V440">
        <f>VLOOKUP(C440,CU_ARS_2025_WOF_F2!$A$2:$K$673,9,FALSE)</f>
        <v>0</v>
      </c>
      <c r="W440">
        <f>VLOOKUP(C440,CU_ARS_2025_WOF_F2!$A$2:$K$673,10,FALSE)</f>
        <v>0</v>
      </c>
      <c r="X440">
        <f>VLOOKUP(C440,CU_ARS_2025_WOF_F2!$A$2:$K$673,11,FALSE)</f>
        <v>54</v>
      </c>
      <c r="Y440" t="str">
        <f>VLOOKUP(Q440,cross_pedigree!$A$2:$B$23,2,FALSE)</f>
        <v>Gerard 227/PA8014-840</v>
      </c>
    </row>
    <row r="441" spans="1:25" ht="18">
      <c r="A441" s="21" t="s">
        <v>15</v>
      </c>
      <c r="B441" s="21" t="s">
        <v>16</v>
      </c>
      <c r="C441" s="22">
        <v>754042</v>
      </c>
      <c r="D441" s="23">
        <v>5</v>
      </c>
      <c r="E441" s="24" t="str">
        <f t="shared" si="6"/>
        <v>CU_ARS_2025_WOF_F2_3_plant_28</v>
      </c>
      <c r="F441" s="21" t="s">
        <v>33</v>
      </c>
      <c r="G441" s="44">
        <v>56</v>
      </c>
      <c r="H441" s="42"/>
      <c r="I441" s="42" t="s">
        <v>1047</v>
      </c>
      <c r="J441" s="42" t="s">
        <v>1003</v>
      </c>
      <c r="K441" s="42"/>
      <c r="L441" s="42"/>
      <c r="M441" s="42"/>
      <c r="N441" t="str">
        <f>VLOOKUP(C441,CU_ARS_2025_WOF_F2!$A$2:$K$673,2,FALSE)</f>
        <v>CU_ARS_2025_WOF_F2_3_plant_28</v>
      </c>
      <c r="O441" t="str">
        <f>VLOOKUP(C441,CU_ARS_2025_WOF_F2!$A$2:$K$673,2,FALSE)</f>
        <v>CU_ARS_2025_WOF_F2_3_plant_28</v>
      </c>
      <c r="P441" t="str">
        <f>VLOOKUP(C441,CU_ARS_2025_WOF_F2!$A$2:$K$673,3,FALSE)</f>
        <v>CU_ARS_2025_WOF_F2_3</v>
      </c>
      <c r="Q441" t="str">
        <f>VLOOKUP(C441,CU_ARS_2025_WOF_F2!$A$2:$K$673,4,FALSE)</f>
        <v>CU_ARS_2025_WOF_cross_87</v>
      </c>
      <c r="R441">
        <f>VLOOKUP(C441,CU_ARS_2025_WOF_F2!$A$2:$K$673,5,FALSE)</f>
        <v>3</v>
      </c>
      <c r="S441">
        <f>VLOOKUP(C441,CU_ARS_2025_WOF_F2!$A$2:$K$673,6,FALSE)</f>
        <v>1</v>
      </c>
      <c r="T441">
        <f>VLOOKUP(C441,CU_ARS_2025_WOF_F2!$A$2:$K$673,7,FALSE)</f>
        <v>0</v>
      </c>
      <c r="U441">
        <f>VLOOKUP(C441,CU_ARS_2025_WOF_F2!$A$2:$K$673,8,FALSE)</f>
        <v>1</v>
      </c>
      <c r="V441">
        <f>VLOOKUP(C441,CU_ARS_2025_WOF_F2!$A$2:$K$673,9,FALSE)</f>
        <v>0</v>
      </c>
      <c r="W441">
        <f>VLOOKUP(C441,CU_ARS_2025_WOF_F2!$A$2:$K$673,10,FALSE)</f>
        <v>0</v>
      </c>
      <c r="X441">
        <f>VLOOKUP(C441,CU_ARS_2025_WOF_F2!$A$2:$K$673,11,FALSE)</f>
        <v>28</v>
      </c>
      <c r="Y441" t="str">
        <f>VLOOKUP(Q441,cross_pedigree!$A$2:$B$23,2,FALSE)</f>
        <v>Gerard 227/PA8014-840</v>
      </c>
    </row>
    <row r="442" spans="1:25" ht="18">
      <c r="A442" s="21" t="s">
        <v>15</v>
      </c>
      <c r="B442" s="21" t="s">
        <v>16</v>
      </c>
      <c r="C442" s="22">
        <v>754041</v>
      </c>
      <c r="D442" s="23">
        <v>5</v>
      </c>
      <c r="E442" s="24" t="str">
        <f t="shared" si="6"/>
        <v>CU_ARS_2025_WOF_F2_3_plant_27</v>
      </c>
      <c r="F442" s="21" t="s">
        <v>35</v>
      </c>
      <c r="G442" s="44">
        <v>57</v>
      </c>
      <c r="H442" s="42"/>
      <c r="I442" s="42" t="s">
        <v>1047</v>
      </c>
      <c r="J442" s="42" t="s">
        <v>1003</v>
      </c>
      <c r="K442" s="42"/>
      <c r="L442" s="42"/>
      <c r="M442" s="42"/>
      <c r="N442" t="str">
        <f>VLOOKUP(C442,CU_ARS_2025_WOF_F2!$A$2:$K$673,2,FALSE)</f>
        <v>CU_ARS_2025_WOF_F2_3_plant_27</v>
      </c>
      <c r="O442" t="str">
        <f>VLOOKUP(C442,CU_ARS_2025_WOF_F2!$A$2:$K$673,2,FALSE)</f>
        <v>CU_ARS_2025_WOF_F2_3_plant_27</v>
      </c>
      <c r="P442" t="str">
        <f>VLOOKUP(C442,CU_ARS_2025_WOF_F2!$A$2:$K$673,3,FALSE)</f>
        <v>CU_ARS_2025_WOF_F2_3</v>
      </c>
      <c r="Q442" t="str">
        <f>VLOOKUP(C442,CU_ARS_2025_WOF_F2!$A$2:$K$673,4,FALSE)</f>
        <v>CU_ARS_2025_WOF_cross_87</v>
      </c>
      <c r="R442">
        <f>VLOOKUP(C442,CU_ARS_2025_WOF_F2!$A$2:$K$673,5,FALSE)</f>
        <v>3</v>
      </c>
      <c r="S442">
        <f>VLOOKUP(C442,CU_ARS_2025_WOF_F2!$A$2:$K$673,6,FALSE)</f>
        <v>1</v>
      </c>
      <c r="T442">
        <f>VLOOKUP(C442,CU_ARS_2025_WOF_F2!$A$2:$K$673,7,FALSE)</f>
        <v>0</v>
      </c>
      <c r="U442">
        <f>VLOOKUP(C442,CU_ARS_2025_WOF_F2!$A$2:$K$673,8,FALSE)</f>
        <v>1</v>
      </c>
      <c r="V442">
        <f>VLOOKUP(C442,CU_ARS_2025_WOF_F2!$A$2:$K$673,9,FALSE)</f>
        <v>0</v>
      </c>
      <c r="W442">
        <f>VLOOKUP(C442,CU_ARS_2025_WOF_F2!$A$2:$K$673,10,FALSE)</f>
        <v>0</v>
      </c>
      <c r="X442">
        <f>VLOOKUP(C442,CU_ARS_2025_WOF_F2!$A$2:$K$673,11,FALSE)</f>
        <v>27</v>
      </c>
      <c r="Y442" t="str">
        <f>VLOOKUP(Q442,cross_pedigree!$A$2:$B$23,2,FALSE)</f>
        <v>Gerard 227/PA8014-840</v>
      </c>
    </row>
    <row r="443" spans="1:25" ht="18">
      <c r="A443" s="21" t="s">
        <v>15</v>
      </c>
      <c r="B443" s="21" t="s">
        <v>16</v>
      </c>
      <c r="C443" s="22">
        <v>754040</v>
      </c>
      <c r="D443" s="23">
        <v>5</v>
      </c>
      <c r="E443" s="24" t="str">
        <f t="shared" si="6"/>
        <v>CU_ARS_2025_WOF_F2_3_plant_26</v>
      </c>
      <c r="F443" s="21" t="s">
        <v>37</v>
      </c>
      <c r="G443" s="44">
        <v>58</v>
      </c>
      <c r="H443" s="42"/>
      <c r="I443" s="42" t="s">
        <v>1047</v>
      </c>
      <c r="J443" s="42" t="s">
        <v>1003</v>
      </c>
      <c r="K443" s="42"/>
      <c r="L443" s="42"/>
      <c r="M443" s="42"/>
      <c r="N443" t="str">
        <f>VLOOKUP(C443,CU_ARS_2025_WOF_F2!$A$2:$K$673,2,FALSE)</f>
        <v>CU_ARS_2025_WOF_F2_3_plant_26</v>
      </c>
      <c r="O443" t="str">
        <f>VLOOKUP(C443,CU_ARS_2025_WOF_F2!$A$2:$K$673,2,FALSE)</f>
        <v>CU_ARS_2025_WOF_F2_3_plant_26</v>
      </c>
      <c r="P443" t="str">
        <f>VLOOKUP(C443,CU_ARS_2025_WOF_F2!$A$2:$K$673,3,FALSE)</f>
        <v>CU_ARS_2025_WOF_F2_3</v>
      </c>
      <c r="Q443" t="str">
        <f>VLOOKUP(C443,CU_ARS_2025_WOF_F2!$A$2:$K$673,4,FALSE)</f>
        <v>CU_ARS_2025_WOF_cross_87</v>
      </c>
      <c r="R443">
        <f>VLOOKUP(C443,CU_ARS_2025_WOF_F2!$A$2:$K$673,5,FALSE)</f>
        <v>3</v>
      </c>
      <c r="S443">
        <f>VLOOKUP(C443,CU_ARS_2025_WOF_F2!$A$2:$K$673,6,FALSE)</f>
        <v>1</v>
      </c>
      <c r="T443">
        <f>VLOOKUP(C443,CU_ARS_2025_WOF_F2!$A$2:$K$673,7,FALSE)</f>
        <v>0</v>
      </c>
      <c r="U443">
        <f>VLOOKUP(C443,CU_ARS_2025_WOF_F2!$A$2:$K$673,8,FALSE)</f>
        <v>1</v>
      </c>
      <c r="V443">
        <f>VLOOKUP(C443,CU_ARS_2025_WOF_F2!$A$2:$K$673,9,FALSE)</f>
        <v>0</v>
      </c>
      <c r="W443">
        <f>VLOOKUP(C443,CU_ARS_2025_WOF_F2!$A$2:$K$673,10,FALSE)</f>
        <v>0</v>
      </c>
      <c r="X443">
        <f>VLOOKUP(C443,CU_ARS_2025_WOF_F2!$A$2:$K$673,11,FALSE)</f>
        <v>26</v>
      </c>
      <c r="Y443" t="str">
        <f>VLOOKUP(Q443,cross_pedigree!$A$2:$B$23,2,FALSE)</f>
        <v>Gerard 227/PA8014-840</v>
      </c>
    </row>
    <row r="444" spans="1:25" ht="18">
      <c r="A444" s="21" t="s">
        <v>15</v>
      </c>
      <c r="B444" s="21" t="s">
        <v>16</v>
      </c>
      <c r="C444" s="22">
        <v>754039</v>
      </c>
      <c r="D444" s="23">
        <v>5</v>
      </c>
      <c r="E444" s="24" t="str">
        <f t="shared" si="6"/>
        <v>CU_ARS_2025_WOF_F2_3_plant_25</v>
      </c>
      <c r="F444" s="21" t="s">
        <v>172</v>
      </c>
      <c r="G444" s="44">
        <v>59</v>
      </c>
      <c r="H444" s="42"/>
      <c r="I444" s="42" t="s">
        <v>1047</v>
      </c>
      <c r="J444" s="42" t="s">
        <v>1003</v>
      </c>
      <c r="K444" s="42"/>
      <c r="L444" s="42"/>
      <c r="M444" s="42"/>
      <c r="N444" t="str">
        <f>VLOOKUP(C444,CU_ARS_2025_WOF_F2!$A$2:$K$673,2,FALSE)</f>
        <v>CU_ARS_2025_WOF_F2_3_plant_25</v>
      </c>
      <c r="O444" t="str">
        <f>VLOOKUP(C444,CU_ARS_2025_WOF_F2!$A$2:$K$673,2,FALSE)</f>
        <v>CU_ARS_2025_WOF_F2_3_plant_25</v>
      </c>
      <c r="P444" t="str">
        <f>VLOOKUP(C444,CU_ARS_2025_WOF_F2!$A$2:$K$673,3,FALSE)</f>
        <v>CU_ARS_2025_WOF_F2_3</v>
      </c>
      <c r="Q444" t="str">
        <f>VLOOKUP(C444,CU_ARS_2025_WOF_F2!$A$2:$K$673,4,FALSE)</f>
        <v>CU_ARS_2025_WOF_cross_87</v>
      </c>
      <c r="R444">
        <f>VLOOKUP(C444,CU_ARS_2025_WOF_F2!$A$2:$K$673,5,FALSE)</f>
        <v>3</v>
      </c>
      <c r="S444">
        <f>VLOOKUP(C444,CU_ARS_2025_WOF_F2!$A$2:$K$673,6,FALSE)</f>
        <v>1</v>
      </c>
      <c r="T444">
        <f>VLOOKUP(C444,CU_ARS_2025_WOF_F2!$A$2:$K$673,7,FALSE)</f>
        <v>0</v>
      </c>
      <c r="U444">
        <f>VLOOKUP(C444,CU_ARS_2025_WOF_F2!$A$2:$K$673,8,FALSE)</f>
        <v>1</v>
      </c>
      <c r="V444">
        <f>VLOOKUP(C444,CU_ARS_2025_WOF_F2!$A$2:$K$673,9,FALSE)</f>
        <v>0</v>
      </c>
      <c r="W444">
        <f>VLOOKUP(C444,CU_ARS_2025_WOF_F2!$A$2:$K$673,10,FALSE)</f>
        <v>0</v>
      </c>
      <c r="X444">
        <f>VLOOKUP(C444,CU_ARS_2025_WOF_F2!$A$2:$K$673,11,FALSE)</f>
        <v>25</v>
      </c>
      <c r="Y444" t="str">
        <f>VLOOKUP(Q444,cross_pedigree!$A$2:$B$23,2,FALSE)</f>
        <v>Gerard 227/PA8014-840</v>
      </c>
    </row>
    <row r="445" spans="1:25" ht="18">
      <c r="A445" s="21" t="s">
        <v>15</v>
      </c>
      <c r="B445" s="21" t="s">
        <v>16</v>
      </c>
      <c r="C445" s="22">
        <v>754038</v>
      </c>
      <c r="D445" s="23">
        <v>5</v>
      </c>
      <c r="E445" s="24" t="str">
        <f t="shared" si="6"/>
        <v>CU_ARS_2025_WOF_F2_3_plant_24</v>
      </c>
      <c r="F445" s="21" t="s">
        <v>174</v>
      </c>
      <c r="G445" s="44">
        <v>60</v>
      </c>
      <c r="H445" s="42"/>
      <c r="I445" s="42" t="s">
        <v>1047</v>
      </c>
      <c r="J445" s="42" t="s">
        <v>1003</v>
      </c>
      <c r="K445" s="42"/>
      <c r="L445" s="42"/>
      <c r="M445" s="42"/>
      <c r="N445" t="str">
        <f>VLOOKUP(C445,CU_ARS_2025_WOF_F2!$A$2:$K$673,2,FALSE)</f>
        <v>CU_ARS_2025_WOF_F2_3_plant_24</v>
      </c>
      <c r="O445" t="str">
        <f>VLOOKUP(C445,CU_ARS_2025_WOF_F2!$A$2:$K$673,2,FALSE)</f>
        <v>CU_ARS_2025_WOF_F2_3_plant_24</v>
      </c>
      <c r="P445" t="str">
        <f>VLOOKUP(C445,CU_ARS_2025_WOF_F2!$A$2:$K$673,3,FALSE)</f>
        <v>CU_ARS_2025_WOF_F2_3</v>
      </c>
      <c r="Q445" t="str">
        <f>VLOOKUP(C445,CU_ARS_2025_WOF_F2!$A$2:$K$673,4,FALSE)</f>
        <v>CU_ARS_2025_WOF_cross_87</v>
      </c>
      <c r="R445">
        <f>VLOOKUP(C445,CU_ARS_2025_WOF_F2!$A$2:$K$673,5,FALSE)</f>
        <v>3</v>
      </c>
      <c r="S445">
        <f>VLOOKUP(C445,CU_ARS_2025_WOF_F2!$A$2:$K$673,6,FALSE)</f>
        <v>1</v>
      </c>
      <c r="T445">
        <f>VLOOKUP(C445,CU_ARS_2025_WOF_F2!$A$2:$K$673,7,FALSE)</f>
        <v>0</v>
      </c>
      <c r="U445">
        <f>VLOOKUP(C445,CU_ARS_2025_WOF_F2!$A$2:$K$673,8,FALSE)</f>
        <v>1</v>
      </c>
      <c r="V445">
        <f>VLOOKUP(C445,CU_ARS_2025_WOF_F2!$A$2:$K$673,9,FALSE)</f>
        <v>0</v>
      </c>
      <c r="W445">
        <f>VLOOKUP(C445,CU_ARS_2025_WOF_F2!$A$2:$K$673,10,FALSE)</f>
        <v>0</v>
      </c>
      <c r="X445">
        <f>VLOOKUP(C445,CU_ARS_2025_WOF_F2!$A$2:$K$673,11,FALSE)</f>
        <v>24</v>
      </c>
      <c r="Y445" t="str">
        <f>VLOOKUP(Q445,cross_pedigree!$A$2:$B$23,2,FALSE)</f>
        <v>Gerard 227/PA8014-840</v>
      </c>
    </row>
    <row r="446" spans="1:25" ht="18">
      <c r="A446" s="21" t="s">
        <v>15</v>
      </c>
      <c r="B446" s="21" t="s">
        <v>16</v>
      </c>
      <c r="C446" s="22">
        <v>754030</v>
      </c>
      <c r="D446" s="23">
        <v>5</v>
      </c>
      <c r="E446" s="24" t="str">
        <f t="shared" si="6"/>
        <v>CU_ARS_2025_WOF_F2_3_plant_16</v>
      </c>
      <c r="F446" s="21" t="s">
        <v>176</v>
      </c>
      <c r="G446" s="44">
        <v>61</v>
      </c>
      <c r="H446" s="42"/>
      <c r="I446" s="42" t="s">
        <v>1047</v>
      </c>
      <c r="J446" s="42" t="s">
        <v>1003</v>
      </c>
      <c r="K446" s="42"/>
      <c r="L446" s="42"/>
      <c r="M446" s="42"/>
      <c r="N446" t="str">
        <f>VLOOKUP(C446,CU_ARS_2025_WOF_F2!$A$2:$K$673,2,FALSE)</f>
        <v>CU_ARS_2025_WOF_F2_3_plant_16</v>
      </c>
      <c r="O446" t="str">
        <f>VLOOKUP(C446,CU_ARS_2025_WOF_F2!$A$2:$K$673,2,FALSE)</f>
        <v>CU_ARS_2025_WOF_F2_3_plant_16</v>
      </c>
      <c r="P446" t="str">
        <f>VLOOKUP(C446,CU_ARS_2025_WOF_F2!$A$2:$K$673,3,FALSE)</f>
        <v>CU_ARS_2025_WOF_F2_3</v>
      </c>
      <c r="Q446" t="str">
        <f>VLOOKUP(C446,CU_ARS_2025_WOF_F2!$A$2:$K$673,4,FALSE)</f>
        <v>CU_ARS_2025_WOF_cross_87</v>
      </c>
      <c r="R446">
        <f>VLOOKUP(C446,CU_ARS_2025_WOF_F2!$A$2:$K$673,5,FALSE)</f>
        <v>3</v>
      </c>
      <c r="S446">
        <f>VLOOKUP(C446,CU_ARS_2025_WOF_F2!$A$2:$K$673,6,FALSE)</f>
        <v>1</v>
      </c>
      <c r="T446">
        <f>VLOOKUP(C446,CU_ARS_2025_WOF_F2!$A$2:$K$673,7,FALSE)</f>
        <v>0</v>
      </c>
      <c r="U446">
        <f>VLOOKUP(C446,CU_ARS_2025_WOF_F2!$A$2:$K$673,8,FALSE)</f>
        <v>1</v>
      </c>
      <c r="V446">
        <f>VLOOKUP(C446,CU_ARS_2025_WOF_F2!$A$2:$K$673,9,FALSE)</f>
        <v>0</v>
      </c>
      <c r="W446">
        <f>VLOOKUP(C446,CU_ARS_2025_WOF_F2!$A$2:$K$673,10,FALSE)</f>
        <v>0</v>
      </c>
      <c r="X446">
        <f>VLOOKUP(C446,CU_ARS_2025_WOF_F2!$A$2:$K$673,11,FALSE)</f>
        <v>16</v>
      </c>
      <c r="Y446" t="str">
        <f>VLOOKUP(Q446,cross_pedigree!$A$2:$B$23,2,FALSE)</f>
        <v>Gerard 227/PA8014-840</v>
      </c>
    </row>
    <row r="447" spans="1:25" ht="18">
      <c r="A447" s="21" t="s">
        <v>15</v>
      </c>
      <c r="B447" s="21" t="s">
        <v>16</v>
      </c>
      <c r="C447" s="22">
        <v>754031</v>
      </c>
      <c r="D447" s="23">
        <v>5</v>
      </c>
      <c r="E447" s="24" t="str">
        <f t="shared" si="6"/>
        <v>CU_ARS_2025_WOF_F2_3_plant_17</v>
      </c>
      <c r="F447" s="21" t="s">
        <v>178</v>
      </c>
      <c r="G447" s="44">
        <v>62</v>
      </c>
      <c r="H447" s="42"/>
      <c r="I447" s="42" t="s">
        <v>1047</v>
      </c>
      <c r="J447" s="42" t="s">
        <v>1003</v>
      </c>
      <c r="K447" s="42"/>
      <c r="L447" s="42"/>
      <c r="M447" s="42"/>
      <c r="N447" t="str">
        <f>VLOOKUP(C447,CU_ARS_2025_WOF_F2!$A$2:$K$673,2,FALSE)</f>
        <v>CU_ARS_2025_WOF_F2_3_plant_17</v>
      </c>
      <c r="O447" t="str">
        <f>VLOOKUP(C447,CU_ARS_2025_WOF_F2!$A$2:$K$673,2,FALSE)</f>
        <v>CU_ARS_2025_WOF_F2_3_plant_17</v>
      </c>
      <c r="P447" t="str">
        <f>VLOOKUP(C447,CU_ARS_2025_WOF_F2!$A$2:$K$673,3,FALSE)</f>
        <v>CU_ARS_2025_WOF_F2_3</v>
      </c>
      <c r="Q447" t="str">
        <f>VLOOKUP(C447,CU_ARS_2025_WOF_F2!$A$2:$K$673,4,FALSE)</f>
        <v>CU_ARS_2025_WOF_cross_87</v>
      </c>
      <c r="R447">
        <f>VLOOKUP(C447,CU_ARS_2025_WOF_F2!$A$2:$K$673,5,FALSE)</f>
        <v>3</v>
      </c>
      <c r="S447">
        <f>VLOOKUP(C447,CU_ARS_2025_WOF_F2!$A$2:$K$673,6,FALSE)</f>
        <v>1</v>
      </c>
      <c r="T447">
        <f>VLOOKUP(C447,CU_ARS_2025_WOF_F2!$A$2:$K$673,7,FALSE)</f>
        <v>0</v>
      </c>
      <c r="U447">
        <f>VLOOKUP(C447,CU_ARS_2025_WOF_F2!$A$2:$K$673,8,FALSE)</f>
        <v>1</v>
      </c>
      <c r="V447">
        <f>VLOOKUP(C447,CU_ARS_2025_WOF_F2!$A$2:$K$673,9,FALSE)</f>
        <v>0</v>
      </c>
      <c r="W447">
        <f>VLOOKUP(C447,CU_ARS_2025_WOF_F2!$A$2:$K$673,10,FALSE)</f>
        <v>0</v>
      </c>
      <c r="X447">
        <f>VLOOKUP(C447,CU_ARS_2025_WOF_F2!$A$2:$K$673,11,FALSE)</f>
        <v>17</v>
      </c>
      <c r="Y447" t="str">
        <f>VLOOKUP(Q447,cross_pedigree!$A$2:$B$23,2,FALSE)</f>
        <v>Gerard 227/PA8014-840</v>
      </c>
    </row>
    <row r="448" spans="1:25" ht="18">
      <c r="A448" s="21" t="s">
        <v>15</v>
      </c>
      <c r="B448" s="21" t="s">
        <v>16</v>
      </c>
      <c r="C448" s="22">
        <v>754032</v>
      </c>
      <c r="D448" s="23">
        <v>5</v>
      </c>
      <c r="E448" s="24" t="str">
        <f t="shared" si="6"/>
        <v>CU_ARS_2025_WOF_F2_3_plant_18</v>
      </c>
      <c r="F448" s="21" t="s">
        <v>180</v>
      </c>
      <c r="G448" s="44">
        <v>63</v>
      </c>
      <c r="H448" s="42"/>
      <c r="I448" s="42" t="s">
        <v>1047</v>
      </c>
      <c r="J448" s="42" t="s">
        <v>1003</v>
      </c>
      <c r="K448" s="42"/>
      <c r="L448" s="42"/>
      <c r="M448" s="42"/>
      <c r="N448" t="str">
        <f>VLOOKUP(C448,CU_ARS_2025_WOF_F2!$A$2:$K$673,2,FALSE)</f>
        <v>CU_ARS_2025_WOF_F2_3_plant_18</v>
      </c>
      <c r="O448" t="str">
        <f>VLOOKUP(C448,CU_ARS_2025_WOF_F2!$A$2:$K$673,2,FALSE)</f>
        <v>CU_ARS_2025_WOF_F2_3_plant_18</v>
      </c>
      <c r="P448" t="str">
        <f>VLOOKUP(C448,CU_ARS_2025_WOF_F2!$A$2:$K$673,3,FALSE)</f>
        <v>CU_ARS_2025_WOF_F2_3</v>
      </c>
      <c r="Q448" t="str">
        <f>VLOOKUP(C448,CU_ARS_2025_WOF_F2!$A$2:$K$673,4,FALSE)</f>
        <v>CU_ARS_2025_WOF_cross_87</v>
      </c>
      <c r="R448">
        <f>VLOOKUP(C448,CU_ARS_2025_WOF_F2!$A$2:$K$673,5,FALSE)</f>
        <v>3</v>
      </c>
      <c r="S448">
        <f>VLOOKUP(C448,CU_ARS_2025_WOF_F2!$A$2:$K$673,6,FALSE)</f>
        <v>1</v>
      </c>
      <c r="T448">
        <f>VLOOKUP(C448,CU_ARS_2025_WOF_F2!$A$2:$K$673,7,FALSE)</f>
        <v>0</v>
      </c>
      <c r="U448">
        <f>VLOOKUP(C448,CU_ARS_2025_WOF_F2!$A$2:$K$673,8,FALSE)</f>
        <v>1</v>
      </c>
      <c r="V448">
        <f>VLOOKUP(C448,CU_ARS_2025_WOF_F2!$A$2:$K$673,9,FALSE)</f>
        <v>0</v>
      </c>
      <c r="W448">
        <f>VLOOKUP(C448,CU_ARS_2025_WOF_F2!$A$2:$K$673,10,FALSE)</f>
        <v>0</v>
      </c>
      <c r="X448">
        <f>VLOOKUP(C448,CU_ARS_2025_WOF_F2!$A$2:$K$673,11,FALSE)</f>
        <v>18</v>
      </c>
      <c r="Y448" t="str">
        <f>VLOOKUP(Q448,cross_pedigree!$A$2:$B$23,2,FALSE)</f>
        <v>Gerard 227/PA8014-840</v>
      </c>
    </row>
    <row r="449" spans="1:25" ht="18">
      <c r="A449" s="21" t="s">
        <v>15</v>
      </c>
      <c r="B449" s="21" t="s">
        <v>16</v>
      </c>
      <c r="C449" s="22">
        <v>754033</v>
      </c>
      <c r="D449" s="23">
        <v>5</v>
      </c>
      <c r="E449" s="24" t="str">
        <f t="shared" si="6"/>
        <v>CU_ARS_2025_WOF_F2_3_plant_19</v>
      </c>
      <c r="F449" s="21" t="s">
        <v>182</v>
      </c>
      <c r="G449" s="44">
        <v>64</v>
      </c>
      <c r="H449" s="42"/>
      <c r="I449" s="42" t="s">
        <v>1047</v>
      </c>
      <c r="J449" s="42" t="s">
        <v>1003</v>
      </c>
      <c r="K449" s="42"/>
      <c r="L449" s="42"/>
      <c r="M449" s="42"/>
      <c r="N449" t="str">
        <f>VLOOKUP(C449,CU_ARS_2025_WOF_F2!$A$2:$K$673,2,FALSE)</f>
        <v>CU_ARS_2025_WOF_F2_3_plant_19</v>
      </c>
      <c r="O449" t="str">
        <f>VLOOKUP(C449,CU_ARS_2025_WOF_F2!$A$2:$K$673,2,FALSE)</f>
        <v>CU_ARS_2025_WOF_F2_3_plant_19</v>
      </c>
      <c r="P449" t="str">
        <f>VLOOKUP(C449,CU_ARS_2025_WOF_F2!$A$2:$K$673,3,FALSE)</f>
        <v>CU_ARS_2025_WOF_F2_3</v>
      </c>
      <c r="Q449" t="str">
        <f>VLOOKUP(C449,CU_ARS_2025_WOF_F2!$A$2:$K$673,4,FALSE)</f>
        <v>CU_ARS_2025_WOF_cross_87</v>
      </c>
      <c r="R449">
        <f>VLOOKUP(C449,CU_ARS_2025_WOF_F2!$A$2:$K$673,5,FALSE)</f>
        <v>3</v>
      </c>
      <c r="S449">
        <f>VLOOKUP(C449,CU_ARS_2025_WOF_F2!$A$2:$K$673,6,FALSE)</f>
        <v>1</v>
      </c>
      <c r="T449">
        <f>VLOOKUP(C449,CU_ARS_2025_WOF_F2!$A$2:$K$673,7,FALSE)</f>
        <v>0</v>
      </c>
      <c r="U449">
        <f>VLOOKUP(C449,CU_ARS_2025_WOF_F2!$A$2:$K$673,8,FALSE)</f>
        <v>1</v>
      </c>
      <c r="V449">
        <f>VLOOKUP(C449,CU_ARS_2025_WOF_F2!$A$2:$K$673,9,FALSE)</f>
        <v>0</v>
      </c>
      <c r="W449">
        <f>VLOOKUP(C449,CU_ARS_2025_WOF_F2!$A$2:$K$673,10,FALSE)</f>
        <v>0</v>
      </c>
      <c r="X449">
        <f>VLOOKUP(C449,CU_ARS_2025_WOF_F2!$A$2:$K$673,11,FALSE)</f>
        <v>19</v>
      </c>
      <c r="Y449" t="str">
        <f>VLOOKUP(Q449,cross_pedigree!$A$2:$B$23,2,FALSE)</f>
        <v>Gerard 227/PA8014-840</v>
      </c>
    </row>
    <row r="450" spans="1:25" ht="18">
      <c r="A450" s="21" t="s">
        <v>15</v>
      </c>
      <c r="B450" s="21" t="s">
        <v>16</v>
      </c>
      <c r="C450" s="22">
        <v>754034</v>
      </c>
      <c r="D450" s="23">
        <v>5</v>
      </c>
      <c r="E450" s="24" t="str">
        <f t="shared" si="6"/>
        <v>CU_ARS_2025_WOF_F2_3_plant_20</v>
      </c>
      <c r="F450" s="21" t="s">
        <v>39</v>
      </c>
      <c r="G450" s="44">
        <v>65</v>
      </c>
      <c r="H450" s="42"/>
      <c r="I450" s="42" t="s">
        <v>1047</v>
      </c>
      <c r="J450" s="42" t="s">
        <v>1003</v>
      </c>
      <c r="K450" s="42"/>
      <c r="L450" s="42"/>
      <c r="M450" s="42"/>
      <c r="N450" t="str">
        <f>VLOOKUP(C450,CU_ARS_2025_WOF_F2!$A$2:$K$673,2,FALSE)</f>
        <v>CU_ARS_2025_WOF_F2_3_plant_20</v>
      </c>
      <c r="O450" t="str">
        <f>VLOOKUP(C450,CU_ARS_2025_WOF_F2!$A$2:$K$673,2,FALSE)</f>
        <v>CU_ARS_2025_WOF_F2_3_plant_20</v>
      </c>
      <c r="P450" t="str">
        <f>VLOOKUP(C450,CU_ARS_2025_WOF_F2!$A$2:$K$673,3,FALSE)</f>
        <v>CU_ARS_2025_WOF_F2_3</v>
      </c>
      <c r="Q450" t="str">
        <f>VLOOKUP(C450,CU_ARS_2025_WOF_F2!$A$2:$K$673,4,FALSE)</f>
        <v>CU_ARS_2025_WOF_cross_87</v>
      </c>
      <c r="R450">
        <f>VLOOKUP(C450,CU_ARS_2025_WOF_F2!$A$2:$K$673,5,FALSE)</f>
        <v>3</v>
      </c>
      <c r="S450">
        <f>VLOOKUP(C450,CU_ARS_2025_WOF_F2!$A$2:$K$673,6,FALSE)</f>
        <v>1</v>
      </c>
      <c r="T450">
        <f>VLOOKUP(C450,CU_ARS_2025_WOF_F2!$A$2:$K$673,7,FALSE)</f>
        <v>0</v>
      </c>
      <c r="U450">
        <f>VLOOKUP(C450,CU_ARS_2025_WOF_F2!$A$2:$K$673,8,FALSE)</f>
        <v>1</v>
      </c>
      <c r="V450">
        <f>VLOOKUP(C450,CU_ARS_2025_WOF_F2!$A$2:$K$673,9,FALSE)</f>
        <v>0</v>
      </c>
      <c r="W450">
        <f>VLOOKUP(C450,CU_ARS_2025_WOF_F2!$A$2:$K$673,10,FALSE)</f>
        <v>0</v>
      </c>
      <c r="X450">
        <f>VLOOKUP(C450,CU_ARS_2025_WOF_F2!$A$2:$K$673,11,FALSE)</f>
        <v>20</v>
      </c>
      <c r="Y450" t="str">
        <f>VLOOKUP(Q450,cross_pedigree!$A$2:$B$23,2,FALSE)</f>
        <v>Gerard 227/PA8014-840</v>
      </c>
    </row>
    <row r="451" spans="1:25" ht="18">
      <c r="A451" s="21" t="s">
        <v>15</v>
      </c>
      <c r="B451" s="21" t="s">
        <v>16</v>
      </c>
      <c r="C451" s="22">
        <v>754063</v>
      </c>
      <c r="D451" s="23">
        <v>5</v>
      </c>
      <c r="E451" s="24" t="str">
        <f t="shared" ref="E451:E514" si="7">O451</f>
        <v>CU_ARS_2025_WOF_F2_3_plant_49</v>
      </c>
      <c r="F451" s="21" t="s">
        <v>41</v>
      </c>
      <c r="G451" s="44">
        <v>66</v>
      </c>
      <c r="H451" s="42"/>
      <c r="I451" s="42" t="s">
        <v>1047</v>
      </c>
      <c r="J451" s="42" t="s">
        <v>1003</v>
      </c>
      <c r="K451" s="42"/>
      <c r="L451" s="42"/>
      <c r="M451" s="42"/>
      <c r="N451" t="str">
        <f>VLOOKUP(C451,CU_ARS_2025_WOF_F2!$A$2:$K$673,2,FALSE)</f>
        <v>CU_ARS_2025_WOF_F2_3_plant_49</v>
      </c>
      <c r="O451" t="str">
        <f>VLOOKUP(C451,CU_ARS_2025_WOF_F2!$A$2:$K$673,2,FALSE)</f>
        <v>CU_ARS_2025_WOF_F2_3_plant_49</v>
      </c>
      <c r="P451" t="str">
        <f>VLOOKUP(C451,CU_ARS_2025_WOF_F2!$A$2:$K$673,3,FALSE)</f>
        <v>CU_ARS_2025_WOF_F2_3</v>
      </c>
      <c r="Q451" t="str">
        <f>VLOOKUP(C451,CU_ARS_2025_WOF_F2!$A$2:$K$673,4,FALSE)</f>
        <v>CU_ARS_2025_WOF_cross_87</v>
      </c>
      <c r="R451">
        <f>VLOOKUP(C451,CU_ARS_2025_WOF_F2!$A$2:$K$673,5,FALSE)</f>
        <v>3</v>
      </c>
      <c r="S451">
        <f>VLOOKUP(C451,CU_ARS_2025_WOF_F2!$A$2:$K$673,6,FALSE)</f>
        <v>1</v>
      </c>
      <c r="T451">
        <f>VLOOKUP(C451,CU_ARS_2025_WOF_F2!$A$2:$K$673,7,FALSE)</f>
        <v>0</v>
      </c>
      <c r="U451">
        <f>VLOOKUP(C451,CU_ARS_2025_WOF_F2!$A$2:$K$673,8,FALSE)</f>
        <v>1</v>
      </c>
      <c r="V451">
        <f>VLOOKUP(C451,CU_ARS_2025_WOF_F2!$A$2:$K$673,9,FALSE)</f>
        <v>0</v>
      </c>
      <c r="W451">
        <f>VLOOKUP(C451,CU_ARS_2025_WOF_F2!$A$2:$K$673,10,FALSE)</f>
        <v>0</v>
      </c>
      <c r="X451">
        <f>VLOOKUP(C451,CU_ARS_2025_WOF_F2!$A$2:$K$673,11,FALSE)</f>
        <v>49</v>
      </c>
      <c r="Y451" t="str">
        <f>VLOOKUP(Q451,cross_pedigree!$A$2:$B$23,2,FALSE)</f>
        <v>Gerard 227/PA8014-840</v>
      </c>
    </row>
    <row r="452" spans="1:25" ht="18">
      <c r="A452" s="21" t="s">
        <v>15</v>
      </c>
      <c r="B452" s="21" t="s">
        <v>16</v>
      </c>
      <c r="C452" s="22">
        <v>754064</v>
      </c>
      <c r="D452" s="23">
        <v>5</v>
      </c>
      <c r="E452" s="24" t="str">
        <f t="shared" si="7"/>
        <v>CU_ARS_2025_WOF_F2_3_plant_50</v>
      </c>
      <c r="F452" s="21" t="s">
        <v>184</v>
      </c>
      <c r="G452" s="44">
        <v>67</v>
      </c>
      <c r="H452" s="42"/>
      <c r="I452" s="42" t="s">
        <v>1047</v>
      </c>
      <c r="J452" s="42" t="s">
        <v>1003</v>
      </c>
      <c r="K452" s="42"/>
      <c r="L452" s="42"/>
      <c r="M452" s="42"/>
      <c r="N452" t="str">
        <f>VLOOKUP(C452,CU_ARS_2025_WOF_F2!$A$2:$K$673,2,FALSE)</f>
        <v>CU_ARS_2025_WOF_F2_3_plant_50</v>
      </c>
      <c r="O452" t="str">
        <f>VLOOKUP(C452,CU_ARS_2025_WOF_F2!$A$2:$K$673,2,FALSE)</f>
        <v>CU_ARS_2025_WOF_F2_3_plant_50</v>
      </c>
      <c r="P452" t="str">
        <f>VLOOKUP(C452,CU_ARS_2025_WOF_F2!$A$2:$K$673,3,FALSE)</f>
        <v>CU_ARS_2025_WOF_F2_3</v>
      </c>
      <c r="Q452" t="str">
        <f>VLOOKUP(C452,CU_ARS_2025_WOF_F2!$A$2:$K$673,4,FALSE)</f>
        <v>CU_ARS_2025_WOF_cross_87</v>
      </c>
      <c r="R452">
        <f>VLOOKUP(C452,CU_ARS_2025_WOF_F2!$A$2:$K$673,5,FALSE)</f>
        <v>3</v>
      </c>
      <c r="S452">
        <f>VLOOKUP(C452,CU_ARS_2025_WOF_F2!$A$2:$K$673,6,FALSE)</f>
        <v>1</v>
      </c>
      <c r="T452">
        <f>VLOOKUP(C452,CU_ARS_2025_WOF_F2!$A$2:$K$673,7,FALSE)</f>
        <v>0</v>
      </c>
      <c r="U452">
        <f>VLOOKUP(C452,CU_ARS_2025_WOF_F2!$A$2:$K$673,8,FALSE)</f>
        <v>1</v>
      </c>
      <c r="V452">
        <f>VLOOKUP(C452,CU_ARS_2025_WOF_F2!$A$2:$K$673,9,FALSE)</f>
        <v>0</v>
      </c>
      <c r="W452">
        <f>VLOOKUP(C452,CU_ARS_2025_WOF_F2!$A$2:$K$673,10,FALSE)</f>
        <v>0</v>
      </c>
      <c r="X452">
        <f>VLOOKUP(C452,CU_ARS_2025_WOF_F2!$A$2:$K$673,11,FALSE)</f>
        <v>50</v>
      </c>
      <c r="Y452" t="str">
        <f>VLOOKUP(Q452,cross_pedigree!$A$2:$B$23,2,FALSE)</f>
        <v>Gerard 227/PA8014-840</v>
      </c>
    </row>
    <row r="453" spans="1:25" ht="18">
      <c r="A453" s="21" t="s">
        <v>15</v>
      </c>
      <c r="B453" s="21" t="s">
        <v>16</v>
      </c>
      <c r="C453" s="22">
        <v>754065</v>
      </c>
      <c r="D453" s="23">
        <v>5</v>
      </c>
      <c r="E453" s="24" t="str">
        <f t="shared" si="7"/>
        <v>CU_ARS_2025_WOF_F2_3_plant_51</v>
      </c>
      <c r="F453" s="21" t="s">
        <v>186</v>
      </c>
      <c r="G453" s="44">
        <v>68</v>
      </c>
      <c r="H453" s="42"/>
      <c r="I453" s="42" t="s">
        <v>1047</v>
      </c>
      <c r="J453" s="42" t="s">
        <v>1003</v>
      </c>
      <c r="K453" s="42"/>
      <c r="L453" s="42"/>
      <c r="M453" s="42"/>
      <c r="N453" t="str">
        <f>VLOOKUP(C453,CU_ARS_2025_WOF_F2!$A$2:$K$673,2,FALSE)</f>
        <v>CU_ARS_2025_WOF_F2_3_plant_51</v>
      </c>
      <c r="O453" t="str">
        <f>VLOOKUP(C453,CU_ARS_2025_WOF_F2!$A$2:$K$673,2,FALSE)</f>
        <v>CU_ARS_2025_WOF_F2_3_plant_51</v>
      </c>
      <c r="P453" t="str">
        <f>VLOOKUP(C453,CU_ARS_2025_WOF_F2!$A$2:$K$673,3,FALSE)</f>
        <v>CU_ARS_2025_WOF_F2_3</v>
      </c>
      <c r="Q453" t="str">
        <f>VLOOKUP(C453,CU_ARS_2025_WOF_F2!$A$2:$K$673,4,FALSE)</f>
        <v>CU_ARS_2025_WOF_cross_87</v>
      </c>
      <c r="R453">
        <f>VLOOKUP(C453,CU_ARS_2025_WOF_F2!$A$2:$K$673,5,FALSE)</f>
        <v>3</v>
      </c>
      <c r="S453">
        <f>VLOOKUP(C453,CU_ARS_2025_WOF_F2!$A$2:$K$673,6,FALSE)</f>
        <v>1</v>
      </c>
      <c r="T453">
        <f>VLOOKUP(C453,CU_ARS_2025_WOF_F2!$A$2:$K$673,7,FALSE)</f>
        <v>0</v>
      </c>
      <c r="U453">
        <f>VLOOKUP(C453,CU_ARS_2025_WOF_F2!$A$2:$K$673,8,FALSE)</f>
        <v>1</v>
      </c>
      <c r="V453">
        <f>VLOOKUP(C453,CU_ARS_2025_WOF_F2!$A$2:$K$673,9,FALSE)</f>
        <v>0</v>
      </c>
      <c r="W453">
        <f>VLOOKUP(C453,CU_ARS_2025_WOF_F2!$A$2:$K$673,10,FALSE)</f>
        <v>0</v>
      </c>
      <c r="X453">
        <f>VLOOKUP(C453,CU_ARS_2025_WOF_F2!$A$2:$K$673,11,FALSE)</f>
        <v>51</v>
      </c>
      <c r="Y453" t="str">
        <f>VLOOKUP(Q453,cross_pedigree!$A$2:$B$23,2,FALSE)</f>
        <v>Gerard 227/PA8014-840</v>
      </c>
    </row>
    <row r="454" spans="1:25" ht="18">
      <c r="A454" s="21" t="s">
        <v>15</v>
      </c>
      <c r="B454" s="21" t="s">
        <v>16</v>
      </c>
      <c r="C454" s="22">
        <v>754066</v>
      </c>
      <c r="D454" s="23">
        <v>5</v>
      </c>
      <c r="E454" s="24" t="str">
        <f t="shared" si="7"/>
        <v>CU_ARS_2025_WOF_F2_3_plant_52</v>
      </c>
      <c r="F454" s="21" t="s">
        <v>188</v>
      </c>
      <c r="G454" s="44">
        <v>69</v>
      </c>
      <c r="H454" s="42"/>
      <c r="I454" s="42" t="s">
        <v>1047</v>
      </c>
      <c r="J454" s="42" t="s">
        <v>1003</v>
      </c>
      <c r="K454" s="42"/>
      <c r="L454" s="42"/>
      <c r="M454" s="42"/>
      <c r="N454" t="str">
        <f>VLOOKUP(C454,CU_ARS_2025_WOF_F2!$A$2:$K$673,2,FALSE)</f>
        <v>CU_ARS_2025_WOF_F2_3_plant_52</v>
      </c>
      <c r="O454" t="str">
        <f>VLOOKUP(C454,CU_ARS_2025_WOF_F2!$A$2:$K$673,2,FALSE)</f>
        <v>CU_ARS_2025_WOF_F2_3_plant_52</v>
      </c>
      <c r="P454" t="str">
        <f>VLOOKUP(C454,CU_ARS_2025_WOF_F2!$A$2:$K$673,3,FALSE)</f>
        <v>CU_ARS_2025_WOF_F2_3</v>
      </c>
      <c r="Q454" t="str">
        <f>VLOOKUP(C454,CU_ARS_2025_WOF_F2!$A$2:$K$673,4,FALSE)</f>
        <v>CU_ARS_2025_WOF_cross_87</v>
      </c>
      <c r="R454">
        <f>VLOOKUP(C454,CU_ARS_2025_WOF_F2!$A$2:$K$673,5,FALSE)</f>
        <v>3</v>
      </c>
      <c r="S454">
        <f>VLOOKUP(C454,CU_ARS_2025_WOF_F2!$A$2:$K$673,6,FALSE)</f>
        <v>1</v>
      </c>
      <c r="T454">
        <f>VLOOKUP(C454,CU_ARS_2025_WOF_F2!$A$2:$K$673,7,FALSE)</f>
        <v>0</v>
      </c>
      <c r="U454">
        <f>VLOOKUP(C454,CU_ARS_2025_WOF_F2!$A$2:$K$673,8,FALSE)</f>
        <v>1</v>
      </c>
      <c r="V454">
        <f>VLOOKUP(C454,CU_ARS_2025_WOF_F2!$A$2:$K$673,9,FALSE)</f>
        <v>0</v>
      </c>
      <c r="W454">
        <f>VLOOKUP(C454,CU_ARS_2025_WOF_F2!$A$2:$K$673,10,FALSE)</f>
        <v>0</v>
      </c>
      <c r="X454">
        <f>VLOOKUP(C454,CU_ARS_2025_WOF_F2!$A$2:$K$673,11,FALSE)</f>
        <v>52</v>
      </c>
      <c r="Y454" t="str">
        <f>VLOOKUP(Q454,cross_pedigree!$A$2:$B$23,2,FALSE)</f>
        <v>Gerard 227/PA8014-840</v>
      </c>
    </row>
    <row r="455" spans="1:25" ht="18">
      <c r="A455" s="21" t="s">
        <v>15</v>
      </c>
      <c r="B455" s="21" t="s">
        <v>16</v>
      </c>
      <c r="C455" s="22">
        <v>754067</v>
      </c>
      <c r="D455" s="23">
        <v>5</v>
      </c>
      <c r="E455" s="24" t="str">
        <f t="shared" si="7"/>
        <v>CU_ARS_2025_WOF_F2_3_plant_53</v>
      </c>
      <c r="F455" s="21" t="s">
        <v>190</v>
      </c>
      <c r="G455" s="44">
        <v>70</v>
      </c>
      <c r="H455" s="42"/>
      <c r="I455" s="42" t="s">
        <v>1047</v>
      </c>
      <c r="J455" s="42" t="s">
        <v>1003</v>
      </c>
      <c r="K455" s="42"/>
      <c r="L455" s="42"/>
      <c r="M455" s="42"/>
      <c r="N455" t="str">
        <f>VLOOKUP(C455,CU_ARS_2025_WOF_F2!$A$2:$K$673,2,FALSE)</f>
        <v>CU_ARS_2025_WOF_F2_3_plant_53</v>
      </c>
      <c r="O455" t="str">
        <f>VLOOKUP(C455,CU_ARS_2025_WOF_F2!$A$2:$K$673,2,FALSE)</f>
        <v>CU_ARS_2025_WOF_F2_3_plant_53</v>
      </c>
      <c r="P455" t="str">
        <f>VLOOKUP(C455,CU_ARS_2025_WOF_F2!$A$2:$K$673,3,FALSE)</f>
        <v>CU_ARS_2025_WOF_F2_3</v>
      </c>
      <c r="Q455" t="str">
        <f>VLOOKUP(C455,CU_ARS_2025_WOF_F2!$A$2:$K$673,4,FALSE)</f>
        <v>CU_ARS_2025_WOF_cross_87</v>
      </c>
      <c r="R455">
        <f>VLOOKUP(C455,CU_ARS_2025_WOF_F2!$A$2:$K$673,5,FALSE)</f>
        <v>3</v>
      </c>
      <c r="S455">
        <f>VLOOKUP(C455,CU_ARS_2025_WOF_F2!$A$2:$K$673,6,FALSE)</f>
        <v>1</v>
      </c>
      <c r="T455">
        <f>VLOOKUP(C455,CU_ARS_2025_WOF_F2!$A$2:$K$673,7,FALSE)</f>
        <v>0</v>
      </c>
      <c r="U455">
        <f>VLOOKUP(C455,CU_ARS_2025_WOF_F2!$A$2:$K$673,8,FALSE)</f>
        <v>1</v>
      </c>
      <c r="V455">
        <f>VLOOKUP(C455,CU_ARS_2025_WOF_F2!$A$2:$K$673,9,FALSE)</f>
        <v>0</v>
      </c>
      <c r="W455">
        <f>VLOOKUP(C455,CU_ARS_2025_WOF_F2!$A$2:$K$673,10,FALSE)</f>
        <v>0</v>
      </c>
      <c r="X455">
        <f>VLOOKUP(C455,CU_ARS_2025_WOF_F2!$A$2:$K$673,11,FALSE)</f>
        <v>53</v>
      </c>
      <c r="Y455" t="str">
        <f>VLOOKUP(Q455,cross_pedigree!$A$2:$B$23,2,FALSE)</f>
        <v>Gerard 227/PA8014-840</v>
      </c>
    </row>
    <row r="456" spans="1:25" ht="18">
      <c r="A456" s="21" t="s">
        <v>15</v>
      </c>
      <c r="B456" s="21" t="s">
        <v>16</v>
      </c>
      <c r="C456" s="22">
        <v>754076</v>
      </c>
      <c r="D456" s="23">
        <v>5</v>
      </c>
      <c r="E456" s="24" t="str">
        <f t="shared" si="7"/>
        <v>CU_ARS_2025_WOF_F2_3_plant_62</v>
      </c>
      <c r="F456" s="21" t="s">
        <v>192</v>
      </c>
      <c r="G456" s="44">
        <v>71</v>
      </c>
      <c r="H456" s="42"/>
      <c r="I456" s="42" t="s">
        <v>1047</v>
      </c>
      <c r="J456" s="42" t="s">
        <v>1003</v>
      </c>
      <c r="K456" s="42"/>
      <c r="L456" s="42"/>
      <c r="M456" s="42"/>
      <c r="N456" t="str">
        <f>VLOOKUP(C456,CU_ARS_2025_WOF_F2!$A$2:$K$673,2,FALSE)</f>
        <v>CU_ARS_2025_WOF_F2_3_plant_62</v>
      </c>
      <c r="O456" t="str">
        <f>VLOOKUP(C456,CU_ARS_2025_WOF_F2!$A$2:$K$673,2,FALSE)</f>
        <v>CU_ARS_2025_WOF_F2_3_plant_62</v>
      </c>
      <c r="P456" t="str">
        <f>VLOOKUP(C456,CU_ARS_2025_WOF_F2!$A$2:$K$673,3,FALSE)</f>
        <v>CU_ARS_2025_WOF_F2_3</v>
      </c>
      <c r="Q456" t="str">
        <f>VLOOKUP(C456,CU_ARS_2025_WOF_F2!$A$2:$K$673,4,FALSE)</f>
        <v>CU_ARS_2025_WOF_cross_87</v>
      </c>
      <c r="R456">
        <f>VLOOKUP(C456,CU_ARS_2025_WOF_F2!$A$2:$K$673,5,FALSE)</f>
        <v>3</v>
      </c>
      <c r="S456">
        <f>VLOOKUP(C456,CU_ARS_2025_WOF_F2!$A$2:$K$673,6,FALSE)</f>
        <v>1</v>
      </c>
      <c r="T456">
        <f>VLOOKUP(C456,CU_ARS_2025_WOF_F2!$A$2:$K$673,7,FALSE)</f>
        <v>0</v>
      </c>
      <c r="U456">
        <f>VLOOKUP(C456,CU_ARS_2025_WOF_F2!$A$2:$K$673,8,FALSE)</f>
        <v>1</v>
      </c>
      <c r="V456">
        <f>VLOOKUP(C456,CU_ARS_2025_WOF_F2!$A$2:$K$673,9,FALSE)</f>
        <v>0</v>
      </c>
      <c r="W456">
        <f>VLOOKUP(C456,CU_ARS_2025_WOF_F2!$A$2:$K$673,10,FALSE)</f>
        <v>0</v>
      </c>
      <c r="X456">
        <f>VLOOKUP(C456,CU_ARS_2025_WOF_F2!$A$2:$K$673,11,FALSE)</f>
        <v>62</v>
      </c>
      <c r="Y456" t="str">
        <f>VLOOKUP(Q456,cross_pedigree!$A$2:$B$23,2,FALSE)</f>
        <v>Gerard 227/PA8014-840</v>
      </c>
    </row>
    <row r="457" spans="1:25" ht="18">
      <c r="A457" s="21" t="s">
        <v>15</v>
      </c>
      <c r="B457" s="21" t="s">
        <v>16</v>
      </c>
      <c r="C457" s="22">
        <v>754077</v>
      </c>
      <c r="D457" s="23">
        <v>5</v>
      </c>
      <c r="E457" s="24" t="str">
        <f t="shared" si="7"/>
        <v>CU_ARS_2025_WOF_F2_3_plant_63</v>
      </c>
      <c r="F457" s="21" t="s">
        <v>194</v>
      </c>
      <c r="G457" s="44">
        <v>72</v>
      </c>
      <c r="H457" s="42"/>
      <c r="I457" s="42" t="s">
        <v>1047</v>
      </c>
      <c r="J457" s="42" t="s">
        <v>1003</v>
      </c>
      <c r="K457" s="42"/>
      <c r="L457" s="42"/>
      <c r="M457" s="42"/>
      <c r="N457" t="str">
        <f>VLOOKUP(C457,CU_ARS_2025_WOF_F2!$A$2:$K$673,2,FALSE)</f>
        <v>CU_ARS_2025_WOF_F2_3_plant_63</v>
      </c>
      <c r="O457" t="str">
        <f>VLOOKUP(C457,CU_ARS_2025_WOF_F2!$A$2:$K$673,2,FALSE)</f>
        <v>CU_ARS_2025_WOF_F2_3_plant_63</v>
      </c>
      <c r="P457" t="str">
        <f>VLOOKUP(C457,CU_ARS_2025_WOF_F2!$A$2:$K$673,3,FALSE)</f>
        <v>CU_ARS_2025_WOF_F2_3</v>
      </c>
      <c r="Q457" t="str">
        <f>VLOOKUP(C457,CU_ARS_2025_WOF_F2!$A$2:$K$673,4,FALSE)</f>
        <v>CU_ARS_2025_WOF_cross_87</v>
      </c>
      <c r="R457">
        <f>VLOOKUP(C457,CU_ARS_2025_WOF_F2!$A$2:$K$673,5,FALSE)</f>
        <v>3</v>
      </c>
      <c r="S457">
        <f>VLOOKUP(C457,CU_ARS_2025_WOF_F2!$A$2:$K$673,6,FALSE)</f>
        <v>1</v>
      </c>
      <c r="T457">
        <f>VLOOKUP(C457,CU_ARS_2025_WOF_F2!$A$2:$K$673,7,FALSE)</f>
        <v>0</v>
      </c>
      <c r="U457">
        <f>VLOOKUP(C457,CU_ARS_2025_WOF_F2!$A$2:$K$673,8,FALSE)</f>
        <v>1</v>
      </c>
      <c r="V457">
        <f>VLOOKUP(C457,CU_ARS_2025_WOF_F2!$A$2:$K$673,9,FALSE)</f>
        <v>0</v>
      </c>
      <c r="W457">
        <f>VLOOKUP(C457,CU_ARS_2025_WOF_F2!$A$2:$K$673,10,FALSE)</f>
        <v>0</v>
      </c>
      <c r="X457">
        <f>VLOOKUP(C457,CU_ARS_2025_WOF_F2!$A$2:$K$673,11,FALSE)</f>
        <v>63</v>
      </c>
      <c r="Y457" t="str">
        <f>VLOOKUP(Q457,cross_pedigree!$A$2:$B$23,2,FALSE)</f>
        <v>Gerard 227/PA8014-840</v>
      </c>
    </row>
    <row r="458" spans="1:25" ht="18">
      <c r="A458" s="21" t="s">
        <v>15</v>
      </c>
      <c r="B458" s="21" t="s">
        <v>16</v>
      </c>
      <c r="C458" s="22">
        <v>754078</v>
      </c>
      <c r="D458" s="23">
        <v>5</v>
      </c>
      <c r="E458" s="24" t="str">
        <f t="shared" si="7"/>
        <v>CU_ARS_2025_WOF_F2_3_plant_64</v>
      </c>
      <c r="F458" s="21" t="s">
        <v>196</v>
      </c>
      <c r="G458" s="44">
        <v>73</v>
      </c>
      <c r="H458" s="42"/>
      <c r="I458" s="42" t="s">
        <v>1047</v>
      </c>
      <c r="J458" s="42" t="s">
        <v>1003</v>
      </c>
      <c r="K458" s="42"/>
      <c r="L458" s="42"/>
      <c r="M458" s="42"/>
      <c r="N458" t="str">
        <f>VLOOKUP(C458,CU_ARS_2025_WOF_F2!$A$2:$K$673,2,FALSE)</f>
        <v>CU_ARS_2025_WOF_F2_3_plant_64</v>
      </c>
      <c r="O458" t="str">
        <f>VLOOKUP(C458,CU_ARS_2025_WOF_F2!$A$2:$K$673,2,FALSE)</f>
        <v>CU_ARS_2025_WOF_F2_3_plant_64</v>
      </c>
      <c r="P458" t="str">
        <f>VLOOKUP(C458,CU_ARS_2025_WOF_F2!$A$2:$K$673,3,FALSE)</f>
        <v>CU_ARS_2025_WOF_F2_3</v>
      </c>
      <c r="Q458" t="str">
        <f>VLOOKUP(C458,CU_ARS_2025_WOF_F2!$A$2:$K$673,4,FALSE)</f>
        <v>CU_ARS_2025_WOF_cross_87</v>
      </c>
      <c r="R458">
        <f>VLOOKUP(C458,CU_ARS_2025_WOF_F2!$A$2:$K$673,5,FALSE)</f>
        <v>3</v>
      </c>
      <c r="S458">
        <f>VLOOKUP(C458,CU_ARS_2025_WOF_F2!$A$2:$K$673,6,FALSE)</f>
        <v>1</v>
      </c>
      <c r="T458">
        <f>VLOOKUP(C458,CU_ARS_2025_WOF_F2!$A$2:$K$673,7,FALSE)</f>
        <v>0</v>
      </c>
      <c r="U458">
        <f>VLOOKUP(C458,CU_ARS_2025_WOF_F2!$A$2:$K$673,8,FALSE)</f>
        <v>1</v>
      </c>
      <c r="V458">
        <f>VLOOKUP(C458,CU_ARS_2025_WOF_F2!$A$2:$K$673,9,FALSE)</f>
        <v>0</v>
      </c>
      <c r="W458">
        <f>VLOOKUP(C458,CU_ARS_2025_WOF_F2!$A$2:$K$673,10,FALSE)</f>
        <v>0</v>
      </c>
      <c r="X458">
        <f>VLOOKUP(C458,CU_ARS_2025_WOF_F2!$A$2:$K$673,11,FALSE)</f>
        <v>64</v>
      </c>
      <c r="Y458" t="str">
        <f>VLOOKUP(Q458,cross_pedigree!$A$2:$B$23,2,FALSE)</f>
        <v>Gerard 227/PA8014-840</v>
      </c>
    </row>
    <row r="459" spans="1:25" ht="18">
      <c r="A459" s="21" t="s">
        <v>15</v>
      </c>
      <c r="B459" s="21" t="s">
        <v>16</v>
      </c>
      <c r="C459" s="22">
        <v>754086</v>
      </c>
      <c r="D459" s="23">
        <v>5</v>
      </c>
      <c r="E459" s="24" t="str">
        <f t="shared" si="7"/>
        <v>CU_ARS_2025_WOF_F2_3_plant_72</v>
      </c>
      <c r="F459" s="21" t="s">
        <v>198</v>
      </c>
      <c r="G459" s="44">
        <v>74</v>
      </c>
      <c r="H459" s="42"/>
      <c r="I459" s="42" t="s">
        <v>1047</v>
      </c>
      <c r="J459" s="42" t="s">
        <v>1003</v>
      </c>
      <c r="K459" s="42"/>
      <c r="L459" s="42"/>
      <c r="M459" s="42"/>
      <c r="N459" t="str">
        <f>VLOOKUP(C459,CU_ARS_2025_WOF_F2!$A$2:$K$673,2,FALSE)</f>
        <v>CU_ARS_2025_WOF_F2_3_plant_72</v>
      </c>
      <c r="O459" t="str">
        <f>VLOOKUP(C459,CU_ARS_2025_WOF_F2!$A$2:$K$673,2,FALSE)</f>
        <v>CU_ARS_2025_WOF_F2_3_plant_72</v>
      </c>
      <c r="P459" t="str">
        <f>VLOOKUP(C459,CU_ARS_2025_WOF_F2!$A$2:$K$673,3,FALSE)</f>
        <v>CU_ARS_2025_WOF_F2_3</v>
      </c>
      <c r="Q459" t="str">
        <f>VLOOKUP(C459,CU_ARS_2025_WOF_F2!$A$2:$K$673,4,FALSE)</f>
        <v>CU_ARS_2025_WOF_cross_87</v>
      </c>
      <c r="R459">
        <f>VLOOKUP(C459,CU_ARS_2025_WOF_F2!$A$2:$K$673,5,FALSE)</f>
        <v>3</v>
      </c>
      <c r="S459">
        <f>VLOOKUP(C459,CU_ARS_2025_WOF_F2!$A$2:$K$673,6,FALSE)</f>
        <v>1</v>
      </c>
      <c r="T459">
        <f>VLOOKUP(C459,CU_ARS_2025_WOF_F2!$A$2:$K$673,7,FALSE)</f>
        <v>0</v>
      </c>
      <c r="U459">
        <f>VLOOKUP(C459,CU_ARS_2025_WOF_F2!$A$2:$K$673,8,FALSE)</f>
        <v>1</v>
      </c>
      <c r="V459">
        <f>VLOOKUP(C459,CU_ARS_2025_WOF_F2!$A$2:$K$673,9,FALSE)</f>
        <v>0</v>
      </c>
      <c r="W459">
        <f>VLOOKUP(C459,CU_ARS_2025_WOF_F2!$A$2:$K$673,10,FALSE)</f>
        <v>0</v>
      </c>
      <c r="X459">
        <f>VLOOKUP(C459,CU_ARS_2025_WOF_F2!$A$2:$K$673,11,FALSE)</f>
        <v>72</v>
      </c>
      <c r="Y459" t="str">
        <f>VLOOKUP(Q459,cross_pedigree!$A$2:$B$23,2,FALSE)</f>
        <v>Gerard 227/PA8014-840</v>
      </c>
    </row>
    <row r="460" spans="1:25" ht="18">
      <c r="A460" s="21" t="s">
        <v>15</v>
      </c>
      <c r="B460" s="21" t="s">
        <v>16</v>
      </c>
      <c r="C460" s="22">
        <v>754085</v>
      </c>
      <c r="D460" s="23">
        <v>5</v>
      </c>
      <c r="E460" s="24" t="str">
        <f t="shared" si="7"/>
        <v>CU_ARS_2025_WOF_F2_3_plant_71</v>
      </c>
      <c r="F460" s="21" t="s">
        <v>200</v>
      </c>
      <c r="G460" s="44">
        <v>75</v>
      </c>
      <c r="H460" s="42"/>
      <c r="I460" s="42" t="s">
        <v>1047</v>
      </c>
      <c r="J460" s="42" t="s">
        <v>1003</v>
      </c>
      <c r="K460" s="42"/>
      <c r="L460" s="42"/>
      <c r="M460" s="42"/>
      <c r="N460" t="str">
        <f>VLOOKUP(C460,CU_ARS_2025_WOF_F2!$A$2:$K$673,2,FALSE)</f>
        <v>CU_ARS_2025_WOF_F2_3_plant_71</v>
      </c>
      <c r="O460" t="str">
        <f>VLOOKUP(C460,CU_ARS_2025_WOF_F2!$A$2:$K$673,2,FALSE)</f>
        <v>CU_ARS_2025_WOF_F2_3_plant_71</v>
      </c>
      <c r="P460" t="str">
        <f>VLOOKUP(C460,CU_ARS_2025_WOF_F2!$A$2:$K$673,3,FALSE)</f>
        <v>CU_ARS_2025_WOF_F2_3</v>
      </c>
      <c r="Q460" t="str">
        <f>VLOOKUP(C460,CU_ARS_2025_WOF_F2!$A$2:$K$673,4,FALSE)</f>
        <v>CU_ARS_2025_WOF_cross_87</v>
      </c>
      <c r="R460">
        <f>VLOOKUP(C460,CU_ARS_2025_WOF_F2!$A$2:$K$673,5,FALSE)</f>
        <v>3</v>
      </c>
      <c r="S460">
        <f>VLOOKUP(C460,CU_ARS_2025_WOF_F2!$A$2:$K$673,6,FALSE)</f>
        <v>1</v>
      </c>
      <c r="T460">
        <f>VLOOKUP(C460,CU_ARS_2025_WOF_F2!$A$2:$K$673,7,FALSE)</f>
        <v>0</v>
      </c>
      <c r="U460">
        <f>VLOOKUP(C460,CU_ARS_2025_WOF_F2!$A$2:$K$673,8,FALSE)</f>
        <v>1</v>
      </c>
      <c r="V460">
        <f>VLOOKUP(C460,CU_ARS_2025_WOF_F2!$A$2:$K$673,9,FALSE)</f>
        <v>0</v>
      </c>
      <c r="W460">
        <f>VLOOKUP(C460,CU_ARS_2025_WOF_F2!$A$2:$K$673,10,FALSE)</f>
        <v>0</v>
      </c>
      <c r="X460">
        <f>VLOOKUP(C460,CU_ARS_2025_WOF_F2!$A$2:$K$673,11,FALSE)</f>
        <v>71</v>
      </c>
      <c r="Y460" t="str">
        <f>VLOOKUP(Q460,cross_pedigree!$A$2:$B$23,2,FALSE)</f>
        <v>Gerard 227/PA8014-840</v>
      </c>
    </row>
    <row r="461" spans="1:25" ht="18">
      <c r="A461" s="21" t="s">
        <v>15</v>
      </c>
      <c r="B461" s="21" t="s">
        <v>16</v>
      </c>
      <c r="C461" s="22">
        <v>754084</v>
      </c>
      <c r="D461" s="23">
        <v>5</v>
      </c>
      <c r="E461" s="24" t="str">
        <f t="shared" si="7"/>
        <v>CU_ARS_2025_WOF_F2_3_plant_70</v>
      </c>
      <c r="F461" s="21" t="s">
        <v>202</v>
      </c>
      <c r="G461" s="44">
        <v>76</v>
      </c>
      <c r="H461" s="42"/>
      <c r="I461" s="42" t="s">
        <v>1047</v>
      </c>
      <c r="J461" s="42" t="s">
        <v>1003</v>
      </c>
      <c r="K461" s="42"/>
      <c r="L461" s="42"/>
      <c r="M461" s="42"/>
      <c r="N461" t="str">
        <f>VLOOKUP(C461,CU_ARS_2025_WOF_F2!$A$2:$K$673,2,FALSE)</f>
        <v>CU_ARS_2025_WOF_F2_3_plant_70</v>
      </c>
      <c r="O461" t="str">
        <f>VLOOKUP(C461,CU_ARS_2025_WOF_F2!$A$2:$K$673,2,FALSE)</f>
        <v>CU_ARS_2025_WOF_F2_3_plant_70</v>
      </c>
      <c r="P461" t="str">
        <f>VLOOKUP(C461,CU_ARS_2025_WOF_F2!$A$2:$K$673,3,FALSE)</f>
        <v>CU_ARS_2025_WOF_F2_3</v>
      </c>
      <c r="Q461" t="str">
        <f>VLOOKUP(C461,CU_ARS_2025_WOF_F2!$A$2:$K$673,4,FALSE)</f>
        <v>CU_ARS_2025_WOF_cross_87</v>
      </c>
      <c r="R461">
        <f>VLOOKUP(C461,CU_ARS_2025_WOF_F2!$A$2:$K$673,5,FALSE)</f>
        <v>3</v>
      </c>
      <c r="S461">
        <f>VLOOKUP(C461,CU_ARS_2025_WOF_F2!$A$2:$K$673,6,FALSE)</f>
        <v>1</v>
      </c>
      <c r="T461">
        <f>VLOOKUP(C461,CU_ARS_2025_WOF_F2!$A$2:$K$673,7,FALSE)</f>
        <v>0</v>
      </c>
      <c r="U461">
        <f>VLOOKUP(C461,CU_ARS_2025_WOF_F2!$A$2:$K$673,8,FALSE)</f>
        <v>1</v>
      </c>
      <c r="V461">
        <f>VLOOKUP(C461,CU_ARS_2025_WOF_F2!$A$2:$K$673,9,FALSE)</f>
        <v>0</v>
      </c>
      <c r="W461">
        <f>VLOOKUP(C461,CU_ARS_2025_WOF_F2!$A$2:$K$673,10,FALSE)</f>
        <v>0</v>
      </c>
      <c r="X461">
        <f>VLOOKUP(C461,CU_ARS_2025_WOF_F2!$A$2:$K$673,11,FALSE)</f>
        <v>70</v>
      </c>
      <c r="Y461" t="str">
        <f>VLOOKUP(Q461,cross_pedigree!$A$2:$B$23,2,FALSE)</f>
        <v>Gerard 227/PA8014-840</v>
      </c>
    </row>
    <row r="462" spans="1:25" ht="18">
      <c r="A462" s="21" t="s">
        <v>15</v>
      </c>
      <c r="B462" s="21" t="s">
        <v>16</v>
      </c>
      <c r="C462" s="22">
        <v>754079</v>
      </c>
      <c r="D462" s="23">
        <v>5</v>
      </c>
      <c r="E462" s="24" t="str">
        <f t="shared" si="7"/>
        <v>CU_ARS_2025_WOF_F2_3_plant_65</v>
      </c>
      <c r="F462" s="21" t="s">
        <v>204</v>
      </c>
      <c r="G462" s="44">
        <v>77</v>
      </c>
      <c r="H462" s="42"/>
      <c r="I462" s="42" t="s">
        <v>1047</v>
      </c>
      <c r="J462" s="42" t="s">
        <v>1003</v>
      </c>
      <c r="K462" s="42"/>
      <c r="L462" s="42"/>
      <c r="M462" s="42"/>
      <c r="N462" t="str">
        <f>VLOOKUP(C462,CU_ARS_2025_WOF_F2!$A$2:$K$673,2,FALSE)</f>
        <v>CU_ARS_2025_WOF_F2_3_plant_65</v>
      </c>
      <c r="O462" t="str">
        <f>VLOOKUP(C462,CU_ARS_2025_WOF_F2!$A$2:$K$673,2,FALSE)</f>
        <v>CU_ARS_2025_WOF_F2_3_plant_65</v>
      </c>
      <c r="P462" t="str">
        <f>VLOOKUP(C462,CU_ARS_2025_WOF_F2!$A$2:$K$673,3,FALSE)</f>
        <v>CU_ARS_2025_WOF_F2_3</v>
      </c>
      <c r="Q462" t="str">
        <f>VLOOKUP(C462,CU_ARS_2025_WOF_F2!$A$2:$K$673,4,FALSE)</f>
        <v>CU_ARS_2025_WOF_cross_87</v>
      </c>
      <c r="R462">
        <f>VLOOKUP(C462,CU_ARS_2025_WOF_F2!$A$2:$K$673,5,FALSE)</f>
        <v>3</v>
      </c>
      <c r="S462">
        <f>VLOOKUP(C462,CU_ARS_2025_WOF_F2!$A$2:$K$673,6,FALSE)</f>
        <v>1</v>
      </c>
      <c r="T462">
        <f>VLOOKUP(C462,CU_ARS_2025_WOF_F2!$A$2:$K$673,7,FALSE)</f>
        <v>0</v>
      </c>
      <c r="U462">
        <f>VLOOKUP(C462,CU_ARS_2025_WOF_F2!$A$2:$K$673,8,FALSE)</f>
        <v>1</v>
      </c>
      <c r="V462">
        <f>VLOOKUP(C462,CU_ARS_2025_WOF_F2!$A$2:$K$673,9,FALSE)</f>
        <v>0</v>
      </c>
      <c r="W462">
        <f>VLOOKUP(C462,CU_ARS_2025_WOF_F2!$A$2:$K$673,10,FALSE)</f>
        <v>0</v>
      </c>
      <c r="X462">
        <f>VLOOKUP(C462,CU_ARS_2025_WOF_F2!$A$2:$K$673,11,FALSE)</f>
        <v>65</v>
      </c>
      <c r="Y462" t="str">
        <f>VLOOKUP(Q462,cross_pedigree!$A$2:$B$23,2,FALSE)</f>
        <v>Gerard 227/PA8014-840</v>
      </c>
    </row>
    <row r="463" spans="1:25" ht="18">
      <c r="A463" s="21" t="s">
        <v>15</v>
      </c>
      <c r="B463" s="21" t="s">
        <v>16</v>
      </c>
      <c r="C463" s="22">
        <v>754080</v>
      </c>
      <c r="D463" s="23">
        <v>5</v>
      </c>
      <c r="E463" s="24" t="str">
        <f t="shared" si="7"/>
        <v>CU_ARS_2025_WOF_F2_3_plant_66</v>
      </c>
      <c r="F463" s="21" t="s">
        <v>206</v>
      </c>
      <c r="G463" s="44">
        <v>78</v>
      </c>
      <c r="H463" s="42"/>
      <c r="I463" s="42" t="s">
        <v>1047</v>
      </c>
      <c r="J463" s="42" t="s">
        <v>1003</v>
      </c>
      <c r="K463" s="42"/>
      <c r="L463" s="42"/>
      <c r="M463" s="42"/>
      <c r="N463" t="str">
        <f>VLOOKUP(C463,CU_ARS_2025_WOF_F2!$A$2:$K$673,2,FALSE)</f>
        <v>CU_ARS_2025_WOF_F2_3_plant_66</v>
      </c>
      <c r="O463" t="str">
        <f>VLOOKUP(C463,CU_ARS_2025_WOF_F2!$A$2:$K$673,2,FALSE)</f>
        <v>CU_ARS_2025_WOF_F2_3_plant_66</v>
      </c>
      <c r="P463" t="str">
        <f>VLOOKUP(C463,CU_ARS_2025_WOF_F2!$A$2:$K$673,3,FALSE)</f>
        <v>CU_ARS_2025_WOF_F2_3</v>
      </c>
      <c r="Q463" t="str">
        <f>VLOOKUP(C463,CU_ARS_2025_WOF_F2!$A$2:$K$673,4,FALSE)</f>
        <v>CU_ARS_2025_WOF_cross_87</v>
      </c>
      <c r="R463">
        <f>VLOOKUP(C463,CU_ARS_2025_WOF_F2!$A$2:$K$673,5,FALSE)</f>
        <v>3</v>
      </c>
      <c r="S463">
        <f>VLOOKUP(C463,CU_ARS_2025_WOF_F2!$A$2:$K$673,6,FALSE)</f>
        <v>1</v>
      </c>
      <c r="T463">
        <f>VLOOKUP(C463,CU_ARS_2025_WOF_F2!$A$2:$K$673,7,FALSE)</f>
        <v>0</v>
      </c>
      <c r="U463">
        <f>VLOOKUP(C463,CU_ARS_2025_WOF_F2!$A$2:$K$673,8,FALSE)</f>
        <v>1</v>
      </c>
      <c r="V463">
        <f>VLOOKUP(C463,CU_ARS_2025_WOF_F2!$A$2:$K$673,9,FALSE)</f>
        <v>0</v>
      </c>
      <c r="W463">
        <f>VLOOKUP(C463,CU_ARS_2025_WOF_F2!$A$2:$K$673,10,FALSE)</f>
        <v>0</v>
      </c>
      <c r="X463">
        <f>VLOOKUP(C463,CU_ARS_2025_WOF_F2!$A$2:$K$673,11,FALSE)</f>
        <v>66</v>
      </c>
      <c r="Y463" t="str">
        <f>VLOOKUP(Q463,cross_pedigree!$A$2:$B$23,2,FALSE)</f>
        <v>Gerard 227/PA8014-840</v>
      </c>
    </row>
    <row r="464" spans="1:25" ht="18">
      <c r="A464" s="21" t="s">
        <v>15</v>
      </c>
      <c r="B464" s="21" t="s">
        <v>16</v>
      </c>
      <c r="C464" s="22">
        <v>754081</v>
      </c>
      <c r="D464" s="23">
        <v>5</v>
      </c>
      <c r="E464" s="24" t="str">
        <f t="shared" si="7"/>
        <v>CU_ARS_2025_WOF_F2_3_plant_67</v>
      </c>
      <c r="F464" s="21" t="s">
        <v>91</v>
      </c>
      <c r="G464" s="44">
        <v>79</v>
      </c>
      <c r="H464" s="42"/>
      <c r="I464" s="42" t="s">
        <v>1047</v>
      </c>
      <c r="J464" s="42" t="s">
        <v>1003</v>
      </c>
      <c r="K464" s="42"/>
      <c r="L464" s="42"/>
      <c r="M464" s="42"/>
      <c r="N464" t="str">
        <f>VLOOKUP(C464,CU_ARS_2025_WOF_F2!$A$2:$K$673,2,FALSE)</f>
        <v>CU_ARS_2025_WOF_F2_3_plant_67</v>
      </c>
      <c r="O464" t="str">
        <f>VLOOKUP(C464,CU_ARS_2025_WOF_F2!$A$2:$K$673,2,FALSE)</f>
        <v>CU_ARS_2025_WOF_F2_3_plant_67</v>
      </c>
      <c r="P464" t="str">
        <f>VLOOKUP(C464,CU_ARS_2025_WOF_F2!$A$2:$K$673,3,FALSE)</f>
        <v>CU_ARS_2025_WOF_F2_3</v>
      </c>
      <c r="Q464" t="str">
        <f>VLOOKUP(C464,CU_ARS_2025_WOF_F2!$A$2:$K$673,4,FALSE)</f>
        <v>CU_ARS_2025_WOF_cross_87</v>
      </c>
      <c r="R464">
        <f>VLOOKUP(C464,CU_ARS_2025_WOF_F2!$A$2:$K$673,5,FALSE)</f>
        <v>3</v>
      </c>
      <c r="S464">
        <f>VLOOKUP(C464,CU_ARS_2025_WOF_F2!$A$2:$K$673,6,FALSE)</f>
        <v>1</v>
      </c>
      <c r="T464">
        <f>VLOOKUP(C464,CU_ARS_2025_WOF_F2!$A$2:$K$673,7,FALSE)</f>
        <v>0</v>
      </c>
      <c r="U464">
        <f>VLOOKUP(C464,CU_ARS_2025_WOF_F2!$A$2:$K$673,8,FALSE)</f>
        <v>1</v>
      </c>
      <c r="V464">
        <f>VLOOKUP(C464,CU_ARS_2025_WOF_F2!$A$2:$K$673,9,FALSE)</f>
        <v>0</v>
      </c>
      <c r="W464">
        <f>VLOOKUP(C464,CU_ARS_2025_WOF_F2!$A$2:$K$673,10,FALSE)</f>
        <v>0</v>
      </c>
      <c r="X464">
        <f>VLOOKUP(C464,CU_ARS_2025_WOF_F2!$A$2:$K$673,11,FALSE)</f>
        <v>67</v>
      </c>
      <c r="Y464" t="str">
        <f>VLOOKUP(Q464,cross_pedigree!$A$2:$B$23,2,FALSE)</f>
        <v>Gerard 227/PA8014-840</v>
      </c>
    </row>
    <row r="465" spans="1:25" ht="18">
      <c r="A465" s="21" t="s">
        <v>15</v>
      </c>
      <c r="B465" s="21" t="s">
        <v>16</v>
      </c>
      <c r="C465" s="22">
        <v>754082</v>
      </c>
      <c r="D465" s="23">
        <v>5</v>
      </c>
      <c r="E465" s="24" t="str">
        <f t="shared" si="7"/>
        <v>CU_ARS_2025_WOF_F2_3_plant_68</v>
      </c>
      <c r="F465" s="21" t="s">
        <v>92</v>
      </c>
      <c r="G465" s="44">
        <v>80</v>
      </c>
      <c r="H465" s="42"/>
      <c r="I465" s="42" t="s">
        <v>1047</v>
      </c>
      <c r="J465" s="42" t="s">
        <v>1003</v>
      </c>
      <c r="K465" s="42"/>
      <c r="L465" s="42"/>
      <c r="M465" s="42"/>
      <c r="N465" t="str">
        <f>VLOOKUP(C465,CU_ARS_2025_WOF_F2!$A$2:$K$673,2,FALSE)</f>
        <v>CU_ARS_2025_WOF_F2_3_plant_68</v>
      </c>
      <c r="O465" t="str">
        <f>VLOOKUP(C465,CU_ARS_2025_WOF_F2!$A$2:$K$673,2,FALSE)</f>
        <v>CU_ARS_2025_WOF_F2_3_plant_68</v>
      </c>
      <c r="P465" t="str">
        <f>VLOOKUP(C465,CU_ARS_2025_WOF_F2!$A$2:$K$673,3,FALSE)</f>
        <v>CU_ARS_2025_WOF_F2_3</v>
      </c>
      <c r="Q465" t="str">
        <f>VLOOKUP(C465,CU_ARS_2025_WOF_F2!$A$2:$K$673,4,FALSE)</f>
        <v>CU_ARS_2025_WOF_cross_87</v>
      </c>
      <c r="R465">
        <f>VLOOKUP(C465,CU_ARS_2025_WOF_F2!$A$2:$K$673,5,FALSE)</f>
        <v>3</v>
      </c>
      <c r="S465">
        <f>VLOOKUP(C465,CU_ARS_2025_WOF_F2!$A$2:$K$673,6,FALSE)</f>
        <v>1</v>
      </c>
      <c r="T465">
        <f>VLOOKUP(C465,CU_ARS_2025_WOF_F2!$A$2:$K$673,7,FALSE)</f>
        <v>0</v>
      </c>
      <c r="U465">
        <f>VLOOKUP(C465,CU_ARS_2025_WOF_F2!$A$2:$K$673,8,FALSE)</f>
        <v>1</v>
      </c>
      <c r="V465">
        <f>VLOOKUP(C465,CU_ARS_2025_WOF_F2!$A$2:$K$673,9,FALSE)</f>
        <v>0</v>
      </c>
      <c r="W465">
        <f>VLOOKUP(C465,CU_ARS_2025_WOF_F2!$A$2:$K$673,10,FALSE)</f>
        <v>0</v>
      </c>
      <c r="X465">
        <f>VLOOKUP(C465,CU_ARS_2025_WOF_F2!$A$2:$K$673,11,FALSE)</f>
        <v>68</v>
      </c>
      <c r="Y465" t="str">
        <f>VLOOKUP(Q465,cross_pedigree!$A$2:$B$23,2,FALSE)</f>
        <v>Gerard 227/PA8014-840</v>
      </c>
    </row>
    <row r="466" spans="1:25" ht="18">
      <c r="A466" s="21" t="s">
        <v>15</v>
      </c>
      <c r="B466" s="21" t="s">
        <v>16</v>
      </c>
      <c r="C466" s="22">
        <v>754083</v>
      </c>
      <c r="D466" s="23">
        <v>5</v>
      </c>
      <c r="E466" s="24" t="str">
        <f t="shared" si="7"/>
        <v>CU_ARS_2025_WOF_F2_3_plant_69</v>
      </c>
      <c r="F466" s="21" t="s">
        <v>93</v>
      </c>
      <c r="G466" s="44">
        <v>81</v>
      </c>
      <c r="H466" s="42"/>
      <c r="I466" s="42" t="s">
        <v>1047</v>
      </c>
      <c r="J466" s="42" t="s">
        <v>1003</v>
      </c>
      <c r="K466" s="42"/>
      <c r="L466" s="42"/>
      <c r="M466" s="42"/>
      <c r="N466" t="str">
        <f>VLOOKUP(C466,CU_ARS_2025_WOF_F2!$A$2:$K$673,2,FALSE)</f>
        <v>CU_ARS_2025_WOF_F2_3_plant_69</v>
      </c>
      <c r="O466" t="str">
        <f>VLOOKUP(C466,CU_ARS_2025_WOF_F2!$A$2:$K$673,2,FALSE)</f>
        <v>CU_ARS_2025_WOF_F2_3_plant_69</v>
      </c>
      <c r="P466" t="str">
        <f>VLOOKUP(C466,CU_ARS_2025_WOF_F2!$A$2:$K$673,3,FALSE)</f>
        <v>CU_ARS_2025_WOF_F2_3</v>
      </c>
      <c r="Q466" t="str">
        <f>VLOOKUP(C466,CU_ARS_2025_WOF_F2!$A$2:$K$673,4,FALSE)</f>
        <v>CU_ARS_2025_WOF_cross_87</v>
      </c>
      <c r="R466">
        <f>VLOOKUP(C466,CU_ARS_2025_WOF_F2!$A$2:$K$673,5,FALSE)</f>
        <v>3</v>
      </c>
      <c r="S466">
        <f>VLOOKUP(C466,CU_ARS_2025_WOF_F2!$A$2:$K$673,6,FALSE)</f>
        <v>1</v>
      </c>
      <c r="T466">
        <f>VLOOKUP(C466,CU_ARS_2025_WOF_F2!$A$2:$K$673,7,FALSE)</f>
        <v>0</v>
      </c>
      <c r="U466">
        <f>VLOOKUP(C466,CU_ARS_2025_WOF_F2!$A$2:$K$673,8,FALSE)</f>
        <v>1</v>
      </c>
      <c r="V466">
        <f>VLOOKUP(C466,CU_ARS_2025_WOF_F2!$A$2:$K$673,9,FALSE)</f>
        <v>0</v>
      </c>
      <c r="W466">
        <f>VLOOKUP(C466,CU_ARS_2025_WOF_F2!$A$2:$K$673,10,FALSE)</f>
        <v>0</v>
      </c>
      <c r="X466">
        <f>VLOOKUP(C466,CU_ARS_2025_WOF_F2!$A$2:$K$673,11,FALSE)</f>
        <v>69</v>
      </c>
      <c r="Y466" t="str">
        <f>VLOOKUP(Q466,cross_pedigree!$A$2:$B$23,2,FALSE)</f>
        <v>Gerard 227/PA8014-840</v>
      </c>
    </row>
    <row r="467" spans="1:25" ht="18">
      <c r="A467" s="21" t="s">
        <v>15</v>
      </c>
      <c r="B467" s="21" t="s">
        <v>16</v>
      </c>
      <c r="C467" s="22">
        <v>753463</v>
      </c>
      <c r="D467" s="23">
        <v>5</v>
      </c>
      <c r="E467" s="24" t="str">
        <f t="shared" si="7"/>
        <v>CU_ARS_2025_WOF_F2_4_plant_49</v>
      </c>
      <c r="F467" s="21" t="s">
        <v>94</v>
      </c>
      <c r="G467" s="44">
        <v>82</v>
      </c>
      <c r="H467" s="42"/>
      <c r="I467" s="42" t="s">
        <v>1016</v>
      </c>
      <c r="J467" s="42" t="s">
        <v>1003</v>
      </c>
      <c r="K467" s="42"/>
      <c r="L467" s="42"/>
      <c r="M467" s="42"/>
      <c r="N467" t="str">
        <f>VLOOKUP(C467,CU_ARS_2025_WOF_F2!$A$2:$K$673,2,FALSE)</f>
        <v>CU_ARS_2025_WOF_F2_4_plant_49</v>
      </c>
      <c r="O467" t="str">
        <f>VLOOKUP(C467,CU_ARS_2025_WOF_F2!$A$2:$K$673,2,FALSE)</f>
        <v>CU_ARS_2025_WOF_F2_4_plant_49</v>
      </c>
      <c r="P467" t="str">
        <f>VLOOKUP(C467,CU_ARS_2025_WOF_F2!$A$2:$K$673,3,FALSE)</f>
        <v>CU_ARS_2025_WOF_F2_4</v>
      </c>
      <c r="Q467" t="str">
        <f>VLOOKUP(C467,CU_ARS_2025_WOF_F2!$A$2:$K$673,4,FALSE)</f>
        <v>CU_ARS_2025_WOF_cross_19</v>
      </c>
      <c r="R467">
        <f>VLOOKUP(C467,CU_ARS_2025_WOF_F2!$A$2:$K$673,5,FALSE)</f>
        <v>4</v>
      </c>
      <c r="S467">
        <f>VLOOKUP(C467,CU_ARS_2025_WOF_F2!$A$2:$K$673,6,FALSE)</f>
        <v>1</v>
      </c>
      <c r="T467">
        <f>VLOOKUP(C467,CU_ARS_2025_WOF_F2!$A$2:$K$673,7,FALSE)</f>
        <v>0</v>
      </c>
      <c r="U467">
        <f>VLOOKUP(C467,CU_ARS_2025_WOF_F2!$A$2:$K$673,8,FALSE)</f>
        <v>1</v>
      </c>
      <c r="V467">
        <f>VLOOKUP(C467,CU_ARS_2025_WOF_F2!$A$2:$K$673,9,FALSE)</f>
        <v>0</v>
      </c>
      <c r="W467">
        <f>VLOOKUP(C467,CU_ARS_2025_WOF_F2!$A$2:$K$673,10,FALSE)</f>
        <v>0</v>
      </c>
      <c r="X467">
        <f>VLOOKUP(C467,CU_ARS_2025_WOF_F2!$A$2:$K$673,11,FALSE)</f>
        <v>49</v>
      </c>
      <c r="Y467" t="str">
        <f>VLOOKUP(Q467,cross_pedigree!$A$2:$B$23,2,FALSE)</f>
        <v>Gerard 227/AURORA</v>
      </c>
    </row>
    <row r="468" spans="1:25" ht="18">
      <c r="A468" s="21" t="s">
        <v>15</v>
      </c>
      <c r="B468" s="21" t="s">
        <v>16</v>
      </c>
      <c r="C468" s="22">
        <v>753464</v>
      </c>
      <c r="D468" s="23">
        <v>5</v>
      </c>
      <c r="E468" s="24" t="str">
        <f t="shared" si="7"/>
        <v>CU_ARS_2025_WOF_F2_4_plant_50</v>
      </c>
      <c r="F468" s="21" t="s">
        <v>49</v>
      </c>
      <c r="G468" s="44">
        <v>83</v>
      </c>
      <c r="H468" s="42"/>
      <c r="I468" s="42" t="s">
        <v>1016</v>
      </c>
      <c r="J468" s="42" t="s">
        <v>1003</v>
      </c>
      <c r="K468" s="42"/>
      <c r="L468" s="42"/>
      <c r="M468" s="42"/>
      <c r="N468" t="str">
        <f>VLOOKUP(C468,CU_ARS_2025_WOF_F2!$A$2:$K$673,2,FALSE)</f>
        <v>CU_ARS_2025_WOF_F2_4_plant_50</v>
      </c>
      <c r="O468" t="str">
        <f>VLOOKUP(C468,CU_ARS_2025_WOF_F2!$A$2:$K$673,2,FALSE)</f>
        <v>CU_ARS_2025_WOF_F2_4_plant_50</v>
      </c>
      <c r="P468" t="str">
        <f>VLOOKUP(C468,CU_ARS_2025_WOF_F2!$A$2:$K$673,3,FALSE)</f>
        <v>CU_ARS_2025_WOF_F2_4</v>
      </c>
      <c r="Q468" t="str">
        <f>VLOOKUP(C468,CU_ARS_2025_WOF_F2!$A$2:$K$673,4,FALSE)</f>
        <v>CU_ARS_2025_WOF_cross_19</v>
      </c>
      <c r="R468">
        <f>VLOOKUP(C468,CU_ARS_2025_WOF_F2!$A$2:$K$673,5,FALSE)</f>
        <v>4</v>
      </c>
      <c r="S468">
        <f>VLOOKUP(C468,CU_ARS_2025_WOF_F2!$A$2:$K$673,6,FALSE)</f>
        <v>1</v>
      </c>
      <c r="T468">
        <f>VLOOKUP(C468,CU_ARS_2025_WOF_F2!$A$2:$K$673,7,FALSE)</f>
        <v>0</v>
      </c>
      <c r="U468">
        <f>VLOOKUP(C468,CU_ARS_2025_WOF_F2!$A$2:$K$673,8,FALSE)</f>
        <v>1</v>
      </c>
      <c r="V468">
        <f>VLOOKUP(C468,CU_ARS_2025_WOF_F2!$A$2:$K$673,9,FALSE)</f>
        <v>0</v>
      </c>
      <c r="W468">
        <f>VLOOKUP(C468,CU_ARS_2025_WOF_F2!$A$2:$K$673,10,FALSE)</f>
        <v>0</v>
      </c>
      <c r="X468">
        <f>VLOOKUP(C468,CU_ARS_2025_WOF_F2!$A$2:$K$673,11,FALSE)</f>
        <v>50</v>
      </c>
      <c r="Y468" t="str">
        <f>VLOOKUP(Q468,cross_pedigree!$A$2:$B$23,2,FALSE)</f>
        <v>Gerard 227/AURORA</v>
      </c>
    </row>
    <row r="469" spans="1:25" ht="18">
      <c r="A469" s="21" t="s">
        <v>15</v>
      </c>
      <c r="B469" s="21" t="s">
        <v>16</v>
      </c>
      <c r="C469" s="22">
        <v>753465</v>
      </c>
      <c r="D469" s="23">
        <v>5</v>
      </c>
      <c r="E469" s="24" t="str">
        <f t="shared" si="7"/>
        <v>CU_ARS_2025_WOF_F2_4_plant_51</v>
      </c>
      <c r="F469" s="21" t="s">
        <v>51</v>
      </c>
      <c r="G469" s="44">
        <v>84</v>
      </c>
      <c r="H469" s="42"/>
      <c r="I469" s="42" t="s">
        <v>1016</v>
      </c>
      <c r="J469" s="42" t="s">
        <v>1003</v>
      </c>
      <c r="K469" s="42"/>
      <c r="L469" s="42"/>
      <c r="M469" s="42"/>
      <c r="N469" t="str">
        <f>VLOOKUP(C469,CU_ARS_2025_WOF_F2!$A$2:$K$673,2,FALSE)</f>
        <v>CU_ARS_2025_WOF_F2_4_plant_51</v>
      </c>
      <c r="O469" t="str">
        <f>VLOOKUP(C469,CU_ARS_2025_WOF_F2!$A$2:$K$673,2,FALSE)</f>
        <v>CU_ARS_2025_WOF_F2_4_plant_51</v>
      </c>
      <c r="P469" t="str">
        <f>VLOOKUP(C469,CU_ARS_2025_WOF_F2!$A$2:$K$673,3,FALSE)</f>
        <v>CU_ARS_2025_WOF_F2_4</v>
      </c>
      <c r="Q469" t="str">
        <f>VLOOKUP(C469,CU_ARS_2025_WOF_F2!$A$2:$K$673,4,FALSE)</f>
        <v>CU_ARS_2025_WOF_cross_19</v>
      </c>
      <c r="R469">
        <f>VLOOKUP(C469,CU_ARS_2025_WOF_F2!$A$2:$K$673,5,FALSE)</f>
        <v>4</v>
      </c>
      <c r="S469">
        <f>VLOOKUP(C469,CU_ARS_2025_WOF_F2!$A$2:$K$673,6,FALSE)</f>
        <v>1</v>
      </c>
      <c r="T469">
        <f>VLOOKUP(C469,CU_ARS_2025_WOF_F2!$A$2:$K$673,7,FALSE)</f>
        <v>0</v>
      </c>
      <c r="U469">
        <f>VLOOKUP(C469,CU_ARS_2025_WOF_F2!$A$2:$K$673,8,FALSE)</f>
        <v>1</v>
      </c>
      <c r="V469">
        <f>VLOOKUP(C469,CU_ARS_2025_WOF_F2!$A$2:$K$673,9,FALSE)</f>
        <v>0</v>
      </c>
      <c r="W469">
        <f>VLOOKUP(C469,CU_ARS_2025_WOF_F2!$A$2:$K$673,10,FALSE)</f>
        <v>0</v>
      </c>
      <c r="X469">
        <f>VLOOKUP(C469,CU_ARS_2025_WOF_F2!$A$2:$K$673,11,FALSE)</f>
        <v>51</v>
      </c>
      <c r="Y469" t="str">
        <f>VLOOKUP(Q469,cross_pedigree!$A$2:$B$23,2,FALSE)</f>
        <v>Gerard 227/AURORA</v>
      </c>
    </row>
    <row r="470" spans="1:25" ht="18">
      <c r="A470" s="21" t="s">
        <v>15</v>
      </c>
      <c r="B470" s="21" t="s">
        <v>16</v>
      </c>
      <c r="C470" s="22">
        <v>753466</v>
      </c>
      <c r="D470" s="23">
        <v>5</v>
      </c>
      <c r="E470" s="24" t="str">
        <f t="shared" si="7"/>
        <v>CU_ARS_2025_WOF_F2_4_plant_52</v>
      </c>
      <c r="F470" s="21" t="s">
        <v>95</v>
      </c>
      <c r="G470" s="44">
        <v>85</v>
      </c>
      <c r="H470" s="42"/>
      <c r="I470" s="42" t="s">
        <v>1016</v>
      </c>
      <c r="J470" s="42" t="s">
        <v>1003</v>
      </c>
      <c r="K470" s="42"/>
      <c r="L470" s="42"/>
      <c r="M470" s="42"/>
      <c r="N470" t="str">
        <f>VLOOKUP(C470,CU_ARS_2025_WOF_F2!$A$2:$K$673,2,FALSE)</f>
        <v>CU_ARS_2025_WOF_F2_4_plant_52</v>
      </c>
      <c r="O470" t="str">
        <f>VLOOKUP(C470,CU_ARS_2025_WOF_F2!$A$2:$K$673,2,FALSE)</f>
        <v>CU_ARS_2025_WOF_F2_4_plant_52</v>
      </c>
      <c r="P470" t="str">
        <f>VLOOKUP(C470,CU_ARS_2025_WOF_F2!$A$2:$K$673,3,FALSE)</f>
        <v>CU_ARS_2025_WOF_F2_4</v>
      </c>
      <c r="Q470" t="str">
        <f>VLOOKUP(C470,CU_ARS_2025_WOF_F2!$A$2:$K$673,4,FALSE)</f>
        <v>CU_ARS_2025_WOF_cross_19</v>
      </c>
      <c r="R470">
        <f>VLOOKUP(C470,CU_ARS_2025_WOF_F2!$A$2:$K$673,5,FALSE)</f>
        <v>4</v>
      </c>
      <c r="S470">
        <f>VLOOKUP(C470,CU_ARS_2025_WOF_F2!$A$2:$K$673,6,FALSE)</f>
        <v>1</v>
      </c>
      <c r="T470">
        <f>VLOOKUP(C470,CU_ARS_2025_WOF_F2!$A$2:$K$673,7,FALSE)</f>
        <v>0</v>
      </c>
      <c r="U470">
        <f>VLOOKUP(C470,CU_ARS_2025_WOF_F2!$A$2:$K$673,8,FALSE)</f>
        <v>1</v>
      </c>
      <c r="V470">
        <f>VLOOKUP(C470,CU_ARS_2025_WOF_F2!$A$2:$K$673,9,FALSE)</f>
        <v>0</v>
      </c>
      <c r="W470">
        <f>VLOOKUP(C470,CU_ARS_2025_WOF_F2!$A$2:$K$673,10,FALSE)</f>
        <v>0</v>
      </c>
      <c r="X470">
        <f>VLOOKUP(C470,CU_ARS_2025_WOF_F2!$A$2:$K$673,11,FALSE)</f>
        <v>52</v>
      </c>
      <c r="Y470" t="str">
        <f>VLOOKUP(Q470,cross_pedigree!$A$2:$B$23,2,FALSE)</f>
        <v>Gerard 227/AURORA</v>
      </c>
    </row>
    <row r="471" spans="1:25" ht="18">
      <c r="A471" s="21" t="s">
        <v>15</v>
      </c>
      <c r="B471" s="21" t="s">
        <v>16</v>
      </c>
      <c r="C471" s="22">
        <v>753467</v>
      </c>
      <c r="D471" s="23">
        <v>5</v>
      </c>
      <c r="E471" s="24" t="str">
        <f t="shared" si="7"/>
        <v>CU_ARS_2025_WOF_F2_4_plant_53</v>
      </c>
      <c r="F471" s="21" t="s">
        <v>53</v>
      </c>
      <c r="G471" s="44">
        <v>86</v>
      </c>
      <c r="H471" s="42"/>
      <c r="I471" s="42" t="s">
        <v>1016</v>
      </c>
      <c r="J471" s="42" t="s">
        <v>1003</v>
      </c>
      <c r="K471" s="42"/>
      <c r="L471" s="42"/>
      <c r="M471" s="42"/>
      <c r="N471" t="str">
        <f>VLOOKUP(C471,CU_ARS_2025_WOF_F2!$A$2:$K$673,2,FALSE)</f>
        <v>CU_ARS_2025_WOF_F2_4_plant_53</v>
      </c>
      <c r="O471" t="str">
        <f>VLOOKUP(C471,CU_ARS_2025_WOF_F2!$A$2:$K$673,2,FALSE)</f>
        <v>CU_ARS_2025_WOF_F2_4_plant_53</v>
      </c>
      <c r="P471" t="str">
        <f>VLOOKUP(C471,CU_ARS_2025_WOF_F2!$A$2:$K$673,3,FALSE)</f>
        <v>CU_ARS_2025_WOF_F2_4</v>
      </c>
      <c r="Q471" t="str">
        <f>VLOOKUP(C471,CU_ARS_2025_WOF_F2!$A$2:$K$673,4,FALSE)</f>
        <v>CU_ARS_2025_WOF_cross_19</v>
      </c>
      <c r="R471">
        <f>VLOOKUP(C471,CU_ARS_2025_WOF_F2!$A$2:$K$673,5,FALSE)</f>
        <v>4</v>
      </c>
      <c r="S471">
        <f>VLOOKUP(C471,CU_ARS_2025_WOF_F2!$A$2:$K$673,6,FALSE)</f>
        <v>1</v>
      </c>
      <c r="T471">
        <f>VLOOKUP(C471,CU_ARS_2025_WOF_F2!$A$2:$K$673,7,FALSE)</f>
        <v>0</v>
      </c>
      <c r="U471">
        <f>VLOOKUP(C471,CU_ARS_2025_WOF_F2!$A$2:$K$673,8,FALSE)</f>
        <v>1</v>
      </c>
      <c r="V471">
        <f>VLOOKUP(C471,CU_ARS_2025_WOF_F2!$A$2:$K$673,9,FALSE)</f>
        <v>0</v>
      </c>
      <c r="W471">
        <f>VLOOKUP(C471,CU_ARS_2025_WOF_F2!$A$2:$K$673,10,FALSE)</f>
        <v>0</v>
      </c>
      <c r="X471">
        <f>VLOOKUP(C471,CU_ARS_2025_WOF_F2!$A$2:$K$673,11,FALSE)</f>
        <v>53</v>
      </c>
      <c r="Y471" t="str">
        <f>VLOOKUP(Q471,cross_pedigree!$A$2:$B$23,2,FALSE)</f>
        <v>Gerard 227/AURORA</v>
      </c>
    </row>
    <row r="472" spans="1:25" ht="18">
      <c r="A472" s="21" t="s">
        <v>15</v>
      </c>
      <c r="B472" s="21" t="s">
        <v>16</v>
      </c>
      <c r="C472" s="22">
        <v>753475</v>
      </c>
      <c r="D472" s="23">
        <v>5</v>
      </c>
      <c r="E472" s="24" t="str">
        <f t="shared" si="7"/>
        <v>CU_ARS_2025_WOF_F2_4_plant_61</v>
      </c>
      <c r="F472" s="21" t="s">
        <v>55</v>
      </c>
      <c r="G472" s="44">
        <v>87</v>
      </c>
      <c r="H472" s="42"/>
      <c r="I472" s="42" t="s">
        <v>1016</v>
      </c>
      <c r="J472" s="42" t="s">
        <v>1003</v>
      </c>
      <c r="K472" s="42"/>
      <c r="L472" s="42"/>
      <c r="M472" s="42"/>
      <c r="N472" t="str">
        <f>VLOOKUP(C472,CU_ARS_2025_WOF_F2!$A$2:$K$673,2,FALSE)</f>
        <v>CU_ARS_2025_WOF_F2_4_plant_61</v>
      </c>
      <c r="O472" t="str">
        <f>VLOOKUP(C472,CU_ARS_2025_WOF_F2!$A$2:$K$673,2,FALSE)</f>
        <v>CU_ARS_2025_WOF_F2_4_plant_61</v>
      </c>
      <c r="P472" t="str">
        <f>VLOOKUP(C472,CU_ARS_2025_WOF_F2!$A$2:$K$673,3,FALSE)</f>
        <v>CU_ARS_2025_WOF_F2_4</v>
      </c>
      <c r="Q472" t="str">
        <f>VLOOKUP(C472,CU_ARS_2025_WOF_F2!$A$2:$K$673,4,FALSE)</f>
        <v>CU_ARS_2025_WOF_cross_19</v>
      </c>
      <c r="R472">
        <f>VLOOKUP(C472,CU_ARS_2025_WOF_F2!$A$2:$K$673,5,FALSE)</f>
        <v>4</v>
      </c>
      <c r="S472">
        <f>VLOOKUP(C472,CU_ARS_2025_WOF_F2!$A$2:$K$673,6,FALSE)</f>
        <v>1</v>
      </c>
      <c r="T472">
        <f>VLOOKUP(C472,CU_ARS_2025_WOF_F2!$A$2:$K$673,7,FALSE)</f>
        <v>0</v>
      </c>
      <c r="U472">
        <f>VLOOKUP(C472,CU_ARS_2025_WOF_F2!$A$2:$K$673,8,FALSE)</f>
        <v>1</v>
      </c>
      <c r="V472">
        <f>VLOOKUP(C472,CU_ARS_2025_WOF_F2!$A$2:$K$673,9,FALSE)</f>
        <v>0</v>
      </c>
      <c r="W472">
        <f>VLOOKUP(C472,CU_ARS_2025_WOF_F2!$A$2:$K$673,10,FALSE)</f>
        <v>0</v>
      </c>
      <c r="X472">
        <f>VLOOKUP(C472,CU_ARS_2025_WOF_F2!$A$2:$K$673,11,FALSE)</f>
        <v>61</v>
      </c>
      <c r="Y472" t="str">
        <f>VLOOKUP(Q472,cross_pedigree!$A$2:$B$23,2,FALSE)</f>
        <v>Gerard 227/AURORA</v>
      </c>
    </row>
    <row r="473" spans="1:25" ht="18">
      <c r="A473" s="21" t="s">
        <v>15</v>
      </c>
      <c r="B473" s="21" t="s">
        <v>16</v>
      </c>
      <c r="C473" s="22">
        <v>753474</v>
      </c>
      <c r="D473" s="23">
        <v>5</v>
      </c>
      <c r="E473" s="24" t="str">
        <f t="shared" si="7"/>
        <v>CU_ARS_2025_WOF_F2_4_plant_60</v>
      </c>
      <c r="F473" s="21" t="s">
        <v>57</v>
      </c>
      <c r="G473" s="44">
        <v>88</v>
      </c>
      <c r="H473" s="42"/>
      <c r="I473" s="42" t="s">
        <v>1016</v>
      </c>
      <c r="J473" s="42" t="s">
        <v>1003</v>
      </c>
      <c r="K473" s="42"/>
      <c r="L473" s="42"/>
      <c r="M473" s="42"/>
      <c r="N473" t="str">
        <f>VLOOKUP(C473,CU_ARS_2025_WOF_F2!$A$2:$K$673,2,FALSE)</f>
        <v>CU_ARS_2025_WOF_F2_4_plant_60</v>
      </c>
      <c r="O473" t="str">
        <f>VLOOKUP(C473,CU_ARS_2025_WOF_F2!$A$2:$K$673,2,FALSE)</f>
        <v>CU_ARS_2025_WOF_F2_4_plant_60</v>
      </c>
      <c r="P473" t="str">
        <f>VLOOKUP(C473,CU_ARS_2025_WOF_F2!$A$2:$K$673,3,FALSE)</f>
        <v>CU_ARS_2025_WOF_F2_4</v>
      </c>
      <c r="Q473" t="str">
        <f>VLOOKUP(C473,CU_ARS_2025_WOF_F2!$A$2:$K$673,4,FALSE)</f>
        <v>CU_ARS_2025_WOF_cross_19</v>
      </c>
      <c r="R473">
        <f>VLOOKUP(C473,CU_ARS_2025_WOF_F2!$A$2:$K$673,5,FALSE)</f>
        <v>4</v>
      </c>
      <c r="S473">
        <f>VLOOKUP(C473,CU_ARS_2025_WOF_F2!$A$2:$K$673,6,FALSE)</f>
        <v>1</v>
      </c>
      <c r="T473">
        <f>VLOOKUP(C473,CU_ARS_2025_WOF_F2!$A$2:$K$673,7,FALSE)</f>
        <v>0</v>
      </c>
      <c r="U473">
        <f>VLOOKUP(C473,CU_ARS_2025_WOF_F2!$A$2:$K$673,8,FALSE)</f>
        <v>1</v>
      </c>
      <c r="V473">
        <f>VLOOKUP(C473,CU_ARS_2025_WOF_F2!$A$2:$K$673,9,FALSE)</f>
        <v>0</v>
      </c>
      <c r="W473">
        <f>VLOOKUP(C473,CU_ARS_2025_WOF_F2!$A$2:$K$673,10,FALSE)</f>
        <v>0</v>
      </c>
      <c r="X473">
        <f>VLOOKUP(C473,CU_ARS_2025_WOF_F2!$A$2:$K$673,11,FALSE)</f>
        <v>60</v>
      </c>
      <c r="Y473" t="str">
        <f>VLOOKUP(Q473,cross_pedigree!$A$2:$B$23,2,FALSE)</f>
        <v>Gerard 227/AURORA</v>
      </c>
    </row>
    <row r="474" spans="1:25" ht="18">
      <c r="A474" s="21" t="s">
        <v>15</v>
      </c>
      <c r="B474" s="21" t="s">
        <v>16</v>
      </c>
      <c r="C474" s="22">
        <v>753473</v>
      </c>
      <c r="D474" s="23">
        <v>5</v>
      </c>
      <c r="E474" s="24" t="str">
        <f t="shared" si="7"/>
        <v>CU_ARS_2025_WOF_F2_4_plant_59</v>
      </c>
      <c r="F474" s="21" t="s">
        <v>59</v>
      </c>
      <c r="G474" s="44">
        <v>89</v>
      </c>
      <c r="H474" s="42"/>
      <c r="I474" s="42" t="s">
        <v>1016</v>
      </c>
      <c r="J474" s="42" t="s">
        <v>1003</v>
      </c>
      <c r="K474" s="42"/>
      <c r="L474" s="42"/>
      <c r="M474" s="42"/>
      <c r="N474" t="str">
        <f>VLOOKUP(C474,CU_ARS_2025_WOF_F2!$A$2:$K$673,2,FALSE)</f>
        <v>CU_ARS_2025_WOF_F2_4_plant_59</v>
      </c>
      <c r="O474" t="str">
        <f>VLOOKUP(C474,CU_ARS_2025_WOF_F2!$A$2:$K$673,2,FALSE)</f>
        <v>CU_ARS_2025_WOF_F2_4_plant_59</v>
      </c>
      <c r="P474" t="str">
        <f>VLOOKUP(C474,CU_ARS_2025_WOF_F2!$A$2:$K$673,3,FALSE)</f>
        <v>CU_ARS_2025_WOF_F2_4</v>
      </c>
      <c r="Q474" t="str">
        <f>VLOOKUP(C474,CU_ARS_2025_WOF_F2!$A$2:$K$673,4,FALSE)</f>
        <v>CU_ARS_2025_WOF_cross_19</v>
      </c>
      <c r="R474">
        <f>VLOOKUP(C474,CU_ARS_2025_WOF_F2!$A$2:$K$673,5,FALSE)</f>
        <v>4</v>
      </c>
      <c r="S474">
        <f>VLOOKUP(C474,CU_ARS_2025_WOF_F2!$A$2:$K$673,6,FALSE)</f>
        <v>1</v>
      </c>
      <c r="T474">
        <f>VLOOKUP(C474,CU_ARS_2025_WOF_F2!$A$2:$K$673,7,FALSE)</f>
        <v>0</v>
      </c>
      <c r="U474">
        <f>VLOOKUP(C474,CU_ARS_2025_WOF_F2!$A$2:$K$673,8,FALSE)</f>
        <v>1</v>
      </c>
      <c r="V474">
        <f>VLOOKUP(C474,CU_ARS_2025_WOF_F2!$A$2:$K$673,9,FALSE)</f>
        <v>0</v>
      </c>
      <c r="W474">
        <f>VLOOKUP(C474,CU_ARS_2025_WOF_F2!$A$2:$K$673,10,FALSE)</f>
        <v>0</v>
      </c>
      <c r="X474">
        <f>VLOOKUP(C474,CU_ARS_2025_WOF_F2!$A$2:$K$673,11,FALSE)</f>
        <v>59</v>
      </c>
      <c r="Y474" t="str">
        <f>VLOOKUP(Q474,cross_pedigree!$A$2:$B$23,2,FALSE)</f>
        <v>Gerard 227/AURORA</v>
      </c>
    </row>
    <row r="475" spans="1:25" ht="18">
      <c r="A475" s="21" t="s">
        <v>15</v>
      </c>
      <c r="B475" s="21" t="s">
        <v>16</v>
      </c>
      <c r="C475" s="22">
        <v>753472</v>
      </c>
      <c r="D475" s="23">
        <v>5</v>
      </c>
      <c r="E475" s="24" t="str">
        <f t="shared" si="7"/>
        <v>CU_ARS_2025_WOF_F2_4_plant_58</v>
      </c>
      <c r="F475" s="21" t="s">
        <v>61</v>
      </c>
      <c r="G475" s="44">
        <v>90</v>
      </c>
      <c r="H475" s="42"/>
      <c r="I475" s="42" t="s">
        <v>1016</v>
      </c>
      <c r="J475" s="42" t="s">
        <v>1003</v>
      </c>
      <c r="K475" s="42"/>
      <c r="L475" s="42"/>
      <c r="M475" s="42"/>
      <c r="N475" t="str">
        <f>VLOOKUP(C475,CU_ARS_2025_WOF_F2!$A$2:$K$673,2,FALSE)</f>
        <v>CU_ARS_2025_WOF_F2_4_plant_58</v>
      </c>
      <c r="O475" t="str">
        <f>VLOOKUP(C475,CU_ARS_2025_WOF_F2!$A$2:$K$673,2,FALSE)</f>
        <v>CU_ARS_2025_WOF_F2_4_plant_58</v>
      </c>
      <c r="P475" t="str">
        <f>VLOOKUP(C475,CU_ARS_2025_WOF_F2!$A$2:$K$673,3,FALSE)</f>
        <v>CU_ARS_2025_WOF_F2_4</v>
      </c>
      <c r="Q475" t="str">
        <f>VLOOKUP(C475,CU_ARS_2025_WOF_F2!$A$2:$K$673,4,FALSE)</f>
        <v>CU_ARS_2025_WOF_cross_19</v>
      </c>
      <c r="R475">
        <f>VLOOKUP(C475,CU_ARS_2025_WOF_F2!$A$2:$K$673,5,FALSE)</f>
        <v>4</v>
      </c>
      <c r="S475">
        <f>VLOOKUP(C475,CU_ARS_2025_WOF_F2!$A$2:$K$673,6,FALSE)</f>
        <v>1</v>
      </c>
      <c r="T475">
        <f>VLOOKUP(C475,CU_ARS_2025_WOF_F2!$A$2:$K$673,7,FALSE)</f>
        <v>0</v>
      </c>
      <c r="U475">
        <f>VLOOKUP(C475,CU_ARS_2025_WOF_F2!$A$2:$K$673,8,FALSE)</f>
        <v>1</v>
      </c>
      <c r="V475">
        <f>VLOOKUP(C475,CU_ARS_2025_WOF_F2!$A$2:$K$673,9,FALSE)</f>
        <v>0</v>
      </c>
      <c r="W475">
        <f>VLOOKUP(C475,CU_ARS_2025_WOF_F2!$A$2:$K$673,10,FALSE)</f>
        <v>0</v>
      </c>
      <c r="X475">
        <f>VLOOKUP(C475,CU_ARS_2025_WOF_F2!$A$2:$K$673,11,FALSE)</f>
        <v>58</v>
      </c>
      <c r="Y475" t="str">
        <f>VLOOKUP(Q475,cross_pedigree!$A$2:$B$23,2,FALSE)</f>
        <v>Gerard 227/AURORA</v>
      </c>
    </row>
    <row r="476" spans="1:25" ht="18">
      <c r="A476" s="21" t="s">
        <v>15</v>
      </c>
      <c r="B476" s="21" t="s">
        <v>16</v>
      </c>
      <c r="C476" s="22">
        <v>753471</v>
      </c>
      <c r="D476" s="23">
        <v>5</v>
      </c>
      <c r="E476" s="24" t="str">
        <f t="shared" si="7"/>
        <v>CU_ARS_2025_WOF_F2_4_plant_57</v>
      </c>
      <c r="F476" s="21" t="s">
        <v>63</v>
      </c>
      <c r="G476" s="44">
        <v>91</v>
      </c>
      <c r="H476" s="42"/>
      <c r="I476" s="42" t="s">
        <v>1016</v>
      </c>
      <c r="J476" s="42" t="s">
        <v>1003</v>
      </c>
      <c r="K476" s="42"/>
      <c r="L476" s="42"/>
      <c r="M476" s="42"/>
      <c r="N476" t="str">
        <f>VLOOKUP(C476,CU_ARS_2025_WOF_F2!$A$2:$K$673,2,FALSE)</f>
        <v>CU_ARS_2025_WOF_F2_4_plant_57</v>
      </c>
      <c r="O476" t="str">
        <f>VLOOKUP(C476,CU_ARS_2025_WOF_F2!$A$2:$K$673,2,FALSE)</f>
        <v>CU_ARS_2025_WOF_F2_4_plant_57</v>
      </c>
      <c r="P476" t="str">
        <f>VLOOKUP(C476,CU_ARS_2025_WOF_F2!$A$2:$K$673,3,FALSE)</f>
        <v>CU_ARS_2025_WOF_F2_4</v>
      </c>
      <c r="Q476" t="str">
        <f>VLOOKUP(C476,CU_ARS_2025_WOF_F2!$A$2:$K$673,4,FALSE)</f>
        <v>CU_ARS_2025_WOF_cross_19</v>
      </c>
      <c r="R476">
        <f>VLOOKUP(C476,CU_ARS_2025_WOF_F2!$A$2:$K$673,5,FALSE)</f>
        <v>4</v>
      </c>
      <c r="S476">
        <f>VLOOKUP(C476,CU_ARS_2025_WOF_F2!$A$2:$K$673,6,FALSE)</f>
        <v>1</v>
      </c>
      <c r="T476">
        <f>VLOOKUP(C476,CU_ARS_2025_WOF_F2!$A$2:$K$673,7,FALSE)</f>
        <v>0</v>
      </c>
      <c r="U476">
        <f>VLOOKUP(C476,CU_ARS_2025_WOF_F2!$A$2:$K$673,8,FALSE)</f>
        <v>1</v>
      </c>
      <c r="V476">
        <f>VLOOKUP(C476,CU_ARS_2025_WOF_F2!$A$2:$K$673,9,FALSE)</f>
        <v>0</v>
      </c>
      <c r="W476">
        <f>VLOOKUP(C476,CU_ARS_2025_WOF_F2!$A$2:$K$673,10,FALSE)</f>
        <v>0</v>
      </c>
      <c r="X476">
        <f>VLOOKUP(C476,CU_ARS_2025_WOF_F2!$A$2:$K$673,11,FALSE)</f>
        <v>57</v>
      </c>
      <c r="Y476" t="str">
        <f>VLOOKUP(Q476,cross_pedigree!$A$2:$B$23,2,FALSE)</f>
        <v>Gerard 227/AURORA</v>
      </c>
    </row>
    <row r="477" spans="1:25" ht="18">
      <c r="A477" s="21" t="s">
        <v>15</v>
      </c>
      <c r="B477" s="21" t="s">
        <v>16</v>
      </c>
      <c r="C477" s="22">
        <v>753476</v>
      </c>
      <c r="D477" s="23">
        <v>5</v>
      </c>
      <c r="E477" s="24" t="str">
        <f t="shared" si="7"/>
        <v>CU_ARS_2025_WOF_F2_4_plant_62</v>
      </c>
      <c r="F477" s="21" t="s">
        <v>65</v>
      </c>
      <c r="G477" s="44">
        <v>92</v>
      </c>
      <c r="H477" s="42"/>
      <c r="I477" s="42" t="s">
        <v>1016</v>
      </c>
      <c r="J477" s="42" t="s">
        <v>1003</v>
      </c>
      <c r="K477" s="42"/>
      <c r="L477" s="42"/>
      <c r="M477" s="42"/>
      <c r="N477" t="str">
        <f>VLOOKUP(C477,CU_ARS_2025_WOF_F2!$A$2:$K$673,2,FALSE)</f>
        <v>CU_ARS_2025_WOF_F2_4_plant_62</v>
      </c>
      <c r="O477" t="str">
        <f>VLOOKUP(C477,CU_ARS_2025_WOF_F2!$A$2:$K$673,2,FALSE)</f>
        <v>CU_ARS_2025_WOF_F2_4_plant_62</v>
      </c>
      <c r="P477" t="str">
        <f>VLOOKUP(C477,CU_ARS_2025_WOF_F2!$A$2:$K$673,3,FALSE)</f>
        <v>CU_ARS_2025_WOF_F2_4</v>
      </c>
      <c r="Q477" t="str">
        <f>VLOOKUP(C477,CU_ARS_2025_WOF_F2!$A$2:$K$673,4,FALSE)</f>
        <v>CU_ARS_2025_WOF_cross_19</v>
      </c>
      <c r="R477">
        <f>VLOOKUP(C477,CU_ARS_2025_WOF_F2!$A$2:$K$673,5,FALSE)</f>
        <v>4</v>
      </c>
      <c r="S477">
        <f>VLOOKUP(C477,CU_ARS_2025_WOF_F2!$A$2:$K$673,6,FALSE)</f>
        <v>1</v>
      </c>
      <c r="T477">
        <f>VLOOKUP(C477,CU_ARS_2025_WOF_F2!$A$2:$K$673,7,FALSE)</f>
        <v>0</v>
      </c>
      <c r="U477">
        <f>VLOOKUP(C477,CU_ARS_2025_WOF_F2!$A$2:$K$673,8,FALSE)</f>
        <v>1</v>
      </c>
      <c r="V477">
        <f>VLOOKUP(C477,CU_ARS_2025_WOF_F2!$A$2:$K$673,9,FALSE)</f>
        <v>0</v>
      </c>
      <c r="W477">
        <f>VLOOKUP(C477,CU_ARS_2025_WOF_F2!$A$2:$K$673,10,FALSE)</f>
        <v>0</v>
      </c>
      <c r="X477">
        <f>VLOOKUP(C477,CU_ARS_2025_WOF_F2!$A$2:$K$673,11,FALSE)</f>
        <v>62</v>
      </c>
      <c r="Y477" t="str">
        <f>VLOOKUP(Q477,cross_pedigree!$A$2:$B$23,2,FALSE)</f>
        <v>Gerard 227/AURORA</v>
      </c>
    </row>
    <row r="478" spans="1:25" ht="18">
      <c r="A478" s="21" t="s">
        <v>15</v>
      </c>
      <c r="B478" s="21" t="s">
        <v>16</v>
      </c>
      <c r="C478" s="22">
        <v>753477</v>
      </c>
      <c r="D478" s="23">
        <v>5</v>
      </c>
      <c r="E478" s="24" t="str">
        <f t="shared" si="7"/>
        <v>CU_ARS_2025_WOF_F2_4_plant_63</v>
      </c>
      <c r="F478" s="21" t="s">
        <v>67</v>
      </c>
      <c r="G478" s="44">
        <v>93</v>
      </c>
      <c r="H478" s="42"/>
      <c r="I478" s="42" t="s">
        <v>1016</v>
      </c>
      <c r="J478" s="42" t="s">
        <v>1003</v>
      </c>
      <c r="K478" s="42"/>
      <c r="L478" s="42"/>
      <c r="M478" s="42"/>
      <c r="N478" t="str">
        <f>VLOOKUP(C478,CU_ARS_2025_WOF_F2!$A$2:$K$673,2,FALSE)</f>
        <v>CU_ARS_2025_WOF_F2_4_plant_63</v>
      </c>
      <c r="O478" t="str">
        <f>VLOOKUP(C478,CU_ARS_2025_WOF_F2!$A$2:$K$673,2,FALSE)</f>
        <v>CU_ARS_2025_WOF_F2_4_plant_63</v>
      </c>
      <c r="P478" t="str">
        <f>VLOOKUP(C478,CU_ARS_2025_WOF_F2!$A$2:$K$673,3,FALSE)</f>
        <v>CU_ARS_2025_WOF_F2_4</v>
      </c>
      <c r="Q478" t="str">
        <f>VLOOKUP(C478,CU_ARS_2025_WOF_F2!$A$2:$K$673,4,FALSE)</f>
        <v>CU_ARS_2025_WOF_cross_19</v>
      </c>
      <c r="R478">
        <f>VLOOKUP(C478,CU_ARS_2025_WOF_F2!$A$2:$K$673,5,FALSE)</f>
        <v>4</v>
      </c>
      <c r="S478">
        <f>VLOOKUP(C478,CU_ARS_2025_WOF_F2!$A$2:$K$673,6,FALSE)</f>
        <v>1</v>
      </c>
      <c r="T478">
        <f>VLOOKUP(C478,CU_ARS_2025_WOF_F2!$A$2:$K$673,7,FALSE)</f>
        <v>0</v>
      </c>
      <c r="U478">
        <f>VLOOKUP(C478,CU_ARS_2025_WOF_F2!$A$2:$K$673,8,FALSE)</f>
        <v>1</v>
      </c>
      <c r="V478">
        <f>VLOOKUP(C478,CU_ARS_2025_WOF_F2!$A$2:$K$673,9,FALSE)</f>
        <v>0</v>
      </c>
      <c r="W478">
        <f>VLOOKUP(C478,CU_ARS_2025_WOF_F2!$A$2:$K$673,10,FALSE)</f>
        <v>0</v>
      </c>
      <c r="X478">
        <f>VLOOKUP(C478,CU_ARS_2025_WOF_F2!$A$2:$K$673,11,FALSE)</f>
        <v>63</v>
      </c>
      <c r="Y478" t="str">
        <f>VLOOKUP(Q478,cross_pedigree!$A$2:$B$23,2,FALSE)</f>
        <v>Gerard 227/AURORA</v>
      </c>
    </row>
    <row r="479" spans="1:25" ht="18">
      <c r="A479" s="21" t="s">
        <v>15</v>
      </c>
      <c r="B479" s="21" t="s">
        <v>16</v>
      </c>
      <c r="C479" s="22">
        <v>753478</v>
      </c>
      <c r="D479" s="23">
        <v>5</v>
      </c>
      <c r="E479" s="24" t="str">
        <f t="shared" si="7"/>
        <v>CU_ARS_2025_WOF_F2_4_plant_64</v>
      </c>
      <c r="F479" s="21" t="s">
        <v>96</v>
      </c>
      <c r="G479" s="44">
        <v>94</v>
      </c>
      <c r="H479" s="42"/>
      <c r="I479" s="42" t="s">
        <v>1016</v>
      </c>
      <c r="J479" s="42" t="s">
        <v>1003</v>
      </c>
      <c r="K479" s="42"/>
      <c r="L479" s="42"/>
      <c r="M479" s="42"/>
      <c r="N479" t="str">
        <f>VLOOKUP(C479,CU_ARS_2025_WOF_F2!$A$2:$K$673,2,FALSE)</f>
        <v>CU_ARS_2025_WOF_F2_4_plant_64</v>
      </c>
      <c r="O479" t="str">
        <f>VLOOKUP(C479,CU_ARS_2025_WOF_F2!$A$2:$K$673,2,FALSE)</f>
        <v>CU_ARS_2025_WOF_F2_4_plant_64</v>
      </c>
      <c r="P479" t="str">
        <f>VLOOKUP(C479,CU_ARS_2025_WOF_F2!$A$2:$K$673,3,FALSE)</f>
        <v>CU_ARS_2025_WOF_F2_4</v>
      </c>
      <c r="Q479" t="str">
        <f>VLOOKUP(C479,CU_ARS_2025_WOF_F2!$A$2:$K$673,4,FALSE)</f>
        <v>CU_ARS_2025_WOF_cross_19</v>
      </c>
      <c r="R479">
        <f>VLOOKUP(C479,CU_ARS_2025_WOF_F2!$A$2:$K$673,5,FALSE)</f>
        <v>4</v>
      </c>
      <c r="S479">
        <f>VLOOKUP(C479,CU_ARS_2025_WOF_F2!$A$2:$K$673,6,FALSE)</f>
        <v>1</v>
      </c>
      <c r="T479">
        <f>VLOOKUP(C479,CU_ARS_2025_WOF_F2!$A$2:$K$673,7,FALSE)</f>
        <v>0</v>
      </c>
      <c r="U479">
        <f>VLOOKUP(C479,CU_ARS_2025_WOF_F2!$A$2:$K$673,8,FALSE)</f>
        <v>1</v>
      </c>
      <c r="V479">
        <f>VLOOKUP(C479,CU_ARS_2025_WOF_F2!$A$2:$K$673,9,FALSE)</f>
        <v>0</v>
      </c>
      <c r="W479">
        <f>VLOOKUP(C479,CU_ARS_2025_WOF_F2!$A$2:$K$673,10,FALSE)</f>
        <v>0</v>
      </c>
      <c r="X479">
        <f>VLOOKUP(C479,CU_ARS_2025_WOF_F2!$A$2:$K$673,11,FALSE)</f>
        <v>64</v>
      </c>
      <c r="Y479" t="str">
        <f>VLOOKUP(Q479,cross_pedigree!$A$2:$B$23,2,FALSE)</f>
        <v>Gerard 227/AURORA</v>
      </c>
    </row>
    <row r="480" spans="1:25" ht="18">
      <c r="A480" s="21" t="s">
        <v>15</v>
      </c>
      <c r="B480" s="21" t="s">
        <v>16</v>
      </c>
      <c r="C480" s="22">
        <v>753484</v>
      </c>
      <c r="D480" s="23">
        <v>5</v>
      </c>
      <c r="E480" s="24" t="str">
        <f t="shared" si="7"/>
        <v>CU_ARS_2025_WOF_F2_4_plant_70</v>
      </c>
      <c r="F480" s="21" t="s">
        <v>97</v>
      </c>
      <c r="G480" s="44">
        <v>95</v>
      </c>
      <c r="H480" s="42"/>
      <c r="I480" s="42" t="s">
        <v>1016</v>
      </c>
      <c r="J480" s="42" t="s">
        <v>1003</v>
      </c>
      <c r="K480" s="42"/>
      <c r="L480" s="42"/>
      <c r="M480" s="42"/>
      <c r="N480" t="str">
        <f>VLOOKUP(C480,CU_ARS_2025_WOF_F2!$A$2:$K$673,2,FALSE)</f>
        <v>CU_ARS_2025_WOF_F2_4_plant_70</v>
      </c>
      <c r="O480" t="str">
        <f>VLOOKUP(C480,CU_ARS_2025_WOF_F2!$A$2:$K$673,2,FALSE)</f>
        <v>CU_ARS_2025_WOF_F2_4_plant_70</v>
      </c>
      <c r="P480" t="str">
        <f>VLOOKUP(C480,CU_ARS_2025_WOF_F2!$A$2:$K$673,3,FALSE)</f>
        <v>CU_ARS_2025_WOF_F2_4</v>
      </c>
      <c r="Q480" t="str">
        <f>VLOOKUP(C480,CU_ARS_2025_WOF_F2!$A$2:$K$673,4,FALSE)</f>
        <v>CU_ARS_2025_WOF_cross_19</v>
      </c>
      <c r="R480">
        <f>VLOOKUP(C480,CU_ARS_2025_WOF_F2!$A$2:$K$673,5,FALSE)</f>
        <v>4</v>
      </c>
      <c r="S480">
        <f>VLOOKUP(C480,CU_ARS_2025_WOF_F2!$A$2:$K$673,6,FALSE)</f>
        <v>1</v>
      </c>
      <c r="T480">
        <f>VLOOKUP(C480,CU_ARS_2025_WOF_F2!$A$2:$K$673,7,FALSE)</f>
        <v>0</v>
      </c>
      <c r="U480">
        <f>VLOOKUP(C480,CU_ARS_2025_WOF_F2!$A$2:$K$673,8,FALSE)</f>
        <v>1</v>
      </c>
      <c r="V480">
        <f>VLOOKUP(C480,CU_ARS_2025_WOF_F2!$A$2:$K$673,9,FALSE)</f>
        <v>0</v>
      </c>
      <c r="W480">
        <f>VLOOKUP(C480,CU_ARS_2025_WOF_F2!$A$2:$K$673,10,FALSE)</f>
        <v>0</v>
      </c>
      <c r="X480">
        <f>VLOOKUP(C480,CU_ARS_2025_WOF_F2!$A$2:$K$673,11,FALSE)</f>
        <v>70</v>
      </c>
      <c r="Y480" t="str">
        <f>VLOOKUP(Q480,cross_pedigree!$A$2:$B$23,2,FALSE)</f>
        <v>Gerard 227/AURORA</v>
      </c>
    </row>
    <row r="481" spans="1:25" ht="18">
      <c r="A481" s="21" t="s">
        <v>15</v>
      </c>
      <c r="B481" s="21" t="s">
        <v>16</v>
      </c>
      <c r="C481" s="22">
        <v>753485</v>
      </c>
      <c r="D481" s="23">
        <v>5</v>
      </c>
      <c r="E481" s="24" t="str">
        <f t="shared" si="7"/>
        <v>CU_ARS_2025_WOF_F2_4_plant_71</v>
      </c>
      <c r="F481" s="21" t="s">
        <v>47</v>
      </c>
      <c r="G481" s="44">
        <v>96</v>
      </c>
      <c r="H481" s="42"/>
      <c r="I481" s="42" t="s">
        <v>1016</v>
      </c>
      <c r="J481" s="42" t="s">
        <v>1003</v>
      </c>
      <c r="K481" s="42"/>
      <c r="L481" s="42"/>
      <c r="M481" s="42"/>
      <c r="N481" t="str">
        <f>VLOOKUP(C481,CU_ARS_2025_WOF_F2!$A$2:$K$673,2,FALSE)</f>
        <v>CU_ARS_2025_WOF_F2_4_plant_71</v>
      </c>
      <c r="O481" t="str">
        <f>VLOOKUP(C481,CU_ARS_2025_WOF_F2!$A$2:$K$673,2,FALSE)</f>
        <v>CU_ARS_2025_WOF_F2_4_plant_71</v>
      </c>
      <c r="P481" t="str">
        <f>VLOOKUP(C481,CU_ARS_2025_WOF_F2!$A$2:$K$673,3,FALSE)</f>
        <v>CU_ARS_2025_WOF_F2_4</v>
      </c>
      <c r="Q481" t="str">
        <f>VLOOKUP(C481,CU_ARS_2025_WOF_F2!$A$2:$K$673,4,FALSE)</f>
        <v>CU_ARS_2025_WOF_cross_19</v>
      </c>
      <c r="R481">
        <f>VLOOKUP(C481,CU_ARS_2025_WOF_F2!$A$2:$K$673,5,FALSE)</f>
        <v>4</v>
      </c>
      <c r="S481">
        <f>VLOOKUP(C481,CU_ARS_2025_WOF_F2!$A$2:$K$673,6,FALSE)</f>
        <v>1</v>
      </c>
      <c r="T481">
        <f>VLOOKUP(C481,CU_ARS_2025_WOF_F2!$A$2:$K$673,7,FALSE)</f>
        <v>0</v>
      </c>
      <c r="U481">
        <f>VLOOKUP(C481,CU_ARS_2025_WOF_F2!$A$2:$K$673,8,FALSE)</f>
        <v>1</v>
      </c>
      <c r="V481">
        <f>VLOOKUP(C481,CU_ARS_2025_WOF_F2!$A$2:$K$673,9,FALSE)</f>
        <v>0</v>
      </c>
      <c r="W481">
        <f>VLOOKUP(C481,CU_ARS_2025_WOF_F2!$A$2:$K$673,10,FALSE)</f>
        <v>0</v>
      </c>
      <c r="X481">
        <f>VLOOKUP(C481,CU_ARS_2025_WOF_F2!$A$2:$K$673,11,FALSE)</f>
        <v>71</v>
      </c>
      <c r="Y481" t="str">
        <f>VLOOKUP(Q481,cross_pedigree!$A$2:$B$23,2,FALSE)</f>
        <v>Gerard 227/AURORA</v>
      </c>
    </row>
    <row r="482" spans="1:25" ht="18">
      <c r="A482" s="21" t="s">
        <v>15</v>
      </c>
      <c r="B482" s="21" t="s">
        <v>16</v>
      </c>
      <c r="C482" s="22">
        <v>753479</v>
      </c>
      <c r="D482" s="23">
        <v>6</v>
      </c>
      <c r="E482" s="24" t="str">
        <f t="shared" si="7"/>
        <v>CU_ARS_2025_WOF_F2_4_plant_65</v>
      </c>
      <c r="F482" s="21" t="s">
        <v>100</v>
      </c>
      <c r="G482" s="44" t="s">
        <v>215</v>
      </c>
      <c r="H482" s="42"/>
      <c r="I482" s="42" t="s">
        <v>1016</v>
      </c>
      <c r="J482" s="42" t="s">
        <v>1003</v>
      </c>
      <c r="K482" s="42"/>
      <c r="L482" s="42"/>
      <c r="M482" s="42"/>
      <c r="N482" t="str">
        <f>VLOOKUP(C482,CU_ARS_2025_WOF_F2!$A$2:$K$673,2,FALSE)</f>
        <v>CU_ARS_2025_WOF_F2_4_plant_65</v>
      </c>
      <c r="O482" t="str">
        <f>VLOOKUP(C482,CU_ARS_2025_WOF_F2!$A$2:$K$673,2,FALSE)</f>
        <v>CU_ARS_2025_WOF_F2_4_plant_65</v>
      </c>
      <c r="P482" t="str">
        <f>VLOOKUP(C482,CU_ARS_2025_WOF_F2!$A$2:$K$673,3,FALSE)</f>
        <v>CU_ARS_2025_WOF_F2_4</v>
      </c>
      <c r="Q482" t="str">
        <f>VLOOKUP(C482,CU_ARS_2025_WOF_F2!$A$2:$K$673,4,FALSE)</f>
        <v>CU_ARS_2025_WOF_cross_19</v>
      </c>
      <c r="R482">
        <f>VLOOKUP(C482,CU_ARS_2025_WOF_F2!$A$2:$K$673,5,FALSE)</f>
        <v>4</v>
      </c>
      <c r="S482">
        <f>VLOOKUP(C482,CU_ARS_2025_WOF_F2!$A$2:$K$673,6,FALSE)</f>
        <v>1</v>
      </c>
      <c r="T482">
        <f>VLOOKUP(C482,CU_ARS_2025_WOF_F2!$A$2:$K$673,7,FALSE)</f>
        <v>0</v>
      </c>
      <c r="U482">
        <f>VLOOKUP(C482,CU_ARS_2025_WOF_F2!$A$2:$K$673,8,FALSE)</f>
        <v>1</v>
      </c>
      <c r="V482">
        <f>VLOOKUP(C482,CU_ARS_2025_WOF_F2!$A$2:$K$673,9,FALSE)</f>
        <v>0</v>
      </c>
      <c r="W482">
        <f>VLOOKUP(C482,CU_ARS_2025_WOF_F2!$A$2:$K$673,10,FALSE)</f>
        <v>0</v>
      </c>
      <c r="X482">
        <f>VLOOKUP(C482,CU_ARS_2025_WOF_F2!$A$2:$K$673,11,FALSE)</f>
        <v>65</v>
      </c>
      <c r="Y482" t="str">
        <f>VLOOKUP(Q482,cross_pedigree!$A$2:$B$23,2,FALSE)</f>
        <v>Gerard 227/AURORA</v>
      </c>
    </row>
    <row r="483" spans="1:25" ht="18">
      <c r="A483" s="21" t="s">
        <v>15</v>
      </c>
      <c r="B483" s="21" t="s">
        <v>16</v>
      </c>
      <c r="C483" s="22">
        <v>753480</v>
      </c>
      <c r="D483" s="23">
        <v>6</v>
      </c>
      <c r="E483" s="24" t="str">
        <f t="shared" si="7"/>
        <v>CU_ARS_2025_WOF_F2_4_plant_66</v>
      </c>
      <c r="F483" s="21" t="s">
        <v>102</v>
      </c>
      <c r="G483" s="44" t="s">
        <v>216</v>
      </c>
      <c r="H483" s="42"/>
      <c r="I483" s="42" t="s">
        <v>1016</v>
      </c>
      <c r="J483" s="42" t="s">
        <v>1003</v>
      </c>
      <c r="K483" s="42"/>
      <c r="L483" s="42"/>
      <c r="M483" s="42"/>
      <c r="N483" t="str">
        <f>VLOOKUP(C483,CU_ARS_2025_WOF_F2!$A$2:$K$673,2,FALSE)</f>
        <v>CU_ARS_2025_WOF_F2_4_plant_66</v>
      </c>
      <c r="O483" t="str">
        <f>VLOOKUP(C483,CU_ARS_2025_WOF_F2!$A$2:$K$673,2,FALSE)</f>
        <v>CU_ARS_2025_WOF_F2_4_plant_66</v>
      </c>
      <c r="P483" t="str">
        <f>VLOOKUP(C483,CU_ARS_2025_WOF_F2!$A$2:$K$673,3,FALSE)</f>
        <v>CU_ARS_2025_WOF_F2_4</v>
      </c>
      <c r="Q483" t="str">
        <f>VLOOKUP(C483,CU_ARS_2025_WOF_F2!$A$2:$K$673,4,FALSE)</f>
        <v>CU_ARS_2025_WOF_cross_19</v>
      </c>
      <c r="R483">
        <f>VLOOKUP(C483,CU_ARS_2025_WOF_F2!$A$2:$K$673,5,FALSE)</f>
        <v>4</v>
      </c>
      <c r="S483">
        <f>VLOOKUP(C483,CU_ARS_2025_WOF_F2!$A$2:$K$673,6,FALSE)</f>
        <v>1</v>
      </c>
      <c r="T483">
        <f>VLOOKUP(C483,CU_ARS_2025_WOF_F2!$A$2:$K$673,7,FALSE)</f>
        <v>0</v>
      </c>
      <c r="U483">
        <f>VLOOKUP(C483,CU_ARS_2025_WOF_F2!$A$2:$K$673,8,FALSE)</f>
        <v>1</v>
      </c>
      <c r="V483">
        <f>VLOOKUP(C483,CU_ARS_2025_WOF_F2!$A$2:$K$673,9,FALSE)</f>
        <v>0</v>
      </c>
      <c r="W483">
        <f>VLOOKUP(C483,CU_ARS_2025_WOF_F2!$A$2:$K$673,10,FALSE)</f>
        <v>0</v>
      </c>
      <c r="X483">
        <f>VLOOKUP(C483,CU_ARS_2025_WOF_F2!$A$2:$K$673,11,FALSE)</f>
        <v>66</v>
      </c>
      <c r="Y483" t="str">
        <f>VLOOKUP(Q483,cross_pedigree!$A$2:$B$23,2,FALSE)</f>
        <v>Gerard 227/AURORA</v>
      </c>
    </row>
    <row r="484" spans="1:25" ht="18">
      <c r="A484" s="21" t="s">
        <v>15</v>
      </c>
      <c r="B484" s="21" t="s">
        <v>16</v>
      </c>
      <c r="C484" s="22">
        <v>753481</v>
      </c>
      <c r="D484" s="23">
        <v>6</v>
      </c>
      <c r="E484" s="24" t="str">
        <f t="shared" si="7"/>
        <v>CU_ARS_2025_WOF_F2_4_plant_67</v>
      </c>
      <c r="F484" s="21" t="s">
        <v>104</v>
      </c>
      <c r="G484" s="44" t="s">
        <v>217</v>
      </c>
      <c r="H484" s="42"/>
      <c r="I484" s="42" t="s">
        <v>1016</v>
      </c>
      <c r="J484" s="42" t="s">
        <v>1003</v>
      </c>
      <c r="K484" s="42"/>
      <c r="L484" s="42"/>
      <c r="M484" s="42"/>
      <c r="N484" t="str">
        <f>VLOOKUP(C484,CU_ARS_2025_WOF_F2!$A$2:$K$673,2,FALSE)</f>
        <v>CU_ARS_2025_WOF_F2_4_plant_67</v>
      </c>
      <c r="O484" t="str">
        <f>VLOOKUP(C484,CU_ARS_2025_WOF_F2!$A$2:$K$673,2,FALSE)</f>
        <v>CU_ARS_2025_WOF_F2_4_plant_67</v>
      </c>
      <c r="P484" t="str">
        <f>VLOOKUP(C484,CU_ARS_2025_WOF_F2!$A$2:$K$673,3,FALSE)</f>
        <v>CU_ARS_2025_WOF_F2_4</v>
      </c>
      <c r="Q484" t="str">
        <f>VLOOKUP(C484,CU_ARS_2025_WOF_F2!$A$2:$K$673,4,FALSE)</f>
        <v>CU_ARS_2025_WOF_cross_19</v>
      </c>
      <c r="R484">
        <f>VLOOKUP(C484,CU_ARS_2025_WOF_F2!$A$2:$K$673,5,FALSE)</f>
        <v>4</v>
      </c>
      <c r="S484">
        <f>VLOOKUP(C484,CU_ARS_2025_WOF_F2!$A$2:$K$673,6,FALSE)</f>
        <v>1</v>
      </c>
      <c r="T484">
        <f>VLOOKUP(C484,CU_ARS_2025_WOF_F2!$A$2:$K$673,7,FALSE)</f>
        <v>0</v>
      </c>
      <c r="U484">
        <f>VLOOKUP(C484,CU_ARS_2025_WOF_F2!$A$2:$K$673,8,FALSE)</f>
        <v>1</v>
      </c>
      <c r="V484">
        <f>VLOOKUP(C484,CU_ARS_2025_WOF_F2!$A$2:$K$673,9,FALSE)</f>
        <v>0</v>
      </c>
      <c r="W484">
        <f>VLOOKUP(C484,CU_ARS_2025_WOF_F2!$A$2:$K$673,10,FALSE)</f>
        <v>0</v>
      </c>
      <c r="X484">
        <f>VLOOKUP(C484,CU_ARS_2025_WOF_F2!$A$2:$K$673,11,FALSE)</f>
        <v>67</v>
      </c>
      <c r="Y484" t="str">
        <f>VLOOKUP(Q484,cross_pedigree!$A$2:$B$23,2,FALSE)</f>
        <v>Gerard 227/AURORA</v>
      </c>
    </row>
    <row r="485" spans="1:25" ht="18">
      <c r="A485" s="21" t="s">
        <v>15</v>
      </c>
      <c r="B485" s="21" t="s">
        <v>16</v>
      </c>
      <c r="C485" s="22">
        <v>753482</v>
      </c>
      <c r="D485" s="23">
        <v>6</v>
      </c>
      <c r="E485" s="24" t="str">
        <f t="shared" si="7"/>
        <v>CU_ARS_2025_WOF_F2_4_plant_68</v>
      </c>
      <c r="F485" s="21" t="s">
        <v>69</v>
      </c>
      <c r="G485" s="44" t="s">
        <v>70</v>
      </c>
      <c r="H485" s="42"/>
      <c r="I485" s="42" t="s">
        <v>1016</v>
      </c>
      <c r="J485" s="42" t="s">
        <v>1003</v>
      </c>
      <c r="K485" s="42"/>
      <c r="L485" s="42"/>
      <c r="M485" s="42"/>
      <c r="N485" t="str">
        <f>VLOOKUP(C485,CU_ARS_2025_WOF_F2!$A$2:$K$673,2,FALSE)</f>
        <v>CU_ARS_2025_WOF_F2_4_plant_68</v>
      </c>
      <c r="O485" t="str">
        <f>VLOOKUP(C485,CU_ARS_2025_WOF_F2!$A$2:$K$673,2,FALSE)</f>
        <v>CU_ARS_2025_WOF_F2_4_plant_68</v>
      </c>
      <c r="P485" t="str">
        <f>VLOOKUP(C485,CU_ARS_2025_WOF_F2!$A$2:$K$673,3,FALSE)</f>
        <v>CU_ARS_2025_WOF_F2_4</v>
      </c>
      <c r="Q485" t="str">
        <f>VLOOKUP(C485,CU_ARS_2025_WOF_F2!$A$2:$K$673,4,FALSE)</f>
        <v>CU_ARS_2025_WOF_cross_19</v>
      </c>
      <c r="R485">
        <f>VLOOKUP(C485,CU_ARS_2025_WOF_F2!$A$2:$K$673,5,FALSE)</f>
        <v>4</v>
      </c>
      <c r="S485">
        <f>VLOOKUP(C485,CU_ARS_2025_WOF_F2!$A$2:$K$673,6,FALSE)</f>
        <v>1</v>
      </c>
      <c r="T485">
        <f>VLOOKUP(C485,CU_ARS_2025_WOF_F2!$A$2:$K$673,7,FALSE)</f>
        <v>0</v>
      </c>
      <c r="U485">
        <f>VLOOKUP(C485,CU_ARS_2025_WOF_F2!$A$2:$K$673,8,FALSE)</f>
        <v>1</v>
      </c>
      <c r="V485">
        <f>VLOOKUP(C485,CU_ARS_2025_WOF_F2!$A$2:$K$673,9,FALSE)</f>
        <v>0</v>
      </c>
      <c r="W485">
        <f>VLOOKUP(C485,CU_ARS_2025_WOF_F2!$A$2:$K$673,10,FALSE)</f>
        <v>0</v>
      </c>
      <c r="X485">
        <f>VLOOKUP(C485,CU_ARS_2025_WOF_F2!$A$2:$K$673,11,FALSE)</f>
        <v>68</v>
      </c>
      <c r="Y485" t="str">
        <f>VLOOKUP(Q485,cross_pedigree!$A$2:$B$23,2,FALSE)</f>
        <v>Gerard 227/AURORA</v>
      </c>
    </row>
    <row r="486" spans="1:25" ht="18">
      <c r="A486" s="21" t="s">
        <v>15</v>
      </c>
      <c r="B486" s="21" t="s">
        <v>16</v>
      </c>
      <c r="C486" s="22">
        <v>753483</v>
      </c>
      <c r="D486" s="23">
        <v>6</v>
      </c>
      <c r="E486" s="24" t="str">
        <f t="shared" si="7"/>
        <v>CU_ARS_2025_WOF_F2_4_plant_69</v>
      </c>
      <c r="F486" s="21" t="s">
        <v>71</v>
      </c>
      <c r="G486" s="44" t="s">
        <v>72</v>
      </c>
      <c r="H486" s="42"/>
      <c r="I486" s="42" t="s">
        <v>1016</v>
      </c>
      <c r="J486" s="42" t="s">
        <v>1003</v>
      </c>
      <c r="K486" s="42"/>
      <c r="L486" s="42"/>
      <c r="M486" s="42"/>
      <c r="N486" t="str">
        <f>VLOOKUP(C486,CU_ARS_2025_WOF_F2!$A$2:$K$673,2,FALSE)</f>
        <v>CU_ARS_2025_WOF_F2_4_plant_69</v>
      </c>
      <c r="O486" t="str">
        <f>VLOOKUP(C486,CU_ARS_2025_WOF_F2!$A$2:$K$673,2,FALSE)</f>
        <v>CU_ARS_2025_WOF_F2_4_plant_69</v>
      </c>
      <c r="P486" t="str">
        <f>VLOOKUP(C486,CU_ARS_2025_WOF_F2!$A$2:$K$673,3,FALSE)</f>
        <v>CU_ARS_2025_WOF_F2_4</v>
      </c>
      <c r="Q486" t="str">
        <f>VLOOKUP(C486,CU_ARS_2025_WOF_F2!$A$2:$K$673,4,FALSE)</f>
        <v>CU_ARS_2025_WOF_cross_19</v>
      </c>
      <c r="R486">
        <f>VLOOKUP(C486,CU_ARS_2025_WOF_F2!$A$2:$K$673,5,FALSE)</f>
        <v>4</v>
      </c>
      <c r="S486">
        <f>VLOOKUP(C486,CU_ARS_2025_WOF_F2!$A$2:$K$673,6,FALSE)</f>
        <v>1</v>
      </c>
      <c r="T486">
        <f>VLOOKUP(C486,CU_ARS_2025_WOF_F2!$A$2:$K$673,7,FALSE)</f>
        <v>0</v>
      </c>
      <c r="U486">
        <f>VLOOKUP(C486,CU_ARS_2025_WOF_F2!$A$2:$K$673,8,FALSE)</f>
        <v>1</v>
      </c>
      <c r="V486">
        <f>VLOOKUP(C486,CU_ARS_2025_WOF_F2!$A$2:$K$673,9,FALSE)</f>
        <v>0</v>
      </c>
      <c r="W486">
        <f>VLOOKUP(C486,CU_ARS_2025_WOF_F2!$A$2:$K$673,10,FALSE)</f>
        <v>0</v>
      </c>
      <c r="X486">
        <f>VLOOKUP(C486,CU_ARS_2025_WOF_F2!$A$2:$K$673,11,FALSE)</f>
        <v>69</v>
      </c>
      <c r="Y486" t="str">
        <f>VLOOKUP(Q486,cross_pedigree!$A$2:$B$23,2,FALSE)</f>
        <v>Gerard 227/AURORA</v>
      </c>
    </row>
    <row r="487" spans="1:25" ht="18">
      <c r="A487" s="21" t="s">
        <v>15</v>
      </c>
      <c r="B487" s="21" t="s">
        <v>16</v>
      </c>
      <c r="C487" s="22">
        <v>753780</v>
      </c>
      <c r="D487" s="23">
        <v>6</v>
      </c>
      <c r="E487" s="24" t="str">
        <f t="shared" si="7"/>
        <v>CU_ARS_2025_WOF_F2_1_plant_1</v>
      </c>
      <c r="F487" s="21" t="s">
        <v>73</v>
      </c>
      <c r="G487" s="44" t="s">
        <v>74</v>
      </c>
      <c r="H487" s="42"/>
      <c r="I487" s="42" t="s">
        <v>1036</v>
      </c>
      <c r="J487" s="42" t="s">
        <v>1003</v>
      </c>
      <c r="K487" s="42"/>
      <c r="L487" s="42"/>
      <c r="M487" s="42"/>
      <c r="N487" t="str">
        <f>VLOOKUP(C487,CU_ARS_2025_WOF_F2!$A$2:$K$673,2,FALSE)</f>
        <v>CU_ARS_2025_WOF_F2_1_plant_1</v>
      </c>
      <c r="O487" t="str">
        <f>VLOOKUP(C487,CU_ARS_2025_WOF_F2!$A$2:$K$673,2,FALSE)</f>
        <v>CU_ARS_2025_WOF_F2_1_plant_1</v>
      </c>
      <c r="P487" t="str">
        <f>VLOOKUP(C487,CU_ARS_2025_WOF_F2!$A$2:$K$673,3,FALSE)</f>
        <v>CU_ARS_2025_WOF_F2_1</v>
      </c>
      <c r="Q487" t="str">
        <f>VLOOKUP(C487,CU_ARS_2025_WOF_F2!$A$2:$K$673,4,FALSE)</f>
        <v>CU_ARS_2025_WOF_cross_55</v>
      </c>
      <c r="R487">
        <f>VLOOKUP(C487,CU_ARS_2025_WOF_F2!$A$2:$K$673,5,FALSE)</f>
        <v>1</v>
      </c>
      <c r="S487">
        <f>VLOOKUP(C487,CU_ARS_2025_WOF_F2!$A$2:$K$673,6,FALSE)</f>
        <v>1</v>
      </c>
      <c r="T487">
        <f>VLOOKUP(C487,CU_ARS_2025_WOF_F2!$A$2:$K$673,7,FALSE)</f>
        <v>0</v>
      </c>
      <c r="U487">
        <f>VLOOKUP(C487,CU_ARS_2025_WOF_F2!$A$2:$K$673,8,FALSE)</f>
        <v>1</v>
      </c>
      <c r="V487">
        <f>VLOOKUP(C487,CU_ARS_2025_WOF_F2!$A$2:$K$673,9,FALSE)</f>
        <v>0</v>
      </c>
      <c r="W487">
        <f>VLOOKUP(C487,CU_ARS_2025_WOF_F2!$A$2:$K$673,10,FALSE)</f>
        <v>0</v>
      </c>
      <c r="X487">
        <f>VLOOKUP(C487,CU_ARS_2025_WOF_F2!$A$2:$K$673,11,FALSE)</f>
        <v>1</v>
      </c>
      <c r="Y487" t="str">
        <f>VLOOKUP(Q487,cross_pedigree!$A$2:$B$23,2,FALSE)</f>
        <v>PA8014-840/NC20-4452</v>
      </c>
    </row>
    <row r="488" spans="1:25" ht="18">
      <c r="A488" s="21" t="s">
        <v>15</v>
      </c>
      <c r="B488" s="21" t="s">
        <v>16</v>
      </c>
      <c r="C488" s="22">
        <v>753781</v>
      </c>
      <c r="D488" s="23">
        <v>6</v>
      </c>
      <c r="E488" s="24" t="str">
        <f t="shared" si="7"/>
        <v>CU_ARS_2025_WOF_F2_1_plant_2</v>
      </c>
      <c r="F488" s="21" t="s">
        <v>75</v>
      </c>
      <c r="G488" s="44" t="s">
        <v>76</v>
      </c>
      <c r="H488" s="42"/>
      <c r="I488" s="42" t="s">
        <v>1036</v>
      </c>
      <c r="J488" s="42" t="s">
        <v>1003</v>
      </c>
      <c r="K488" s="42"/>
      <c r="L488" s="42"/>
      <c r="M488" s="42"/>
      <c r="N488" t="str">
        <f>VLOOKUP(C488,CU_ARS_2025_WOF_F2!$A$2:$K$673,2,FALSE)</f>
        <v>CU_ARS_2025_WOF_F2_1_plant_2</v>
      </c>
      <c r="O488" t="str">
        <f>VLOOKUP(C488,CU_ARS_2025_WOF_F2!$A$2:$K$673,2,FALSE)</f>
        <v>CU_ARS_2025_WOF_F2_1_plant_2</v>
      </c>
      <c r="P488" t="str">
        <f>VLOOKUP(C488,CU_ARS_2025_WOF_F2!$A$2:$K$673,3,FALSE)</f>
        <v>CU_ARS_2025_WOF_F2_1</v>
      </c>
      <c r="Q488" t="str">
        <f>VLOOKUP(C488,CU_ARS_2025_WOF_F2!$A$2:$K$673,4,FALSE)</f>
        <v>CU_ARS_2025_WOF_cross_55</v>
      </c>
      <c r="R488">
        <f>VLOOKUP(C488,CU_ARS_2025_WOF_F2!$A$2:$K$673,5,FALSE)</f>
        <v>1</v>
      </c>
      <c r="S488">
        <f>VLOOKUP(C488,CU_ARS_2025_WOF_F2!$A$2:$K$673,6,FALSE)</f>
        <v>1</v>
      </c>
      <c r="T488">
        <f>VLOOKUP(C488,CU_ARS_2025_WOF_F2!$A$2:$K$673,7,FALSE)</f>
        <v>0</v>
      </c>
      <c r="U488">
        <f>VLOOKUP(C488,CU_ARS_2025_WOF_F2!$A$2:$K$673,8,FALSE)</f>
        <v>1</v>
      </c>
      <c r="V488">
        <f>VLOOKUP(C488,CU_ARS_2025_WOF_F2!$A$2:$K$673,9,FALSE)</f>
        <v>0</v>
      </c>
      <c r="W488">
        <f>VLOOKUP(C488,CU_ARS_2025_WOF_F2!$A$2:$K$673,10,FALSE)</f>
        <v>0</v>
      </c>
      <c r="X488">
        <f>VLOOKUP(C488,CU_ARS_2025_WOF_F2!$A$2:$K$673,11,FALSE)</f>
        <v>2</v>
      </c>
      <c r="Y488" t="str">
        <f>VLOOKUP(Q488,cross_pedigree!$A$2:$B$23,2,FALSE)</f>
        <v>PA8014-840/NC20-4452</v>
      </c>
    </row>
    <row r="489" spans="1:25" ht="18">
      <c r="A489" s="21" t="s">
        <v>15</v>
      </c>
      <c r="B489" s="21" t="s">
        <v>16</v>
      </c>
      <c r="C489" s="22">
        <v>753782</v>
      </c>
      <c r="D489" s="23">
        <v>6</v>
      </c>
      <c r="E489" s="24" t="str">
        <f t="shared" si="7"/>
        <v>CU_ARS_2025_WOF_F2_1_plant_3</v>
      </c>
      <c r="F489" s="21" t="s">
        <v>77</v>
      </c>
      <c r="G489" s="44" t="s">
        <v>78</v>
      </c>
      <c r="H489" s="42"/>
      <c r="I489" s="42" t="s">
        <v>1036</v>
      </c>
      <c r="J489" s="42" t="s">
        <v>1003</v>
      </c>
      <c r="K489" s="42"/>
      <c r="L489" s="42"/>
      <c r="M489" s="42"/>
      <c r="N489" t="str">
        <f>VLOOKUP(C489,CU_ARS_2025_WOF_F2!$A$2:$K$673,2,FALSE)</f>
        <v>CU_ARS_2025_WOF_F2_1_plant_3</v>
      </c>
      <c r="O489" t="str">
        <f>VLOOKUP(C489,CU_ARS_2025_WOF_F2!$A$2:$K$673,2,FALSE)</f>
        <v>CU_ARS_2025_WOF_F2_1_plant_3</v>
      </c>
      <c r="P489" t="str">
        <f>VLOOKUP(C489,CU_ARS_2025_WOF_F2!$A$2:$K$673,3,FALSE)</f>
        <v>CU_ARS_2025_WOF_F2_1</v>
      </c>
      <c r="Q489" t="str">
        <f>VLOOKUP(C489,CU_ARS_2025_WOF_F2!$A$2:$K$673,4,FALSE)</f>
        <v>CU_ARS_2025_WOF_cross_55</v>
      </c>
      <c r="R489">
        <f>VLOOKUP(C489,CU_ARS_2025_WOF_F2!$A$2:$K$673,5,FALSE)</f>
        <v>1</v>
      </c>
      <c r="S489">
        <f>VLOOKUP(C489,CU_ARS_2025_WOF_F2!$A$2:$K$673,6,FALSE)</f>
        <v>1</v>
      </c>
      <c r="T489">
        <f>VLOOKUP(C489,CU_ARS_2025_WOF_F2!$A$2:$K$673,7,FALSE)</f>
        <v>0</v>
      </c>
      <c r="U489">
        <f>VLOOKUP(C489,CU_ARS_2025_WOF_F2!$A$2:$K$673,8,FALSE)</f>
        <v>1</v>
      </c>
      <c r="V489">
        <f>VLOOKUP(C489,CU_ARS_2025_WOF_F2!$A$2:$K$673,9,FALSE)</f>
        <v>0</v>
      </c>
      <c r="W489">
        <f>VLOOKUP(C489,CU_ARS_2025_WOF_F2!$A$2:$K$673,10,FALSE)</f>
        <v>0</v>
      </c>
      <c r="X489">
        <f>VLOOKUP(C489,CU_ARS_2025_WOF_F2!$A$2:$K$673,11,FALSE)</f>
        <v>3</v>
      </c>
      <c r="Y489" t="str">
        <f>VLOOKUP(Q489,cross_pedigree!$A$2:$B$23,2,FALSE)</f>
        <v>PA8014-840/NC20-4452</v>
      </c>
    </row>
    <row r="490" spans="1:25" ht="18">
      <c r="A490" s="21" t="s">
        <v>15</v>
      </c>
      <c r="B490" s="21" t="s">
        <v>16</v>
      </c>
      <c r="C490" s="22">
        <v>753783</v>
      </c>
      <c r="D490" s="23">
        <v>6</v>
      </c>
      <c r="E490" s="24" t="str">
        <f t="shared" si="7"/>
        <v>CU_ARS_2025_WOF_F2_1_plant_4</v>
      </c>
      <c r="F490" s="21" t="s">
        <v>79</v>
      </c>
      <c r="G490" s="44" t="s">
        <v>80</v>
      </c>
      <c r="H490" s="42"/>
      <c r="I490" s="42" t="s">
        <v>1036</v>
      </c>
      <c r="J490" s="42" t="s">
        <v>1003</v>
      </c>
      <c r="K490" s="42"/>
      <c r="L490" s="42"/>
      <c r="M490" s="42"/>
      <c r="N490" t="str">
        <f>VLOOKUP(C490,CU_ARS_2025_WOF_F2!$A$2:$K$673,2,FALSE)</f>
        <v>CU_ARS_2025_WOF_F2_1_plant_4</v>
      </c>
      <c r="O490" t="str">
        <f>VLOOKUP(C490,CU_ARS_2025_WOF_F2!$A$2:$K$673,2,FALSE)</f>
        <v>CU_ARS_2025_WOF_F2_1_plant_4</v>
      </c>
      <c r="P490" t="str">
        <f>VLOOKUP(C490,CU_ARS_2025_WOF_F2!$A$2:$K$673,3,FALSE)</f>
        <v>CU_ARS_2025_WOF_F2_1</v>
      </c>
      <c r="Q490" t="str">
        <f>VLOOKUP(C490,CU_ARS_2025_WOF_F2!$A$2:$K$673,4,FALSE)</f>
        <v>CU_ARS_2025_WOF_cross_55</v>
      </c>
      <c r="R490">
        <f>VLOOKUP(C490,CU_ARS_2025_WOF_F2!$A$2:$K$673,5,FALSE)</f>
        <v>1</v>
      </c>
      <c r="S490">
        <f>VLOOKUP(C490,CU_ARS_2025_WOF_F2!$A$2:$K$673,6,FALSE)</f>
        <v>1</v>
      </c>
      <c r="T490">
        <f>VLOOKUP(C490,CU_ARS_2025_WOF_F2!$A$2:$K$673,7,FALSE)</f>
        <v>0</v>
      </c>
      <c r="U490">
        <f>VLOOKUP(C490,CU_ARS_2025_WOF_F2!$A$2:$K$673,8,FALSE)</f>
        <v>1</v>
      </c>
      <c r="V490">
        <f>VLOOKUP(C490,CU_ARS_2025_WOF_F2!$A$2:$K$673,9,FALSE)</f>
        <v>0</v>
      </c>
      <c r="W490">
        <f>VLOOKUP(C490,CU_ARS_2025_WOF_F2!$A$2:$K$673,10,FALSE)</f>
        <v>0</v>
      </c>
      <c r="X490">
        <f>VLOOKUP(C490,CU_ARS_2025_WOF_F2!$A$2:$K$673,11,FALSE)</f>
        <v>4</v>
      </c>
      <c r="Y490" t="str">
        <f>VLOOKUP(Q490,cross_pedigree!$A$2:$B$23,2,FALSE)</f>
        <v>PA8014-840/NC20-4452</v>
      </c>
    </row>
    <row r="491" spans="1:25" ht="18">
      <c r="A491" s="21" t="s">
        <v>15</v>
      </c>
      <c r="B491" s="21" t="s">
        <v>16</v>
      </c>
      <c r="C491" s="22">
        <v>753784</v>
      </c>
      <c r="D491" s="23">
        <v>6</v>
      </c>
      <c r="E491" s="24" t="str">
        <f t="shared" si="7"/>
        <v>CU_ARS_2025_WOF_F2_1_plant_5</v>
      </c>
      <c r="F491" s="21" t="s">
        <v>81</v>
      </c>
      <c r="G491" s="44">
        <v>10</v>
      </c>
      <c r="H491" s="42"/>
      <c r="I491" s="42" t="s">
        <v>1036</v>
      </c>
      <c r="J491" s="42" t="s">
        <v>1003</v>
      </c>
      <c r="K491" s="42"/>
      <c r="L491" s="42"/>
      <c r="M491" s="42"/>
      <c r="N491" t="str">
        <f>VLOOKUP(C491,CU_ARS_2025_WOF_F2!$A$2:$K$673,2,FALSE)</f>
        <v>CU_ARS_2025_WOF_F2_1_plant_5</v>
      </c>
      <c r="O491" t="str">
        <f>VLOOKUP(C491,CU_ARS_2025_WOF_F2!$A$2:$K$673,2,FALSE)</f>
        <v>CU_ARS_2025_WOF_F2_1_plant_5</v>
      </c>
      <c r="P491" t="str">
        <f>VLOOKUP(C491,CU_ARS_2025_WOF_F2!$A$2:$K$673,3,FALSE)</f>
        <v>CU_ARS_2025_WOF_F2_1</v>
      </c>
      <c r="Q491" t="str">
        <f>VLOOKUP(C491,CU_ARS_2025_WOF_F2!$A$2:$K$673,4,FALSE)</f>
        <v>CU_ARS_2025_WOF_cross_55</v>
      </c>
      <c r="R491">
        <f>VLOOKUP(C491,CU_ARS_2025_WOF_F2!$A$2:$K$673,5,FALSE)</f>
        <v>1</v>
      </c>
      <c r="S491">
        <f>VLOOKUP(C491,CU_ARS_2025_WOF_F2!$A$2:$K$673,6,FALSE)</f>
        <v>1</v>
      </c>
      <c r="T491">
        <f>VLOOKUP(C491,CU_ARS_2025_WOF_F2!$A$2:$K$673,7,FALSE)</f>
        <v>0</v>
      </c>
      <c r="U491">
        <f>VLOOKUP(C491,CU_ARS_2025_WOF_F2!$A$2:$K$673,8,FALSE)</f>
        <v>1</v>
      </c>
      <c r="V491">
        <f>VLOOKUP(C491,CU_ARS_2025_WOF_F2!$A$2:$K$673,9,FALSE)</f>
        <v>0</v>
      </c>
      <c r="W491">
        <f>VLOOKUP(C491,CU_ARS_2025_WOF_F2!$A$2:$K$673,10,FALSE)</f>
        <v>0</v>
      </c>
      <c r="X491">
        <f>VLOOKUP(C491,CU_ARS_2025_WOF_F2!$A$2:$K$673,11,FALSE)</f>
        <v>5</v>
      </c>
      <c r="Y491" t="str">
        <f>VLOOKUP(Q491,cross_pedigree!$A$2:$B$23,2,FALSE)</f>
        <v>PA8014-840/NC20-4452</v>
      </c>
    </row>
    <row r="492" spans="1:25" ht="18">
      <c r="A492" s="21" t="s">
        <v>15</v>
      </c>
      <c r="B492" s="21" t="s">
        <v>16</v>
      </c>
      <c r="C492" s="22">
        <v>753792</v>
      </c>
      <c r="D492" s="23">
        <v>6</v>
      </c>
      <c r="E492" s="24" t="str">
        <f t="shared" si="7"/>
        <v>CU_ARS_2025_WOF_F2_1_plant_13</v>
      </c>
      <c r="F492" s="21" t="s">
        <v>82</v>
      </c>
      <c r="G492" s="44">
        <v>11</v>
      </c>
      <c r="H492" s="42"/>
      <c r="I492" s="42" t="s">
        <v>1036</v>
      </c>
      <c r="J492" s="42" t="s">
        <v>1003</v>
      </c>
      <c r="K492" s="42"/>
      <c r="L492" s="42"/>
      <c r="M492" s="42"/>
      <c r="N492" t="str">
        <f>VLOOKUP(C492,CU_ARS_2025_WOF_F2!$A$2:$K$673,2,FALSE)</f>
        <v>CU_ARS_2025_WOF_F2_1_plant_13</v>
      </c>
      <c r="O492" t="str">
        <f>VLOOKUP(C492,CU_ARS_2025_WOF_F2!$A$2:$K$673,2,FALSE)</f>
        <v>CU_ARS_2025_WOF_F2_1_plant_13</v>
      </c>
      <c r="P492" t="str">
        <f>VLOOKUP(C492,CU_ARS_2025_WOF_F2!$A$2:$K$673,3,FALSE)</f>
        <v>CU_ARS_2025_WOF_F2_1</v>
      </c>
      <c r="Q492" t="str">
        <f>VLOOKUP(C492,CU_ARS_2025_WOF_F2!$A$2:$K$673,4,FALSE)</f>
        <v>CU_ARS_2025_WOF_cross_55</v>
      </c>
      <c r="R492">
        <f>VLOOKUP(C492,CU_ARS_2025_WOF_F2!$A$2:$K$673,5,FALSE)</f>
        <v>1</v>
      </c>
      <c r="S492">
        <f>VLOOKUP(C492,CU_ARS_2025_WOF_F2!$A$2:$K$673,6,FALSE)</f>
        <v>1</v>
      </c>
      <c r="T492">
        <f>VLOOKUP(C492,CU_ARS_2025_WOF_F2!$A$2:$K$673,7,FALSE)</f>
        <v>0</v>
      </c>
      <c r="U492">
        <f>VLOOKUP(C492,CU_ARS_2025_WOF_F2!$A$2:$K$673,8,FALSE)</f>
        <v>1</v>
      </c>
      <c r="V492">
        <f>VLOOKUP(C492,CU_ARS_2025_WOF_F2!$A$2:$K$673,9,FALSE)</f>
        <v>0</v>
      </c>
      <c r="W492">
        <f>VLOOKUP(C492,CU_ARS_2025_WOF_F2!$A$2:$K$673,10,FALSE)</f>
        <v>0</v>
      </c>
      <c r="X492">
        <f>VLOOKUP(C492,CU_ARS_2025_WOF_F2!$A$2:$K$673,11,FALSE)</f>
        <v>13</v>
      </c>
      <c r="Y492" t="str">
        <f>VLOOKUP(Q492,cross_pedigree!$A$2:$B$23,2,FALSE)</f>
        <v>PA8014-840/NC20-4452</v>
      </c>
    </row>
    <row r="493" spans="1:25" ht="18">
      <c r="A493" s="21" t="s">
        <v>15</v>
      </c>
      <c r="B493" s="21" t="s">
        <v>16</v>
      </c>
      <c r="C493" s="22">
        <v>753791</v>
      </c>
      <c r="D493" s="23">
        <v>6</v>
      </c>
      <c r="E493" s="24" t="str">
        <f t="shared" si="7"/>
        <v>CU_ARS_2025_WOF_F2_1_plant_12</v>
      </c>
      <c r="F493" s="21" t="s">
        <v>83</v>
      </c>
      <c r="G493" s="44">
        <v>12</v>
      </c>
      <c r="H493" s="42"/>
      <c r="I493" s="42" t="s">
        <v>1036</v>
      </c>
      <c r="J493" s="42" t="s">
        <v>1003</v>
      </c>
      <c r="K493" s="42"/>
      <c r="L493" s="42"/>
      <c r="M493" s="42"/>
      <c r="N493" t="str">
        <f>VLOOKUP(C493,CU_ARS_2025_WOF_F2!$A$2:$K$673,2,FALSE)</f>
        <v>CU_ARS_2025_WOF_F2_1_plant_12</v>
      </c>
      <c r="O493" t="str">
        <f>VLOOKUP(C493,CU_ARS_2025_WOF_F2!$A$2:$K$673,2,FALSE)</f>
        <v>CU_ARS_2025_WOF_F2_1_plant_12</v>
      </c>
      <c r="P493" t="str">
        <f>VLOOKUP(C493,CU_ARS_2025_WOF_F2!$A$2:$K$673,3,FALSE)</f>
        <v>CU_ARS_2025_WOF_F2_1</v>
      </c>
      <c r="Q493" t="str">
        <f>VLOOKUP(C493,CU_ARS_2025_WOF_F2!$A$2:$K$673,4,FALSE)</f>
        <v>CU_ARS_2025_WOF_cross_55</v>
      </c>
      <c r="R493">
        <f>VLOOKUP(C493,CU_ARS_2025_WOF_F2!$A$2:$K$673,5,FALSE)</f>
        <v>1</v>
      </c>
      <c r="S493">
        <f>VLOOKUP(C493,CU_ARS_2025_WOF_F2!$A$2:$K$673,6,FALSE)</f>
        <v>1</v>
      </c>
      <c r="T493">
        <f>VLOOKUP(C493,CU_ARS_2025_WOF_F2!$A$2:$K$673,7,FALSE)</f>
        <v>0</v>
      </c>
      <c r="U493">
        <f>VLOOKUP(C493,CU_ARS_2025_WOF_F2!$A$2:$K$673,8,FALSE)</f>
        <v>1</v>
      </c>
      <c r="V493">
        <f>VLOOKUP(C493,CU_ARS_2025_WOF_F2!$A$2:$K$673,9,FALSE)</f>
        <v>0</v>
      </c>
      <c r="W493">
        <f>VLOOKUP(C493,CU_ARS_2025_WOF_F2!$A$2:$K$673,10,FALSE)</f>
        <v>0</v>
      </c>
      <c r="X493">
        <f>VLOOKUP(C493,CU_ARS_2025_WOF_F2!$A$2:$K$673,11,FALSE)</f>
        <v>12</v>
      </c>
      <c r="Y493" t="str">
        <f>VLOOKUP(Q493,cross_pedigree!$A$2:$B$23,2,FALSE)</f>
        <v>PA8014-840/NC20-4452</v>
      </c>
    </row>
    <row r="494" spans="1:25" ht="18">
      <c r="A494" s="21" t="s">
        <v>15</v>
      </c>
      <c r="B494" s="21" t="s">
        <v>16</v>
      </c>
      <c r="C494" s="22">
        <v>753790</v>
      </c>
      <c r="D494" s="23">
        <v>6</v>
      </c>
      <c r="E494" s="24" t="str">
        <f t="shared" si="7"/>
        <v>CU_ARS_2025_WOF_F2_1_plant_11</v>
      </c>
      <c r="F494" s="21" t="s">
        <v>84</v>
      </c>
      <c r="G494" s="44">
        <v>13</v>
      </c>
      <c r="H494" s="42"/>
      <c r="I494" s="42" t="s">
        <v>1036</v>
      </c>
      <c r="J494" s="42" t="s">
        <v>1003</v>
      </c>
      <c r="K494" s="42"/>
      <c r="L494" s="42"/>
      <c r="M494" s="42"/>
      <c r="N494" t="str">
        <f>VLOOKUP(C494,CU_ARS_2025_WOF_F2!$A$2:$K$673,2,FALSE)</f>
        <v>CU_ARS_2025_WOF_F2_1_plant_11</v>
      </c>
      <c r="O494" t="str">
        <f>VLOOKUP(C494,CU_ARS_2025_WOF_F2!$A$2:$K$673,2,FALSE)</f>
        <v>CU_ARS_2025_WOF_F2_1_plant_11</v>
      </c>
      <c r="P494" t="str">
        <f>VLOOKUP(C494,CU_ARS_2025_WOF_F2!$A$2:$K$673,3,FALSE)</f>
        <v>CU_ARS_2025_WOF_F2_1</v>
      </c>
      <c r="Q494" t="str">
        <f>VLOOKUP(C494,CU_ARS_2025_WOF_F2!$A$2:$K$673,4,FALSE)</f>
        <v>CU_ARS_2025_WOF_cross_55</v>
      </c>
      <c r="R494">
        <f>VLOOKUP(C494,CU_ARS_2025_WOF_F2!$A$2:$K$673,5,FALSE)</f>
        <v>1</v>
      </c>
      <c r="S494">
        <f>VLOOKUP(C494,CU_ARS_2025_WOF_F2!$A$2:$K$673,6,FALSE)</f>
        <v>1</v>
      </c>
      <c r="T494">
        <f>VLOOKUP(C494,CU_ARS_2025_WOF_F2!$A$2:$K$673,7,FALSE)</f>
        <v>0</v>
      </c>
      <c r="U494">
        <f>VLOOKUP(C494,CU_ARS_2025_WOF_F2!$A$2:$K$673,8,FALSE)</f>
        <v>1</v>
      </c>
      <c r="V494">
        <f>VLOOKUP(C494,CU_ARS_2025_WOF_F2!$A$2:$K$673,9,FALSE)</f>
        <v>0</v>
      </c>
      <c r="W494">
        <f>VLOOKUP(C494,CU_ARS_2025_WOF_F2!$A$2:$K$673,10,FALSE)</f>
        <v>0</v>
      </c>
      <c r="X494">
        <f>VLOOKUP(C494,CU_ARS_2025_WOF_F2!$A$2:$K$673,11,FALSE)</f>
        <v>11</v>
      </c>
      <c r="Y494" t="str">
        <f>VLOOKUP(Q494,cross_pedigree!$A$2:$B$23,2,FALSE)</f>
        <v>PA8014-840/NC20-4452</v>
      </c>
    </row>
    <row r="495" spans="1:25" ht="18">
      <c r="A495" s="21" t="s">
        <v>15</v>
      </c>
      <c r="B495" s="21" t="s">
        <v>16</v>
      </c>
      <c r="C495" s="22">
        <v>753789</v>
      </c>
      <c r="D495" s="23">
        <v>6</v>
      </c>
      <c r="E495" s="24" t="str">
        <f t="shared" si="7"/>
        <v>CU_ARS_2025_WOF_F2_1_plant_10</v>
      </c>
      <c r="F495" s="21" t="s">
        <v>85</v>
      </c>
      <c r="G495" s="44">
        <v>14</v>
      </c>
      <c r="H495" s="42"/>
      <c r="I495" s="42" t="s">
        <v>1036</v>
      </c>
      <c r="J495" s="42" t="s">
        <v>1003</v>
      </c>
      <c r="K495" s="42"/>
      <c r="L495" s="42"/>
      <c r="M495" s="42"/>
      <c r="N495" t="str">
        <f>VLOOKUP(C495,CU_ARS_2025_WOF_F2!$A$2:$K$673,2,FALSE)</f>
        <v>CU_ARS_2025_WOF_F2_1_plant_10</v>
      </c>
      <c r="O495" t="str">
        <f>VLOOKUP(C495,CU_ARS_2025_WOF_F2!$A$2:$K$673,2,FALSE)</f>
        <v>CU_ARS_2025_WOF_F2_1_plant_10</v>
      </c>
      <c r="P495" t="str">
        <f>VLOOKUP(C495,CU_ARS_2025_WOF_F2!$A$2:$K$673,3,FALSE)</f>
        <v>CU_ARS_2025_WOF_F2_1</v>
      </c>
      <c r="Q495" t="str">
        <f>VLOOKUP(C495,CU_ARS_2025_WOF_F2!$A$2:$K$673,4,FALSE)</f>
        <v>CU_ARS_2025_WOF_cross_55</v>
      </c>
      <c r="R495">
        <f>VLOOKUP(C495,CU_ARS_2025_WOF_F2!$A$2:$K$673,5,FALSE)</f>
        <v>1</v>
      </c>
      <c r="S495">
        <f>VLOOKUP(C495,CU_ARS_2025_WOF_F2!$A$2:$K$673,6,FALSE)</f>
        <v>1</v>
      </c>
      <c r="T495">
        <f>VLOOKUP(C495,CU_ARS_2025_WOF_F2!$A$2:$K$673,7,FALSE)</f>
        <v>0</v>
      </c>
      <c r="U495">
        <f>VLOOKUP(C495,CU_ARS_2025_WOF_F2!$A$2:$K$673,8,FALSE)</f>
        <v>1</v>
      </c>
      <c r="V495">
        <f>VLOOKUP(C495,CU_ARS_2025_WOF_F2!$A$2:$K$673,9,FALSE)</f>
        <v>0</v>
      </c>
      <c r="W495">
        <f>VLOOKUP(C495,CU_ARS_2025_WOF_F2!$A$2:$K$673,10,FALSE)</f>
        <v>0</v>
      </c>
      <c r="X495">
        <f>VLOOKUP(C495,CU_ARS_2025_WOF_F2!$A$2:$K$673,11,FALSE)</f>
        <v>10</v>
      </c>
      <c r="Y495" t="str">
        <f>VLOOKUP(Q495,cross_pedigree!$A$2:$B$23,2,FALSE)</f>
        <v>PA8014-840/NC20-4452</v>
      </c>
    </row>
    <row r="496" spans="1:25" ht="18">
      <c r="A496" s="21" t="s">
        <v>15</v>
      </c>
      <c r="B496" s="21" t="s">
        <v>16</v>
      </c>
      <c r="C496" s="22">
        <v>753788</v>
      </c>
      <c r="D496" s="23">
        <v>6</v>
      </c>
      <c r="E496" s="24" t="str">
        <f t="shared" si="7"/>
        <v>CU_ARS_2025_WOF_F2_1_plant_9</v>
      </c>
      <c r="F496" s="21" t="s">
        <v>117</v>
      </c>
      <c r="G496" s="44">
        <v>15</v>
      </c>
      <c r="H496" s="42"/>
      <c r="I496" s="42" t="s">
        <v>1036</v>
      </c>
      <c r="J496" s="42" t="s">
        <v>1003</v>
      </c>
      <c r="K496" s="42"/>
      <c r="L496" s="42"/>
      <c r="M496" s="42"/>
      <c r="N496" t="str">
        <f>VLOOKUP(C496,CU_ARS_2025_WOF_F2!$A$2:$K$673,2,FALSE)</f>
        <v>CU_ARS_2025_WOF_F2_1_plant_9</v>
      </c>
      <c r="O496" t="str">
        <f>VLOOKUP(C496,CU_ARS_2025_WOF_F2!$A$2:$K$673,2,FALSE)</f>
        <v>CU_ARS_2025_WOF_F2_1_plant_9</v>
      </c>
      <c r="P496" t="str">
        <f>VLOOKUP(C496,CU_ARS_2025_WOF_F2!$A$2:$K$673,3,FALSE)</f>
        <v>CU_ARS_2025_WOF_F2_1</v>
      </c>
      <c r="Q496" t="str">
        <f>VLOOKUP(C496,CU_ARS_2025_WOF_F2!$A$2:$K$673,4,FALSE)</f>
        <v>CU_ARS_2025_WOF_cross_55</v>
      </c>
      <c r="R496">
        <f>VLOOKUP(C496,CU_ARS_2025_WOF_F2!$A$2:$K$673,5,FALSE)</f>
        <v>1</v>
      </c>
      <c r="S496">
        <f>VLOOKUP(C496,CU_ARS_2025_WOF_F2!$A$2:$K$673,6,FALSE)</f>
        <v>1</v>
      </c>
      <c r="T496">
        <f>VLOOKUP(C496,CU_ARS_2025_WOF_F2!$A$2:$K$673,7,FALSE)</f>
        <v>0</v>
      </c>
      <c r="U496">
        <f>VLOOKUP(C496,CU_ARS_2025_WOF_F2!$A$2:$K$673,8,FALSE)</f>
        <v>1</v>
      </c>
      <c r="V496">
        <f>VLOOKUP(C496,CU_ARS_2025_WOF_F2!$A$2:$K$673,9,FALSE)</f>
        <v>0</v>
      </c>
      <c r="W496">
        <f>VLOOKUP(C496,CU_ARS_2025_WOF_F2!$A$2:$K$673,10,FALSE)</f>
        <v>0</v>
      </c>
      <c r="X496">
        <f>VLOOKUP(C496,CU_ARS_2025_WOF_F2!$A$2:$K$673,11,FALSE)</f>
        <v>9</v>
      </c>
      <c r="Y496" t="str">
        <f>VLOOKUP(Q496,cross_pedigree!$A$2:$B$23,2,FALSE)</f>
        <v>PA8014-840/NC20-4452</v>
      </c>
    </row>
    <row r="497" spans="1:25" ht="18">
      <c r="A497" s="21" t="s">
        <v>15</v>
      </c>
      <c r="B497" s="21" t="s">
        <v>16</v>
      </c>
      <c r="C497" s="22">
        <v>753785</v>
      </c>
      <c r="D497" s="23">
        <v>6</v>
      </c>
      <c r="E497" s="24" t="str">
        <f t="shared" si="7"/>
        <v>CU_ARS_2025_WOF_F2_1_plant_6</v>
      </c>
      <c r="F497" s="21" t="s">
        <v>119</v>
      </c>
      <c r="G497" s="44">
        <v>16</v>
      </c>
      <c r="H497" s="42"/>
      <c r="I497" s="42" t="s">
        <v>1036</v>
      </c>
      <c r="J497" s="42" t="s">
        <v>1003</v>
      </c>
      <c r="K497" s="42"/>
      <c r="L497" s="42"/>
      <c r="M497" s="42"/>
      <c r="N497" t="str">
        <f>VLOOKUP(C497,CU_ARS_2025_WOF_F2!$A$2:$K$673,2,FALSE)</f>
        <v>CU_ARS_2025_WOF_F2_1_plant_6</v>
      </c>
      <c r="O497" t="str">
        <f>VLOOKUP(C497,CU_ARS_2025_WOF_F2!$A$2:$K$673,2,FALSE)</f>
        <v>CU_ARS_2025_WOF_F2_1_plant_6</v>
      </c>
      <c r="P497" t="str">
        <f>VLOOKUP(C497,CU_ARS_2025_WOF_F2!$A$2:$K$673,3,FALSE)</f>
        <v>CU_ARS_2025_WOF_F2_1</v>
      </c>
      <c r="Q497" t="str">
        <f>VLOOKUP(C497,CU_ARS_2025_WOF_F2!$A$2:$K$673,4,FALSE)</f>
        <v>CU_ARS_2025_WOF_cross_55</v>
      </c>
      <c r="R497">
        <f>VLOOKUP(C497,CU_ARS_2025_WOF_F2!$A$2:$K$673,5,FALSE)</f>
        <v>1</v>
      </c>
      <c r="S497">
        <f>VLOOKUP(C497,CU_ARS_2025_WOF_F2!$A$2:$K$673,6,FALSE)</f>
        <v>1</v>
      </c>
      <c r="T497">
        <f>VLOOKUP(C497,CU_ARS_2025_WOF_F2!$A$2:$K$673,7,FALSE)</f>
        <v>0</v>
      </c>
      <c r="U497">
        <f>VLOOKUP(C497,CU_ARS_2025_WOF_F2!$A$2:$K$673,8,FALSE)</f>
        <v>1</v>
      </c>
      <c r="V497">
        <f>VLOOKUP(C497,CU_ARS_2025_WOF_F2!$A$2:$K$673,9,FALSE)</f>
        <v>0</v>
      </c>
      <c r="W497">
        <f>VLOOKUP(C497,CU_ARS_2025_WOF_F2!$A$2:$K$673,10,FALSE)</f>
        <v>0</v>
      </c>
      <c r="X497">
        <f>VLOOKUP(C497,CU_ARS_2025_WOF_F2!$A$2:$K$673,11,FALSE)</f>
        <v>6</v>
      </c>
      <c r="Y497" t="str">
        <f>VLOOKUP(Q497,cross_pedigree!$A$2:$B$23,2,FALSE)</f>
        <v>PA8014-840/NC20-4452</v>
      </c>
    </row>
    <row r="498" spans="1:25" ht="18">
      <c r="A498" s="21" t="s">
        <v>15</v>
      </c>
      <c r="B498" s="21" t="s">
        <v>16</v>
      </c>
      <c r="C498" s="22">
        <v>753786</v>
      </c>
      <c r="D498" s="23">
        <v>6</v>
      </c>
      <c r="E498" s="24" t="str">
        <f t="shared" si="7"/>
        <v>CU_ARS_2025_WOF_F2_1_plant_7</v>
      </c>
      <c r="F498" s="21" t="s">
        <v>121</v>
      </c>
      <c r="G498" s="44">
        <v>17</v>
      </c>
      <c r="H498" s="42"/>
      <c r="I498" s="42" t="s">
        <v>1036</v>
      </c>
      <c r="J498" s="42" t="s">
        <v>1003</v>
      </c>
      <c r="K498" s="42"/>
      <c r="L498" s="42"/>
      <c r="M498" s="42"/>
      <c r="N498" t="str">
        <f>VLOOKUP(C498,CU_ARS_2025_WOF_F2!$A$2:$K$673,2,FALSE)</f>
        <v>CU_ARS_2025_WOF_F2_1_plant_7</v>
      </c>
      <c r="O498" t="str">
        <f>VLOOKUP(C498,CU_ARS_2025_WOF_F2!$A$2:$K$673,2,FALSE)</f>
        <v>CU_ARS_2025_WOF_F2_1_plant_7</v>
      </c>
      <c r="P498" t="str">
        <f>VLOOKUP(C498,CU_ARS_2025_WOF_F2!$A$2:$K$673,3,FALSE)</f>
        <v>CU_ARS_2025_WOF_F2_1</v>
      </c>
      <c r="Q498" t="str">
        <f>VLOOKUP(C498,CU_ARS_2025_WOF_F2!$A$2:$K$673,4,FALSE)</f>
        <v>CU_ARS_2025_WOF_cross_55</v>
      </c>
      <c r="R498">
        <f>VLOOKUP(C498,CU_ARS_2025_WOF_F2!$A$2:$K$673,5,FALSE)</f>
        <v>1</v>
      </c>
      <c r="S498">
        <f>VLOOKUP(C498,CU_ARS_2025_WOF_F2!$A$2:$K$673,6,FALSE)</f>
        <v>1</v>
      </c>
      <c r="T498">
        <f>VLOOKUP(C498,CU_ARS_2025_WOF_F2!$A$2:$K$673,7,FALSE)</f>
        <v>0</v>
      </c>
      <c r="U498">
        <f>VLOOKUP(C498,CU_ARS_2025_WOF_F2!$A$2:$K$673,8,FALSE)</f>
        <v>1</v>
      </c>
      <c r="V498">
        <f>VLOOKUP(C498,CU_ARS_2025_WOF_F2!$A$2:$K$673,9,FALSE)</f>
        <v>0</v>
      </c>
      <c r="W498">
        <f>VLOOKUP(C498,CU_ARS_2025_WOF_F2!$A$2:$K$673,10,FALSE)</f>
        <v>0</v>
      </c>
      <c r="X498">
        <f>VLOOKUP(C498,CU_ARS_2025_WOF_F2!$A$2:$K$673,11,FALSE)</f>
        <v>7</v>
      </c>
      <c r="Y498" t="str">
        <f>VLOOKUP(Q498,cross_pedigree!$A$2:$B$23,2,FALSE)</f>
        <v>PA8014-840/NC20-4452</v>
      </c>
    </row>
    <row r="499" spans="1:25" ht="18">
      <c r="A499" s="21" t="s">
        <v>15</v>
      </c>
      <c r="B499" s="21" t="s">
        <v>16</v>
      </c>
      <c r="C499" s="22">
        <v>753787</v>
      </c>
      <c r="D499" s="23">
        <v>6</v>
      </c>
      <c r="E499" s="24" t="str">
        <f t="shared" si="7"/>
        <v>CU_ARS_2025_WOF_F2_1_plant_8</v>
      </c>
      <c r="F499" s="21" t="s">
        <v>123</v>
      </c>
      <c r="G499" s="44">
        <v>18</v>
      </c>
      <c r="H499" s="42"/>
      <c r="I499" s="42" t="s">
        <v>1036</v>
      </c>
      <c r="J499" s="42" t="s">
        <v>1003</v>
      </c>
      <c r="K499" s="42"/>
      <c r="L499" s="42"/>
      <c r="M499" s="42"/>
      <c r="N499" t="str">
        <f>VLOOKUP(C499,CU_ARS_2025_WOF_F2!$A$2:$K$673,2,FALSE)</f>
        <v>CU_ARS_2025_WOF_F2_1_plant_8</v>
      </c>
      <c r="O499" t="str">
        <f>VLOOKUP(C499,CU_ARS_2025_WOF_F2!$A$2:$K$673,2,FALSE)</f>
        <v>CU_ARS_2025_WOF_F2_1_plant_8</v>
      </c>
      <c r="P499" t="str">
        <f>VLOOKUP(C499,CU_ARS_2025_WOF_F2!$A$2:$K$673,3,FALSE)</f>
        <v>CU_ARS_2025_WOF_F2_1</v>
      </c>
      <c r="Q499" t="str">
        <f>VLOOKUP(C499,CU_ARS_2025_WOF_F2!$A$2:$K$673,4,FALSE)</f>
        <v>CU_ARS_2025_WOF_cross_55</v>
      </c>
      <c r="R499">
        <f>VLOOKUP(C499,CU_ARS_2025_WOF_F2!$A$2:$K$673,5,FALSE)</f>
        <v>1</v>
      </c>
      <c r="S499">
        <f>VLOOKUP(C499,CU_ARS_2025_WOF_F2!$A$2:$K$673,6,FALSE)</f>
        <v>1</v>
      </c>
      <c r="T499">
        <f>VLOOKUP(C499,CU_ARS_2025_WOF_F2!$A$2:$K$673,7,FALSE)</f>
        <v>0</v>
      </c>
      <c r="U499">
        <f>VLOOKUP(C499,CU_ARS_2025_WOF_F2!$A$2:$K$673,8,FALSE)</f>
        <v>1</v>
      </c>
      <c r="V499">
        <f>VLOOKUP(C499,CU_ARS_2025_WOF_F2!$A$2:$K$673,9,FALSE)</f>
        <v>0</v>
      </c>
      <c r="W499">
        <f>VLOOKUP(C499,CU_ARS_2025_WOF_F2!$A$2:$K$673,10,FALSE)</f>
        <v>0</v>
      </c>
      <c r="X499">
        <f>VLOOKUP(C499,CU_ARS_2025_WOF_F2!$A$2:$K$673,11,FALSE)</f>
        <v>8</v>
      </c>
      <c r="Y499" t="str">
        <f>VLOOKUP(Q499,cross_pedigree!$A$2:$B$23,2,FALSE)</f>
        <v>PA8014-840/NC20-4452</v>
      </c>
    </row>
    <row r="500" spans="1:25" ht="18">
      <c r="A500" s="21" t="s">
        <v>15</v>
      </c>
      <c r="B500" s="21" t="s">
        <v>16</v>
      </c>
      <c r="C500" s="22">
        <v>753793</v>
      </c>
      <c r="D500" s="23">
        <v>6</v>
      </c>
      <c r="E500" s="24" t="str">
        <f t="shared" si="7"/>
        <v>CU_ARS_2025_WOF_F2_1_plant_14</v>
      </c>
      <c r="F500" s="21" t="s">
        <v>125</v>
      </c>
      <c r="G500" s="44">
        <v>19</v>
      </c>
      <c r="H500" s="42"/>
      <c r="I500" s="42" t="s">
        <v>1036</v>
      </c>
      <c r="J500" s="42" t="s">
        <v>1003</v>
      </c>
      <c r="K500" s="42"/>
      <c r="L500" s="42"/>
      <c r="M500" s="42"/>
      <c r="N500" t="str">
        <f>VLOOKUP(C500,CU_ARS_2025_WOF_F2!$A$2:$K$673,2,FALSE)</f>
        <v>CU_ARS_2025_WOF_F2_1_plant_14</v>
      </c>
      <c r="O500" t="str">
        <f>VLOOKUP(C500,CU_ARS_2025_WOF_F2!$A$2:$K$673,2,FALSE)</f>
        <v>CU_ARS_2025_WOF_F2_1_plant_14</v>
      </c>
      <c r="P500" t="str">
        <f>VLOOKUP(C500,CU_ARS_2025_WOF_F2!$A$2:$K$673,3,FALSE)</f>
        <v>CU_ARS_2025_WOF_F2_1</v>
      </c>
      <c r="Q500" t="str">
        <f>VLOOKUP(C500,CU_ARS_2025_WOF_F2!$A$2:$K$673,4,FALSE)</f>
        <v>CU_ARS_2025_WOF_cross_55</v>
      </c>
      <c r="R500">
        <f>VLOOKUP(C500,CU_ARS_2025_WOF_F2!$A$2:$K$673,5,FALSE)</f>
        <v>1</v>
      </c>
      <c r="S500">
        <f>VLOOKUP(C500,CU_ARS_2025_WOF_F2!$A$2:$K$673,6,FALSE)</f>
        <v>1</v>
      </c>
      <c r="T500">
        <f>VLOOKUP(C500,CU_ARS_2025_WOF_F2!$A$2:$K$673,7,FALSE)</f>
        <v>0</v>
      </c>
      <c r="U500">
        <f>VLOOKUP(C500,CU_ARS_2025_WOF_F2!$A$2:$K$673,8,FALSE)</f>
        <v>1</v>
      </c>
      <c r="V500">
        <f>VLOOKUP(C500,CU_ARS_2025_WOF_F2!$A$2:$K$673,9,FALSE)</f>
        <v>0</v>
      </c>
      <c r="W500">
        <f>VLOOKUP(C500,CU_ARS_2025_WOF_F2!$A$2:$K$673,10,FALSE)</f>
        <v>0</v>
      </c>
      <c r="X500">
        <f>VLOOKUP(C500,CU_ARS_2025_WOF_F2!$A$2:$K$673,11,FALSE)</f>
        <v>14</v>
      </c>
      <c r="Y500" t="str">
        <f>VLOOKUP(Q500,cross_pedigree!$A$2:$B$23,2,FALSE)</f>
        <v>PA8014-840/NC20-4452</v>
      </c>
    </row>
    <row r="501" spans="1:25" ht="18">
      <c r="A501" s="21" t="s">
        <v>15</v>
      </c>
      <c r="B501" s="21" t="s">
        <v>16</v>
      </c>
      <c r="C501" s="22">
        <v>753794</v>
      </c>
      <c r="D501" s="23">
        <v>6</v>
      </c>
      <c r="E501" s="24" t="str">
        <f t="shared" si="7"/>
        <v>CU_ARS_2025_WOF_F2_1_plant_15</v>
      </c>
      <c r="F501" s="21" t="s">
        <v>86</v>
      </c>
      <c r="G501" s="44">
        <v>20</v>
      </c>
      <c r="H501" s="42"/>
      <c r="I501" s="42" t="s">
        <v>1036</v>
      </c>
      <c r="J501" s="42" t="s">
        <v>1003</v>
      </c>
      <c r="K501" s="42"/>
      <c r="L501" s="42"/>
      <c r="M501" s="42"/>
      <c r="N501" t="str">
        <f>VLOOKUP(C501,CU_ARS_2025_WOF_F2!$A$2:$K$673,2,FALSE)</f>
        <v>CU_ARS_2025_WOF_F2_1_plant_15</v>
      </c>
      <c r="O501" t="str">
        <f>VLOOKUP(C501,CU_ARS_2025_WOF_F2!$A$2:$K$673,2,FALSE)</f>
        <v>CU_ARS_2025_WOF_F2_1_plant_15</v>
      </c>
      <c r="P501" t="str">
        <f>VLOOKUP(C501,CU_ARS_2025_WOF_F2!$A$2:$K$673,3,FALSE)</f>
        <v>CU_ARS_2025_WOF_F2_1</v>
      </c>
      <c r="Q501" t="str">
        <f>VLOOKUP(C501,CU_ARS_2025_WOF_F2!$A$2:$K$673,4,FALSE)</f>
        <v>CU_ARS_2025_WOF_cross_55</v>
      </c>
      <c r="R501">
        <f>VLOOKUP(C501,CU_ARS_2025_WOF_F2!$A$2:$K$673,5,FALSE)</f>
        <v>1</v>
      </c>
      <c r="S501">
        <f>VLOOKUP(C501,CU_ARS_2025_WOF_F2!$A$2:$K$673,6,FALSE)</f>
        <v>1</v>
      </c>
      <c r="T501">
        <f>VLOOKUP(C501,CU_ARS_2025_WOF_F2!$A$2:$K$673,7,FALSE)</f>
        <v>0</v>
      </c>
      <c r="U501">
        <f>VLOOKUP(C501,CU_ARS_2025_WOF_F2!$A$2:$K$673,8,FALSE)</f>
        <v>1</v>
      </c>
      <c r="V501">
        <f>VLOOKUP(C501,CU_ARS_2025_WOF_F2!$A$2:$K$673,9,FALSE)</f>
        <v>0</v>
      </c>
      <c r="W501">
        <f>VLOOKUP(C501,CU_ARS_2025_WOF_F2!$A$2:$K$673,10,FALSE)</f>
        <v>0</v>
      </c>
      <c r="X501">
        <f>VLOOKUP(C501,CU_ARS_2025_WOF_F2!$A$2:$K$673,11,FALSE)</f>
        <v>15</v>
      </c>
      <c r="Y501" t="str">
        <f>VLOOKUP(Q501,cross_pedigree!$A$2:$B$23,2,FALSE)</f>
        <v>PA8014-840/NC20-4452</v>
      </c>
    </row>
    <row r="502" spans="1:25" ht="18">
      <c r="A502" s="21" t="s">
        <v>15</v>
      </c>
      <c r="B502" s="21" t="s">
        <v>16</v>
      </c>
      <c r="C502" s="22">
        <v>753795</v>
      </c>
      <c r="D502" s="23">
        <v>6</v>
      </c>
      <c r="E502" s="24" t="str">
        <f t="shared" si="7"/>
        <v>CU_ARS_2025_WOF_F2_1_plant_16</v>
      </c>
      <c r="F502" s="21" t="s">
        <v>87</v>
      </c>
      <c r="G502" s="44">
        <v>21</v>
      </c>
      <c r="H502" s="42"/>
      <c r="I502" s="42" t="s">
        <v>1036</v>
      </c>
      <c r="J502" s="42" t="s">
        <v>1003</v>
      </c>
      <c r="K502" s="42"/>
      <c r="L502" s="42"/>
      <c r="M502" s="42"/>
      <c r="N502" t="str">
        <f>VLOOKUP(C502,CU_ARS_2025_WOF_F2!$A$2:$K$673,2,FALSE)</f>
        <v>CU_ARS_2025_WOF_F2_1_plant_16</v>
      </c>
      <c r="O502" t="str">
        <f>VLOOKUP(C502,CU_ARS_2025_WOF_F2!$A$2:$K$673,2,FALSE)</f>
        <v>CU_ARS_2025_WOF_F2_1_plant_16</v>
      </c>
      <c r="P502" t="str">
        <f>VLOOKUP(C502,CU_ARS_2025_WOF_F2!$A$2:$K$673,3,FALSE)</f>
        <v>CU_ARS_2025_WOF_F2_1</v>
      </c>
      <c r="Q502" t="str">
        <f>VLOOKUP(C502,CU_ARS_2025_WOF_F2!$A$2:$K$673,4,FALSE)</f>
        <v>CU_ARS_2025_WOF_cross_55</v>
      </c>
      <c r="R502">
        <f>VLOOKUP(C502,CU_ARS_2025_WOF_F2!$A$2:$K$673,5,FALSE)</f>
        <v>1</v>
      </c>
      <c r="S502">
        <f>VLOOKUP(C502,CU_ARS_2025_WOF_F2!$A$2:$K$673,6,FALSE)</f>
        <v>1</v>
      </c>
      <c r="T502">
        <f>VLOOKUP(C502,CU_ARS_2025_WOF_F2!$A$2:$K$673,7,FALSE)</f>
        <v>0</v>
      </c>
      <c r="U502">
        <f>VLOOKUP(C502,CU_ARS_2025_WOF_F2!$A$2:$K$673,8,FALSE)</f>
        <v>1</v>
      </c>
      <c r="V502">
        <f>VLOOKUP(C502,CU_ARS_2025_WOF_F2!$A$2:$K$673,9,FALSE)</f>
        <v>0</v>
      </c>
      <c r="W502">
        <f>VLOOKUP(C502,CU_ARS_2025_WOF_F2!$A$2:$K$673,10,FALSE)</f>
        <v>0</v>
      </c>
      <c r="X502">
        <f>VLOOKUP(C502,CU_ARS_2025_WOF_F2!$A$2:$K$673,11,FALSE)</f>
        <v>16</v>
      </c>
      <c r="Y502" t="str">
        <f>VLOOKUP(Q502,cross_pedigree!$A$2:$B$23,2,FALSE)</f>
        <v>PA8014-840/NC20-4452</v>
      </c>
    </row>
    <row r="503" spans="1:25" ht="18">
      <c r="A503" s="21" t="s">
        <v>15</v>
      </c>
      <c r="B503" s="21" t="s">
        <v>16</v>
      </c>
      <c r="C503" s="22">
        <v>753811</v>
      </c>
      <c r="D503" s="23">
        <v>6</v>
      </c>
      <c r="E503" s="24" t="str">
        <f t="shared" si="7"/>
        <v>CU_ARS_2025_WOF_F2_1_plant_32</v>
      </c>
      <c r="F503" s="21" t="s">
        <v>88</v>
      </c>
      <c r="G503" s="44">
        <v>22</v>
      </c>
      <c r="H503" s="42"/>
      <c r="I503" s="42" t="s">
        <v>1036</v>
      </c>
      <c r="J503" s="42" t="s">
        <v>1003</v>
      </c>
      <c r="K503" s="42"/>
      <c r="L503" s="42"/>
      <c r="M503" s="42"/>
      <c r="N503" t="str">
        <f>VLOOKUP(C503,CU_ARS_2025_WOF_F2!$A$2:$K$673,2,FALSE)</f>
        <v>CU_ARS_2025_WOF_F2_1_plant_32</v>
      </c>
      <c r="O503" t="str">
        <f>VLOOKUP(C503,CU_ARS_2025_WOF_F2!$A$2:$K$673,2,FALSE)</f>
        <v>CU_ARS_2025_WOF_F2_1_plant_32</v>
      </c>
      <c r="P503" t="str">
        <f>VLOOKUP(C503,CU_ARS_2025_WOF_F2!$A$2:$K$673,3,FALSE)</f>
        <v>CU_ARS_2025_WOF_F2_1</v>
      </c>
      <c r="Q503" t="str">
        <f>VLOOKUP(C503,CU_ARS_2025_WOF_F2!$A$2:$K$673,4,FALSE)</f>
        <v>CU_ARS_2025_WOF_cross_55</v>
      </c>
      <c r="R503">
        <f>VLOOKUP(C503,CU_ARS_2025_WOF_F2!$A$2:$K$673,5,FALSE)</f>
        <v>1</v>
      </c>
      <c r="S503">
        <f>VLOOKUP(C503,CU_ARS_2025_WOF_F2!$A$2:$K$673,6,FALSE)</f>
        <v>1</v>
      </c>
      <c r="T503">
        <f>VLOOKUP(C503,CU_ARS_2025_WOF_F2!$A$2:$K$673,7,FALSE)</f>
        <v>0</v>
      </c>
      <c r="U503">
        <f>VLOOKUP(C503,CU_ARS_2025_WOF_F2!$A$2:$K$673,8,FALSE)</f>
        <v>1</v>
      </c>
      <c r="V503">
        <f>VLOOKUP(C503,CU_ARS_2025_WOF_F2!$A$2:$K$673,9,FALSE)</f>
        <v>0</v>
      </c>
      <c r="W503">
        <f>VLOOKUP(C503,CU_ARS_2025_WOF_F2!$A$2:$K$673,10,FALSE)</f>
        <v>0</v>
      </c>
      <c r="X503">
        <f>VLOOKUP(C503,CU_ARS_2025_WOF_F2!$A$2:$K$673,11,FALSE)</f>
        <v>32</v>
      </c>
      <c r="Y503" t="str">
        <f>VLOOKUP(Q503,cross_pedigree!$A$2:$B$23,2,FALSE)</f>
        <v>PA8014-840/NC20-4452</v>
      </c>
    </row>
    <row r="504" spans="1:25" ht="18">
      <c r="A504" s="21" t="s">
        <v>15</v>
      </c>
      <c r="B504" s="21" t="s">
        <v>16</v>
      </c>
      <c r="C504" s="22">
        <v>753810</v>
      </c>
      <c r="D504" s="23">
        <v>6</v>
      </c>
      <c r="E504" s="24" t="str">
        <f t="shared" si="7"/>
        <v>CU_ARS_2025_WOF_F2_1_plant_31</v>
      </c>
      <c r="F504" s="21" t="s">
        <v>89</v>
      </c>
      <c r="G504" s="44">
        <v>23</v>
      </c>
      <c r="H504" s="42"/>
      <c r="I504" s="42" t="s">
        <v>1036</v>
      </c>
      <c r="J504" s="42" t="s">
        <v>1003</v>
      </c>
      <c r="K504" s="42"/>
      <c r="L504" s="42"/>
      <c r="M504" s="42"/>
      <c r="N504" t="str">
        <f>VLOOKUP(C504,CU_ARS_2025_WOF_F2!$A$2:$K$673,2,FALSE)</f>
        <v>CU_ARS_2025_WOF_F2_1_plant_31</v>
      </c>
      <c r="O504" t="str">
        <f>VLOOKUP(C504,CU_ARS_2025_WOF_F2!$A$2:$K$673,2,FALSE)</f>
        <v>CU_ARS_2025_WOF_F2_1_plant_31</v>
      </c>
      <c r="P504" t="str">
        <f>VLOOKUP(C504,CU_ARS_2025_WOF_F2!$A$2:$K$673,3,FALSE)</f>
        <v>CU_ARS_2025_WOF_F2_1</v>
      </c>
      <c r="Q504" t="str">
        <f>VLOOKUP(C504,CU_ARS_2025_WOF_F2!$A$2:$K$673,4,FALSE)</f>
        <v>CU_ARS_2025_WOF_cross_55</v>
      </c>
      <c r="R504">
        <f>VLOOKUP(C504,CU_ARS_2025_WOF_F2!$A$2:$K$673,5,FALSE)</f>
        <v>1</v>
      </c>
      <c r="S504">
        <f>VLOOKUP(C504,CU_ARS_2025_WOF_F2!$A$2:$K$673,6,FALSE)</f>
        <v>1</v>
      </c>
      <c r="T504">
        <f>VLOOKUP(C504,CU_ARS_2025_WOF_F2!$A$2:$K$673,7,FALSE)</f>
        <v>0</v>
      </c>
      <c r="U504">
        <f>VLOOKUP(C504,CU_ARS_2025_WOF_F2!$A$2:$K$673,8,FALSE)</f>
        <v>1</v>
      </c>
      <c r="V504">
        <f>VLOOKUP(C504,CU_ARS_2025_WOF_F2!$A$2:$K$673,9,FALSE)</f>
        <v>0</v>
      </c>
      <c r="W504">
        <f>VLOOKUP(C504,CU_ARS_2025_WOF_F2!$A$2:$K$673,10,FALSE)</f>
        <v>0</v>
      </c>
      <c r="X504">
        <f>VLOOKUP(C504,CU_ARS_2025_WOF_F2!$A$2:$K$673,11,FALSE)</f>
        <v>31</v>
      </c>
      <c r="Y504" t="str">
        <f>VLOOKUP(Q504,cross_pedigree!$A$2:$B$23,2,FALSE)</f>
        <v>PA8014-840/NC20-4452</v>
      </c>
    </row>
    <row r="505" spans="1:25" ht="18">
      <c r="A505" s="21" t="s">
        <v>15</v>
      </c>
      <c r="B505" s="21" t="s">
        <v>16</v>
      </c>
      <c r="C505" s="22">
        <v>753809</v>
      </c>
      <c r="D505" s="23">
        <v>6</v>
      </c>
      <c r="E505" s="24" t="str">
        <f t="shared" si="7"/>
        <v>CU_ARS_2025_WOF_F2_1_plant_30</v>
      </c>
      <c r="F505" s="21" t="s">
        <v>90</v>
      </c>
      <c r="G505" s="44">
        <v>24</v>
      </c>
      <c r="H505" s="42"/>
      <c r="I505" s="42" t="s">
        <v>1036</v>
      </c>
      <c r="J505" s="42" t="s">
        <v>1003</v>
      </c>
      <c r="K505" s="42"/>
      <c r="L505" s="42"/>
      <c r="M505" s="42"/>
      <c r="N505" t="str">
        <f>VLOOKUP(C505,CU_ARS_2025_WOF_F2!$A$2:$K$673,2,FALSE)</f>
        <v>CU_ARS_2025_WOF_F2_1_plant_30</v>
      </c>
      <c r="O505" t="str">
        <f>VLOOKUP(C505,CU_ARS_2025_WOF_F2!$A$2:$K$673,2,FALSE)</f>
        <v>CU_ARS_2025_WOF_F2_1_plant_30</v>
      </c>
      <c r="P505" t="str">
        <f>VLOOKUP(C505,CU_ARS_2025_WOF_F2!$A$2:$K$673,3,FALSE)</f>
        <v>CU_ARS_2025_WOF_F2_1</v>
      </c>
      <c r="Q505" t="str">
        <f>VLOOKUP(C505,CU_ARS_2025_WOF_F2!$A$2:$K$673,4,FALSE)</f>
        <v>CU_ARS_2025_WOF_cross_55</v>
      </c>
      <c r="R505">
        <f>VLOOKUP(C505,CU_ARS_2025_WOF_F2!$A$2:$K$673,5,FALSE)</f>
        <v>1</v>
      </c>
      <c r="S505">
        <f>VLOOKUP(C505,CU_ARS_2025_WOF_F2!$A$2:$K$673,6,FALSE)</f>
        <v>1</v>
      </c>
      <c r="T505">
        <f>VLOOKUP(C505,CU_ARS_2025_WOF_F2!$A$2:$K$673,7,FALSE)</f>
        <v>0</v>
      </c>
      <c r="U505">
        <f>VLOOKUP(C505,CU_ARS_2025_WOF_F2!$A$2:$K$673,8,FALSE)</f>
        <v>1</v>
      </c>
      <c r="V505">
        <f>VLOOKUP(C505,CU_ARS_2025_WOF_F2!$A$2:$K$673,9,FALSE)</f>
        <v>0</v>
      </c>
      <c r="W505">
        <f>VLOOKUP(C505,CU_ARS_2025_WOF_F2!$A$2:$K$673,10,FALSE)</f>
        <v>0</v>
      </c>
      <c r="X505">
        <f>VLOOKUP(C505,CU_ARS_2025_WOF_F2!$A$2:$K$673,11,FALSE)</f>
        <v>30</v>
      </c>
      <c r="Y505" t="str">
        <f>VLOOKUP(Q505,cross_pedigree!$A$2:$B$23,2,FALSE)</f>
        <v>PA8014-840/NC20-4452</v>
      </c>
    </row>
    <row r="506" spans="1:25" ht="18">
      <c r="A506" s="21" t="s">
        <v>15</v>
      </c>
      <c r="B506" s="21" t="s">
        <v>16</v>
      </c>
      <c r="C506" s="22">
        <v>753803</v>
      </c>
      <c r="D506" s="23">
        <v>6</v>
      </c>
      <c r="E506" s="24" t="str">
        <f t="shared" si="7"/>
        <v>CU_ARS_2025_WOF_F2_1_plant_24</v>
      </c>
      <c r="F506" s="21" t="s">
        <v>132</v>
      </c>
      <c r="G506" s="44">
        <v>25</v>
      </c>
      <c r="H506" s="42"/>
      <c r="I506" s="42" t="s">
        <v>1036</v>
      </c>
      <c r="J506" s="42" t="s">
        <v>1003</v>
      </c>
      <c r="K506" s="42"/>
      <c r="L506" s="42"/>
      <c r="M506" s="42"/>
      <c r="N506" t="str">
        <f>VLOOKUP(C506,CU_ARS_2025_WOF_F2!$A$2:$K$673,2,FALSE)</f>
        <v>CU_ARS_2025_WOF_F2_1_plant_24</v>
      </c>
      <c r="O506" t="str">
        <f>VLOOKUP(C506,CU_ARS_2025_WOF_F2!$A$2:$K$673,2,FALSE)</f>
        <v>CU_ARS_2025_WOF_F2_1_plant_24</v>
      </c>
      <c r="P506" t="str">
        <f>VLOOKUP(C506,CU_ARS_2025_WOF_F2!$A$2:$K$673,3,FALSE)</f>
        <v>CU_ARS_2025_WOF_F2_1</v>
      </c>
      <c r="Q506" t="str">
        <f>VLOOKUP(C506,CU_ARS_2025_WOF_F2!$A$2:$K$673,4,FALSE)</f>
        <v>CU_ARS_2025_WOF_cross_55</v>
      </c>
      <c r="R506">
        <f>VLOOKUP(C506,CU_ARS_2025_WOF_F2!$A$2:$K$673,5,FALSE)</f>
        <v>1</v>
      </c>
      <c r="S506">
        <f>VLOOKUP(C506,CU_ARS_2025_WOF_F2!$A$2:$K$673,6,FALSE)</f>
        <v>1</v>
      </c>
      <c r="T506">
        <f>VLOOKUP(C506,CU_ARS_2025_WOF_F2!$A$2:$K$673,7,FALSE)</f>
        <v>0</v>
      </c>
      <c r="U506">
        <f>VLOOKUP(C506,CU_ARS_2025_WOF_F2!$A$2:$K$673,8,FALSE)</f>
        <v>1</v>
      </c>
      <c r="V506">
        <f>VLOOKUP(C506,CU_ARS_2025_WOF_F2!$A$2:$K$673,9,FALSE)</f>
        <v>0</v>
      </c>
      <c r="W506">
        <f>VLOOKUP(C506,CU_ARS_2025_WOF_F2!$A$2:$K$673,10,FALSE)</f>
        <v>0</v>
      </c>
      <c r="X506">
        <f>VLOOKUP(C506,CU_ARS_2025_WOF_F2!$A$2:$K$673,11,FALSE)</f>
        <v>24</v>
      </c>
      <c r="Y506" t="str">
        <f>VLOOKUP(Q506,cross_pedigree!$A$2:$B$23,2,FALSE)</f>
        <v>PA8014-840/NC20-4452</v>
      </c>
    </row>
    <row r="507" spans="1:25" ht="18">
      <c r="A507" s="21" t="s">
        <v>15</v>
      </c>
      <c r="B507" s="21" t="s">
        <v>16</v>
      </c>
      <c r="C507" s="22">
        <v>753801</v>
      </c>
      <c r="D507" s="23">
        <v>6</v>
      </c>
      <c r="E507" s="24" t="str">
        <f t="shared" si="7"/>
        <v>CU_ARS_2025_WOF_F2_1_plant_22</v>
      </c>
      <c r="F507" s="21" t="s">
        <v>134</v>
      </c>
      <c r="G507" s="44">
        <v>26</v>
      </c>
      <c r="H507" s="42"/>
      <c r="I507" s="42" t="s">
        <v>1036</v>
      </c>
      <c r="J507" s="42" t="s">
        <v>1003</v>
      </c>
      <c r="K507" s="42"/>
      <c r="L507" s="42"/>
      <c r="M507" s="42"/>
      <c r="N507" t="str">
        <f>VLOOKUP(C507,CU_ARS_2025_WOF_F2!$A$2:$K$673,2,FALSE)</f>
        <v>CU_ARS_2025_WOF_F2_1_plant_22</v>
      </c>
      <c r="O507" t="str">
        <f>VLOOKUP(C507,CU_ARS_2025_WOF_F2!$A$2:$K$673,2,FALSE)</f>
        <v>CU_ARS_2025_WOF_F2_1_plant_22</v>
      </c>
      <c r="P507" t="str">
        <f>VLOOKUP(C507,CU_ARS_2025_WOF_F2!$A$2:$K$673,3,FALSE)</f>
        <v>CU_ARS_2025_WOF_F2_1</v>
      </c>
      <c r="Q507" t="str">
        <f>VLOOKUP(C507,CU_ARS_2025_WOF_F2!$A$2:$K$673,4,FALSE)</f>
        <v>CU_ARS_2025_WOF_cross_55</v>
      </c>
      <c r="R507">
        <f>VLOOKUP(C507,CU_ARS_2025_WOF_F2!$A$2:$K$673,5,FALSE)</f>
        <v>1</v>
      </c>
      <c r="S507">
        <f>VLOOKUP(C507,CU_ARS_2025_WOF_F2!$A$2:$K$673,6,FALSE)</f>
        <v>1</v>
      </c>
      <c r="T507">
        <f>VLOOKUP(C507,CU_ARS_2025_WOF_F2!$A$2:$K$673,7,FALSE)</f>
        <v>0</v>
      </c>
      <c r="U507">
        <f>VLOOKUP(C507,CU_ARS_2025_WOF_F2!$A$2:$K$673,8,FALSE)</f>
        <v>1</v>
      </c>
      <c r="V507">
        <f>VLOOKUP(C507,CU_ARS_2025_WOF_F2!$A$2:$K$673,9,FALSE)</f>
        <v>0</v>
      </c>
      <c r="W507">
        <f>VLOOKUP(C507,CU_ARS_2025_WOF_F2!$A$2:$K$673,10,FALSE)</f>
        <v>0</v>
      </c>
      <c r="X507">
        <f>VLOOKUP(C507,CU_ARS_2025_WOF_F2!$A$2:$K$673,11,FALSE)</f>
        <v>22</v>
      </c>
      <c r="Y507" t="str">
        <f>VLOOKUP(Q507,cross_pedigree!$A$2:$B$23,2,FALSE)</f>
        <v>PA8014-840/NC20-4452</v>
      </c>
    </row>
    <row r="508" spans="1:25" ht="18">
      <c r="A508" s="21" t="s">
        <v>15</v>
      </c>
      <c r="B508" s="21" t="s">
        <v>16</v>
      </c>
      <c r="C508" s="22">
        <v>753802</v>
      </c>
      <c r="D508" s="23">
        <v>6</v>
      </c>
      <c r="E508" s="24" t="str">
        <f t="shared" si="7"/>
        <v>CU_ARS_2025_WOF_F2_1_plant_23</v>
      </c>
      <c r="F508" s="21" t="s">
        <v>136</v>
      </c>
      <c r="G508" s="44">
        <v>27</v>
      </c>
      <c r="H508" s="42"/>
      <c r="I508" s="42" t="s">
        <v>1036</v>
      </c>
      <c r="J508" s="42" t="s">
        <v>1003</v>
      </c>
      <c r="K508" s="42"/>
      <c r="L508" s="42"/>
      <c r="M508" s="42"/>
      <c r="N508" t="str">
        <f>VLOOKUP(C508,CU_ARS_2025_WOF_F2!$A$2:$K$673,2,FALSE)</f>
        <v>CU_ARS_2025_WOF_F2_1_plant_23</v>
      </c>
      <c r="O508" t="str">
        <f>VLOOKUP(C508,CU_ARS_2025_WOF_F2!$A$2:$K$673,2,FALSE)</f>
        <v>CU_ARS_2025_WOF_F2_1_plant_23</v>
      </c>
      <c r="P508" t="str">
        <f>VLOOKUP(C508,CU_ARS_2025_WOF_F2!$A$2:$K$673,3,FALSE)</f>
        <v>CU_ARS_2025_WOF_F2_1</v>
      </c>
      <c r="Q508" t="str">
        <f>VLOOKUP(C508,CU_ARS_2025_WOF_F2!$A$2:$K$673,4,FALSE)</f>
        <v>CU_ARS_2025_WOF_cross_55</v>
      </c>
      <c r="R508">
        <f>VLOOKUP(C508,CU_ARS_2025_WOF_F2!$A$2:$K$673,5,FALSE)</f>
        <v>1</v>
      </c>
      <c r="S508">
        <f>VLOOKUP(C508,CU_ARS_2025_WOF_F2!$A$2:$K$673,6,FALSE)</f>
        <v>1</v>
      </c>
      <c r="T508">
        <f>VLOOKUP(C508,CU_ARS_2025_WOF_F2!$A$2:$K$673,7,FALSE)</f>
        <v>0</v>
      </c>
      <c r="U508">
        <f>VLOOKUP(C508,CU_ARS_2025_WOF_F2!$A$2:$K$673,8,FALSE)</f>
        <v>1</v>
      </c>
      <c r="V508">
        <f>VLOOKUP(C508,CU_ARS_2025_WOF_F2!$A$2:$K$673,9,FALSE)</f>
        <v>0</v>
      </c>
      <c r="W508">
        <f>VLOOKUP(C508,CU_ARS_2025_WOF_F2!$A$2:$K$673,10,FALSE)</f>
        <v>0</v>
      </c>
      <c r="X508">
        <f>VLOOKUP(C508,CU_ARS_2025_WOF_F2!$A$2:$K$673,11,FALSE)</f>
        <v>23</v>
      </c>
      <c r="Y508" t="str">
        <f>VLOOKUP(Q508,cross_pedigree!$A$2:$B$23,2,FALSE)</f>
        <v>PA8014-840/NC20-4452</v>
      </c>
    </row>
    <row r="509" spans="1:25" ht="18">
      <c r="A509" s="21" t="s">
        <v>15</v>
      </c>
      <c r="B509" s="21" t="s">
        <v>16</v>
      </c>
      <c r="C509" s="22">
        <v>753796</v>
      </c>
      <c r="D509" s="23">
        <v>6</v>
      </c>
      <c r="E509" s="24" t="str">
        <f t="shared" si="7"/>
        <v>CU_ARS_2025_WOF_F2_1_plant_17</v>
      </c>
      <c r="F509" s="21" t="s">
        <v>138</v>
      </c>
      <c r="G509" s="44">
        <v>28</v>
      </c>
      <c r="H509" s="42"/>
      <c r="I509" s="42" t="s">
        <v>1036</v>
      </c>
      <c r="J509" s="42" t="s">
        <v>1003</v>
      </c>
      <c r="K509" s="42"/>
      <c r="L509" s="42"/>
      <c r="M509" s="42"/>
      <c r="N509" t="str">
        <f>VLOOKUP(C509,CU_ARS_2025_WOF_F2!$A$2:$K$673,2,FALSE)</f>
        <v>CU_ARS_2025_WOF_F2_1_plant_17</v>
      </c>
      <c r="O509" t="str">
        <f>VLOOKUP(C509,CU_ARS_2025_WOF_F2!$A$2:$K$673,2,FALSE)</f>
        <v>CU_ARS_2025_WOF_F2_1_plant_17</v>
      </c>
      <c r="P509" t="str">
        <f>VLOOKUP(C509,CU_ARS_2025_WOF_F2!$A$2:$K$673,3,FALSE)</f>
        <v>CU_ARS_2025_WOF_F2_1</v>
      </c>
      <c r="Q509" t="str">
        <f>VLOOKUP(C509,CU_ARS_2025_WOF_F2!$A$2:$K$673,4,FALSE)</f>
        <v>CU_ARS_2025_WOF_cross_55</v>
      </c>
      <c r="R509">
        <f>VLOOKUP(C509,CU_ARS_2025_WOF_F2!$A$2:$K$673,5,FALSE)</f>
        <v>1</v>
      </c>
      <c r="S509">
        <f>VLOOKUP(C509,CU_ARS_2025_WOF_F2!$A$2:$K$673,6,FALSE)</f>
        <v>1</v>
      </c>
      <c r="T509">
        <f>VLOOKUP(C509,CU_ARS_2025_WOF_F2!$A$2:$K$673,7,FALSE)</f>
        <v>0</v>
      </c>
      <c r="U509">
        <f>VLOOKUP(C509,CU_ARS_2025_WOF_F2!$A$2:$K$673,8,FALSE)</f>
        <v>1</v>
      </c>
      <c r="V509">
        <f>VLOOKUP(C509,CU_ARS_2025_WOF_F2!$A$2:$K$673,9,FALSE)</f>
        <v>0</v>
      </c>
      <c r="W509">
        <f>VLOOKUP(C509,CU_ARS_2025_WOF_F2!$A$2:$K$673,10,FALSE)</f>
        <v>0</v>
      </c>
      <c r="X509">
        <f>VLOOKUP(C509,CU_ARS_2025_WOF_F2!$A$2:$K$673,11,FALSE)</f>
        <v>17</v>
      </c>
      <c r="Y509" t="str">
        <f>VLOOKUP(Q509,cross_pedigree!$A$2:$B$23,2,FALSE)</f>
        <v>PA8014-840/NC20-4452</v>
      </c>
    </row>
    <row r="510" spans="1:25" ht="18">
      <c r="A510" s="21" t="s">
        <v>15</v>
      </c>
      <c r="B510" s="21" t="s">
        <v>16</v>
      </c>
      <c r="C510" s="22">
        <v>753797</v>
      </c>
      <c r="D510" s="23">
        <v>6</v>
      </c>
      <c r="E510" s="24" t="str">
        <f t="shared" si="7"/>
        <v>CU_ARS_2025_WOF_F2_1_plant_18</v>
      </c>
      <c r="F510" s="21" t="s">
        <v>140</v>
      </c>
      <c r="G510" s="44">
        <v>29</v>
      </c>
      <c r="H510" s="42"/>
      <c r="I510" s="42" t="s">
        <v>1036</v>
      </c>
      <c r="J510" s="42" t="s">
        <v>1003</v>
      </c>
      <c r="K510" s="42"/>
      <c r="L510" s="42"/>
      <c r="M510" s="42"/>
      <c r="N510" t="str">
        <f>VLOOKUP(C510,CU_ARS_2025_WOF_F2!$A$2:$K$673,2,FALSE)</f>
        <v>CU_ARS_2025_WOF_F2_1_plant_18</v>
      </c>
      <c r="O510" t="str">
        <f>VLOOKUP(C510,CU_ARS_2025_WOF_F2!$A$2:$K$673,2,FALSE)</f>
        <v>CU_ARS_2025_WOF_F2_1_plant_18</v>
      </c>
      <c r="P510" t="str">
        <f>VLOOKUP(C510,CU_ARS_2025_WOF_F2!$A$2:$K$673,3,FALSE)</f>
        <v>CU_ARS_2025_WOF_F2_1</v>
      </c>
      <c r="Q510" t="str">
        <f>VLOOKUP(C510,CU_ARS_2025_WOF_F2!$A$2:$K$673,4,FALSE)</f>
        <v>CU_ARS_2025_WOF_cross_55</v>
      </c>
      <c r="R510">
        <f>VLOOKUP(C510,CU_ARS_2025_WOF_F2!$A$2:$K$673,5,FALSE)</f>
        <v>1</v>
      </c>
      <c r="S510">
        <f>VLOOKUP(C510,CU_ARS_2025_WOF_F2!$A$2:$K$673,6,FALSE)</f>
        <v>1</v>
      </c>
      <c r="T510">
        <f>VLOOKUP(C510,CU_ARS_2025_WOF_F2!$A$2:$K$673,7,FALSE)</f>
        <v>0</v>
      </c>
      <c r="U510">
        <f>VLOOKUP(C510,CU_ARS_2025_WOF_F2!$A$2:$K$673,8,FALSE)</f>
        <v>1</v>
      </c>
      <c r="V510">
        <f>VLOOKUP(C510,CU_ARS_2025_WOF_F2!$A$2:$K$673,9,FALSE)</f>
        <v>0</v>
      </c>
      <c r="W510">
        <f>VLOOKUP(C510,CU_ARS_2025_WOF_F2!$A$2:$K$673,10,FALSE)</f>
        <v>0</v>
      </c>
      <c r="X510">
        <f>VLOOKUP(C510,CU_ARS_2025_WOF_F2!$A$2:$K$673,11,FALSE)</f>
        <v>18</v>
      </c>
      <c r="Y510" t="str">
        <f>VLOOKUP(Q510,cross_pedigree!$A$2:$B$23,2,FALSE)</f>
        <v>PA8014-840/NC20-4452</v>
      </c>
    </row>
    <row r="511" spans="1:25" ht="18">
      <c r="A511" s="21" t="s">
        <v>15</v>
      </c>
      <c r="B511" s="21" t="s">
        <v>16</v>
      </c>
      <c r="C511" s="22">
        <v>753798</v>
      </c>
      <c r="D511" s="23">
        <v>6</v>
      </c>
      <c r="E511" s="24" t="str">
        <f t="shared" si="7"/>
        <v>CU_ARS_2025_WOF_F2_1_plant_19</v>
      </c>
      <c r="F511" s="21" t="s">
        <v>142</v>
      </c>
      <c r="G511" s="44">
        <v>30</v>
      </c>
      <c r="H511" s="42"/>
      <c r="I511" s="42" t="s">
        <v>1036</v>
      </c>
      <c r="J511" s="42" t="s">
        <v>1003</v>
      </c>
      <c r="K511" s="42"/>
      <c r="L511" s="42"/>
      <c r="M511" s="42"/>
      <c r="N511" t="str">
        <f>VLOOKUP(C511,CU_ARS_2025_WOF_F2!$A$2:$K$673,2,FALSE)</f>
        <v>CU_ARS_2025_WOF_F2_1_plant_19</v>
      </c>
      <c r="O511" t="str">
        <f>VLOOKUP(C511,CU_ARS_2025_WOF_F2!$A$2:$K$673,2,FALSE)</f>
        <v>CU_ARS_2025_WOF_F2_1_plant_19</v>
      </c>
      <c r="P511" t="str">
        <f>VLOOKUP(C511,CU_ARS_2025_WOF_F2!$A$2:$K$673,3,FALSE)</f>
        <v>CU_ARS_2025_WOF_F2_1</v>
      </c>
      <c r="Q511" t="str">
        <f>VLOOKUP(C511,CU_ARS_2025_WOF_F2!$A$2:$K$673,4,FALSE)</f>
        <v>CU_ARS_2025_WOF_cross_55</v>
      </c>
      <c r="R511">
        <f>VLOOKUP(C511,CU_ARS_2025_WOF_F2!$A$2:$K$673,5,FALSE)</f>
        <v>1</v>
      </c>
      <c r="S511">
        <f>VLOOKUP(C511,CU_ARS_2025_WOF_F2!$A$2:$K$673,6,FALSE)</f>
        <v>1</v>
      </c>
      <c r="T511">
        <f>VLOOKUP(C511,CU_ARS_2025_WOF_F2!$A$2:$K$673,7,FALSE)</f>
        <v>0</v>
      </c>
      <c r="U511">
        <f>VLOOKUP(C511,CU_ARS_2025_WOF_F2!$A$2:$K$673,8,FALSE)</f>
        <v>1</v>
      </c>
      <c r="V511">
        <f>VLOOKUP(C511,CU_ARS_2025_WOF_F2!$A$2:$K$673,9,FALSE)</f>
        <v>0</v>
      </c>
      <c r="W511">
        <f>VLOOKUP(C511,CU_ARS_2025_WOF_F2!$A$2:$K$673,10,FALSE)</f>
        <v>0</v>
      </c>
      <c r="X511">
        <f>VLOOKUP(C511,CU_ARS_2025_WOF_F2!$A$2:$K$673,11,FALSE)</f>
        <v>19</v>
      </c>
      <c r="Y511" t="str">
        <f>VLOOKUP(Q511,cross_pedigree!$A$2:$B$23,2,FALSE)</f>
        <v>PA8014-840/NC20-4452</v>
      </c>
    </row>
    <row r="512" spans="1:25" ht="18">
      <c r="A512" s="21" t="s">
        <v>15</v>
      </c>
      <c r="B512" s="21" t="s">
        <v>16</v>
      </c>
      <c r="C512" s="22">
        <v>753799</v>
      </c>
      <c r="D512" s="23">
        <v>6</v>
      </c>
      <c r="E512" s="24" t="str">
        <f t="shared" si="7"/>
        <v>CU_ARS_2025_WOF_F2_1_plant_20</v>
      </c>
      <c r="F512" s="21" t="s">
        <v>144</v>
      </c>
      <c r="G512" s="44">
        <v>31</v>
      </c>
      <c r="H512" s="42"/>
      <c r="I512" s="42" t="s">
        <v>1036</v>
      </c>
      <c r="J512" s="42" t="s">
        <v>1003</v>
      </c>
      <c r="K512" s="42"/>
      <c r="L512" s="42"/>
      <c r="M512" s="42"/>
      <c r="N512" t="str">
        <f>VLOOKUP(C512,CU_ARS_2025_WOF_F2!$A$2:$K$673,2,FALSE)</f>
        <v>CU_ARS_2025_WOF_F2_1_plant_20</v>
      </c>
      <c r="O512" t="str">
        <f>VLOOKUP(C512,CU_ARS_2025_WOF_F2!$A$2:$K$673,2,FALSE)</f>
        <v>CU_ARS_2025_WOF_F2_1_plant_20</v>
      </c>
      <c r="P512" t="str">
        <f>VLOOKUP(C512,CU_ARS_2025_WOF_F2!$A$2:$K$673,3,FALSE)</f>
        <v>CU_ARS_2025_WOF_F2_1</v>
      </c>
      <c r="Q512" t="str">
        <f>VLOOKUP(C512,CU_ARS_2025_WOF_F2!$A$2:$K$673,4,FALSE)</f>
        <v>CU_ARS_2025_WOF_cross_55</v>
      </c>
      <c r="R512">
        <f>VLOOKUP(C512,CU_ARS_2025_WOF_F2!$A$2:$K$673,5,FALSE)</f>
        <v>1</v>
      </c>
      <c r="S512">
        <f>VLOOKUP(C512,CU_ARS_2025_WOF_F2!$A$2:$K$673,6,FALSE)</f>
        <v>1</v>
      </c>
      <c r="T512">
        <f>VLOOKUP(C512,CU_ARS_2025_WOF_F2!$A$2:$K$673,7,FALSE)</f>
        <v>0</v>
      </c>
      <c r="U512">
        <f>VLOOKUP(C512,CU_ARS_2025_WOF_F2!$A$2:$K$673,8,FALSE)</f>
        <v>1</v>
      </c>
      <c r="V512">
        <f>VLOOKUP(C512,CU_ARS_2025_WOF_F2!$A$2:$K$673,9,FALSE)</f>
        <v>0</v>
      </c>
      <c r="W512">
        <f>VLOOKUP(C512,CU_ARS_2025_WOF_F2!$A$2:$K$673,10,FALSE)</f>
        <v>0</v>
      </c>
      <c r="X512">
        <f>VLOOKUP(C512,CU_ARS_2025_WOF_F2!$A$2:$K$673,11,FALSE)</f>
        <v>20</v>
      </c>
      <c r="Y512" t="str">
        <f>VLOOKUP(Q512,cross_pedigree!$A$2:$B$23,2,FALSE)</f>
        <v>PA8014-840/NC20-4452</v>
      </c>
    </row>
    <row r="513" spans="1:25" ht="18">
      <c r="A513" s="21" t="s">
        <v>15</v>
      </c>
      <c r="B513" s="21" t="s">
        <v>16</v>
      </c>
      <c r="C513" s="22">
        <v>753800</v>
      </c>
      <c r="D513" s="23">
        <v>6</v>
      </c>
      <c r="E513" s="24" t="str">
        <f t="shared" si="7"/>
        <v>CU_ARS_2025_WOF_F2_1_plant_21</v>
      </c>
      <c r="F513" s="21" t="s">
        <v>146</v>
      </c>
      <c r="G513" s="44">
        <v>32</v>
      </c>
      <c r="H513" s="42"/>
      <c r="I513" s="42" t="s">
        <v>1036</v>
      </c>
      <c r="J513" s="42" t="s">
        <v>1003</v>
      </c>
      <c r="K513" s="42"/>
      <c r="L513" s="42"/>
      <c r="M513" s="42"/>
      <c r="N513" t="str">
        <f>VLOOKUP(C513,CU_ARS_2025_WOF_F2!$A$2:$K$673,2,FALSE)</f>
        <v>CU_ARS_2025_WOF_F2_1_plant_21</v>
      </c>
      <c r="O513" t="str">
        <f>VLOOKUP(C513,CU_ARS_2025_WOF_F2!$A$2:$K$673,2,FALSE)</f>
        <v>CU_ARS_2025_WOF_F2_1_plant_21</v>
      </c>
      <c r="P513" t="str">
        <f>VLOOKUP(C513,CU_ARS_2025_WOF_F2!$A$2:$K$673,3,FALSE)</f>
        <v>CU_ARS_2025_WOF_F2_1</v>
      </c>
      <c r="Q513" t="str">
        <f>VLOOKUP(C513,CU_ARS_2025_WOF_F2!$A$2:$K$673,4,FALSE)</f>
        <v>CU_ARS_2025_WOF_cross_55</v>
      </c>
      <c r="R513">
        <f>VLOOKUP(C513,CU_ARS_2025_WOF_F2!$A$2:$K$673,5,FALSE)</f>
        <v>1</v>
      </c>
      <c r="S513">
        <f>VLOOKUP(C513,CU_ARS_2025_WOF_F2!$A$2:$K$673,6,FALSE)</f>
        <v>1</v>
      </c>
      <c r="T513">
        <f>VLOOKUP(C513,CU_ARS_2025_WOF_F2!$A$2:$K$673,7,FALSE)</f>
        <v>0</v>
      </c>
      <c r="U513">
        <f>VLOOKUP(C513,CU_ARS_2025_WOF_F2!$A$2:$K$673,8,FALSE)</f>
        <v>1</v>
      </c>
      <c r="V513">
        <f>VLOOKUP(C513,CU_ARS_2025_WOF_F2!$A$2:$K$673,9,FALSE)</f>
        <v>0</v>
      </c>
      <c r="W513">
        <f>VLOOKUP(C513,CU_ARS_2025_WOF_F2!$A$2:$K$673,10,FALSE)</f>
        <v>0</v>
      </c>
      <c r="X513">
        <f>VLOOKUP(C513,CU_ARS_2025_WOF_F2!$A$2:$K$673,11,FALSE)</f>
        <v>21</v>
      </c>
      <c r="Y513" t="str">
        <f>VLOOKUP(Q513,cross_pedigree!$A$2:$B$23,2,FALSE)</f>
        <v>PA8014-840/NC20-4452</v>
      </c>
    </row>
    <row r="514" spans="1:25" ht="18">
      <c r="A514" s="21" t="s">
        <v>15</v>
      </c>
      <c r="B514" s="21" t="s">
        <v>16</v>
      </c>
      <c r="C514" s="22">
        <v>753804</v>
      </c>
      <c r="D514" s="23">
        <v>6</v>
      </c>
      <c r="E514" s="24" t="str">
        <f t="shared" si="7"/>
        <v>CU_ARS_2025_WOF_F2_1_plant_25</v>
      </c>
      <c r="F514" s="21" t="s">
        <v>148</v>
      </c>
      <c r="G514" s="44">
        <v>33</v>
      </c>
      <c r="H514" s="42"/>
      <c r="I514" s="42" t="s">
        <v>1036</v>
      </c>
      <c r="J514" s="42" t="s">
        <v>1003</v>
      </c>
      <c r="K514" s="42"/>
      <c r="L514" s="42"/>
      <c r="M514" s="42"/>
      <c r="N514" t="str">
        <f>VLOOKUP(C514,CU_ARS_2025_WOF_F2!$A$2:$K$673,2,FALSE)</f>
        <v>CU_ARS_2025_WOF_F2_1_plant_25</v>
      </c>
      <c r="O514" t="str">
        <f>VLOOKUP(C514,CU_ARS_2025_WOF_F2!$A$2:$K$673,2,FALSE)</f>
        <v>CU_ARS_2025_WOF_F2_1_plant_25</v>
      </c>
      <c r="P514" t="str">
        <f>VLOOKUP(C514,CU_ARS_2025_WOF_F2!$A$2:$K$673,3,FALSE)</f>
        <v>CU_ARS_2025_WOF_F2_1</v>
      </c>
      <c r="Q514" t="str">
        <f>VLOOKUP(C514,CU_ARS_2025_WOF_F2!$A$2:$K$673,4,FALSE)</f>
        <v>CU_ARS_2025_WOF_cross_55</v>
      </c>
      <c r="R514">
        <f>VLOOKUP(C514,CU_ARS_2025_WOF_F2!$A$2:$K$673,5,FALSE)</f>
        <v>1</v>
      </c>
      <c r="S514">
        <f>VLOOKUP(C514,CU_ARS_2025_WOF_F2!$A$2:$K$673,6,FALSE)</f>
        <v>1</v>
      </c>
      <c r="T514">
        <f>VLOOKUP(C514,CU_ARS_2025_WOF_F2!$A$2:$K$673,7,FALSE)</f>
        <v>0</v>
      </c>
      <c r="U514">
        <f>VLOOKUP(C514,CU_ARS_2025_WOF_F2!$A$2:$K$673,8,FALSE)</f>
        <v>1</v>
      </c>
      <c r="V514">
        <f>VLOOKUP(C514,CU_ARS_2025_WOF_F2!$A$2:$K$673,9,FALSE)</f>
        <v>0</v>
      </c>
      <c r="W514">
        <f>VLOOKUP(C514,CU_ARS_2025_WOF_F2!$A$2:$K$673,10,FALSE)</f>
        <v>0</v>
      </c>
      <c r="X514">
        <f>VLOOKUP(C514,CU_ARS_2025_WOF_F2!$A$2:$K$673,11,FALSE)</f>
        <v>25</v>
      </c>
      <c r="Y514" t="str">
        <f>VLOOKUP(Q514,cross_pedigree!$A$2:$B$23,2,FALSE)</f>
        <v>PA8014-840/NC20-4452</v>
      </c>
    </row>
    <row r="515" spans="1:25" ht="18">
      <c r="A515" s="21" t="s">
        <v>15</v>
      </c>
      <c r="B515" s="21" t="s">
        <v>16</v>
      </c>
      <c r="C515" s="22">
        <v>753807</v>
      </c>
      <c r="D515" s="23">
        <v>6</v>
      </c>
      <c r="E515" s="24" t="str">
        <f t="shared" ref="E515:E578" si="8">O515</f>
        <v>CU_ARS_2025_WOF_F2_1_plant_28</v>
      </c>
      <c r="F515" s="21" t="s">
        <v>150</v>
      </c>
      <c r="G515" s="44">
        <v>34</v>
      </c>
      <c r="H515" s="42"/>
      <c r="I515" s="42" t="s">
        <v>1036</v>
      </c>
      <c r="J515" s="42" t="s">
        <v>1003</v>
      </c>
      <c r="K515" s="42"/>
      <c r="L515" s="42"/>
      <c r="M515" s="42"/>
      <c r="N515" t="str">
        <f>VLOOKUP(C515,CU_ARS_2025_WOF_F2!$A$2:$K$673,2,FALSE)</f>
        <v>CU_ARS_2025_WOF_F2_1_plant_28</v>
      </c>
      <c r="O515" t="str">
        <f>VLOOKUP(C515,CU_ARS_2025_WOF_F2!$A$2:$K$673,2,FALSE)</f>
        <v>CU_ARS_2025_WOF_F2_1_plant_28</v>
      </c>
      <c r="P515" t="str">
        <f>VLOOKUP(C515,CU_ARS_2025_WOF_F2!$A$2:$K$673,3,FALSE)</f>
        <v>CU_ARS_2025_WOF_F2_1</v>
      </c>
      <c r="Q515" t="str">
        <f>VLOOKUP(C515,CU_ARS_2025_WOF_F2!$A$2:$K$673,4,FALSE)</f>
        <v>CU_ARS_2025_WOF_cross_55</v>
      </c>
      <c r="R515">
        <f>VLOOKUP(C515,CU_ARS_2025_WOF_F2!$A$2:$K$673,5,FALSE)</f>
        <v>1</v>
      </c>
      <c r="S515">
        <f>VLOOKUP(C515,CU_ARS_2025_WOF_F2!$A$2:$K$673,6,FALSE)</f>
        <v>1</v>
      </c>
      <c r="T515">
        <f>VLOOKUP(C515,CU_ARS_2025_WOF_F2!$A$2:$K$673,7,FALSE)</f>
        <v>0</v>
      </c>
      <c r="U515">
        <f>VLOOKUP(C515,CU_ARS_2025_WOF_F2!$A$2:$K$673,8,FALSE)</f>
        <v>1</v>
      </c>
      <c r="V515">
        <f>VLOOKUP(C515,CU_ARS_2025_WOF_F2!$A$2:$K$673,9,FALSE)</f>
        <v>0</v>
      </c>
      <c r="W515">
        <f>VLOOKUP(C515,CU_ARS_2025_WOF_F2!$A$2:$K$673,10,FALSE)</f>
        <v>0</v>
      </c>
      <c r="X515">
        <f>VLOOKUP(C515,CU_ARS_2025_WOF_F2!$A$2:$K$673,11,FALSE)</f>
        <v>28</v>
      </c>
      <c r="Y515" t="str">
        <f>VLOOKUP(Q515,cross_pedigree!$A$2:$B$23,2,FALSE)</f>
        <v>PA8014-840/NC20-4452</v>
      </c>
    </row>
    <row r="516" spans="1:25" ht="18">
      <c r="A516" s="21" t="s">
        <v>15</v>
      </c>
      <c r="B516" s="21" t="s">
        <v>16</v>
      </c>
      <c r="C516" s="22">
        <v>753805</v>
      </c>
      <c r="D516" s="23">
        <v>6</v>
      </c>
      <c r="E516" s="24" t="str">
        <f t="shared" si="8"/>
        <v>CU_ARS_2025_WOF_F2_1_plant_26</v>
      </c>
      <c r="F516" s="21" t="s">
        <v>13</v>
      </c>
      <c r="G516" s="44">
        <v>35</v>
      </c>
      <c r="H516" s="42"/>
      <c r="I516" s="42" t="s">
        <v>1036</v>
      </c>
      <c r="J516" s="42" t="s">
        <v>1003</v>
      </c>
      <c r="K516" s="42"/>
      <c r="L516" s="42"/>
      <c r="M516" s="42"/>
      <c r="N516" t="str">
        <f>VLOOKUP(C516,CU_ARS_2025_WOF_F2!$A$2:$K$673,2,FALSE)</f>
        <v>CU_ARS_2025_WOF_F2_1_plant_26</v>
      </c>
      <c r="O516" t="str">
        <f>VLOOKUP(C516,CU_ARS_2025_WOF_F2!$A$2:$K$673,2,FALSE)</f>
        <v>CU_ARS_2025_WOF_F2_1_plant_26</v>
      </c>
      <c r="P516" t="str">
        <f>VLOOKUP(C516,CU_ARS_2025_WOF_F2!$A$2:$K$673,3,FALSE)</f>
        <v>CU_ARS_2025_WOF_F2_1</v>
      </c>
      <c r="Q516" t="str">
        <f>VLOOKUP(C516,CU_ARS_2025_WOF_F2!$A$2:$K$673,4,FALSE)</f>
        <v>CU_ARS_2025_WOF_cross_55</v>
      </c>
      <c r="R516">
        <f>VLOOKUP(C516,CU_ARS_2025_WOF_F2!$A$2:$K$673,5,FALSE)</f>
        <v>1</v>
      </c>
      <c r="S516">
        <f>VLOOKUP(C516,CU_ARS_2025_WOF_F2!$A$2:$K$673,6,FALSE)</f>
        <v>1</v>
      </c>
      <c r="T516">
        <f>VLOOKUP(C516,CU_ARS_2025_WOF_F2!$A$2:$K$673,7,FALSE)</f>
        <v>0</v>
      </c>
      <c r="U516">
        <f>VLOOKUP(C516,CU_ARS_2025_WOF_F2!$A$2:$K$673,8,FALSE)</f>
        <v>1</v>
      </c>
      <c r="V516">
        <f>VLOOKUP(C516,CU_ARS_2025_WOF_F2!$A$2:$K$673,9,FALSE)</f>
        <v>0</v>
      </c>
      <c r="W516">
        <f>VLOOKUP(C516,CU_ARS_2025_WOF_F2!$A$2:$K$673,10,FALSE)</f>
        <v>0</v>
      </c>
      <c r="X516">
        <f>VLOOKUP(C516,CU_ARS_2025_WOF_F2!$A$2:$K$673,11,FALSE)</f>
        <v>26</v>
      </c>
      <c r="Y516" t="str">
        <f>VLOOKUP(Q516,cross_pedigree!$A$2:$B$23,2,FALSE)</f>
        <v>PA8014-840/NC20-4452</v>
      </c>
    </row>
    <row r="517" spans="1:25" ht="18">
      <c r="A517" s="21" t="s">
        <v>15</v>
      </c>
      <c r="B517" s="21" t="s">
        <v>16</v>
      </c>
      <c r="C517" s="22">
        <v>753808</v>
      </c>
      <c r="D517" s="23">
        <v>6</v>
      </c>
      <c r="E517" s="24" t="str">
        <f t="shared" si="8"/>
        <v>CU_ARS_2025_WOF_F2_1_plant_29</v>
      </c>
      <c r="F517" s="21" t="s">
        <v>17</v>
      </c>
      <c r="G517" s="44">
        <v>36</v>
      </c>
      <c r="H517" s="42"/>
      <c r="I517" s="42" t="s">
        <v>1036</v>
      </c>
      <c r="J517" s="42" t="s">
        <v>1003</v>
      </c>
      <c r="K517" s="42"/>
      <c r="L517" s="42"/>
      <c r="M517" s="42"/>
      <c r="N517" t="str">
        <f>VLOOKUP(C517,CU_ARS_2025_WOF_F2!$A$2:$K$673,2,FALSE)</f>
        <v>CU_ARS_2025_WOF_F2_1_plant_29</v>
      </c>
      <c r="O517" t="str">
        <f>VLOOKUP(C517,CU_ARS_2025_WOF_F2!$A$2:$K$673,2,FALSE)</f>
        <v>CU_ARS_2025_WOF_F2_1_plant_29</v>
      </c>
      <c r="P517" t="str">
        <f>VLOOKUP(C517,CU_ARS_2025_WOF_F2!$A$2:$K$673,3,FALSE)</f>
        <v>CU_ARS_2025_WOF_F2_1</v>
      </c>
      <c r="Q517" t="str">
        <f>VLOOKUP(C517,CU_ARS_2025_WOF_F2!$A$2:$K$673,4,FALSE)</f>
        <v>CU_ARS_2025_WOF_cross_55</v>
      </c>
      <c r="R517">
        <f>VLOOKUP(C517,CU_ARS_2025_WOF_F2!$A$2:$K$673,5,FALSE)</f>
        <v>1</v>
      </c>
      <c r="S517">
        <f>VLOOKUP(C517,CU_ARS_2025_WOF_F2!$A$2:$K$673,6,FALSE)</f>
        <v>1</v>
      </c>
      <c r="T517">
        <f>VLOOKUP(C517,CU_ARS_2025_WOF_F2!$A$2:$K$673,7,FALSE)</f>
        <v>0</v>
      </c>
      <c r="U517">
        <f>VLOOKUP(C517,CU_ARS_2025_WOF_F2!$A$2:$K$673,8,FALSE)</f>
        <v>1</v>
      </c>
      <c r="V517">
        <f>VLOOKUP(C517,CU_ARS_2025_WOF_F2!$A$2:$K$673,9,FALSE)</f>
        <v>0</v>
      </c>
      <c r="W517">
        <f>VLOOKUP(C517,CU_ARS_2025_WOF_F2!$A$2:$K$673,10,FALSE)</f>
        <v>0</v>
      </c>
      <c r="X517">
        <f>VLOOKUP(C517,CU_ARS_2025_WOF_F2!$A$2:$K$673,11,FALSE)</f>
        <v>29</v>
      </c>
      <c r="Y517" t="str">
        <f>VLOOKUP(Q517,cross_pedigree!$A$2:$B$23,2,FALSE)</f>
        <v>PA8014-840/NC20-4452</v>
      </c>
    </row>
    <row r="518" spans="1:25" ht="18">
      <c r="A518" s="21" t="s">
        <v>15</v>
      </c>
      <c r="B518" s="21" t="s">
        <v>16</v>
      </c>
      <c r="C518" s="22">
        <v>753806</v>
      </c>
      <c r="D518" s="23">
        <v>6</v>
      </c>
      <c r="E518" s="24" t="str">
        <f t="shared" si="8"/>
        <v>CU_ARS_2025_WOF_F2_1_plant_27</v>
      </c>
      <c r="F518" s="21" t="s">
        <v>19</v>
      </c>
      <c r="G518" s="44">
        <v>37</v>
      </c>
      <c r="H518" s="42"/>
      <c r="I518" s="42" t="s">
        <v>1036</v>
      </c>
      <c r="J518" s="42" t="s">
        <v>1003</v>
      </c>
      <c r="K518" s="42"/>
      <c r="L518" s="42"/>
      <c r="M518" s="42"/>
      <c r="N518" t="str">
        <f>VLOOKUP(C518,CU_ARS_2025_WOF_F2!$A$2:$K$673,2,FALSE)</f>
        <v>CU_ARS_2025_WOF_F2_1_plant_27</v>
      </c>
      <c r="O518" t="str">
        <f>VLOOKUP(C518,CU_ARS_2025_WOF_F2!$A$2:$K$673,2,FALSE)</f>
        <v>CU_ARS_2025_WOF_F2_1_plant_27</v>
      </c>
      <c r="P518" t="str">
        <f>VLOOKUP(C518,CU_ARS_2025_WOF_F2!$A$2:$K$673,3,FALSE)</f>
        <v>CU_ARS_2025_WOF_F2_1</v>
      </c>
      <c r="Q518" t="str">
        <f>VLOOKUP(C518,CU_ARS_2025_WOF_F2!$A$2:$K$673,4,FALSE)</f>
        <v>CU_ARS_2025_WOF_cross_55</v>
      </c>
      <c r="R518">
        <f>VLOOKUP(C518,CU_ARS_2025_WOF_F2!$A$2:$K$673,5,FALSE)</f>
        <v>1</v>
      </c>
      <c r="S518">
        <f>VLOOKUP(C518,CU_ARS_2025_WOF_F2!$A$2:$K$673,6,FALSE)</f>
        <v>1</v>
      </c>
      <c r="T518">
        <f>VLOOKUP(C518,CU_ARS_2025_WOF_F2!$A$2:$K$673,7,FALSE)</f>
        <v>0</v>
      </c>
      <c r="U518">
        <f>VLOOKUP(C518,CU_ARS_2025_WOF_F2!$A$2:$K$673,8,FALSE)</f>
        <v>1</v>
      </c>
      <c r="V518">
        <f>VLOOKUP(C518,CU_ARS_2025_WOF_F2!$A$2:$K$673,9,FALSE)</f>
        <v>0</v>
      </c>
      <c r="W518">
        <f>VLOOKUP(C518,CU_ARS_2025_WOF_F2!$A$2:$K$673,10,FALSE)</f>
        <v>0</v>
      </c>
      <c r="X518">
        <f>VLOOKUP(C518,CU_ARS_2025_WOF_F2!$A$2:$K$673,11,FALSE)</f>
        <v>27</v>
      </c>
      <c r="Y518" t="str">
        <f>VLOOKUP(Q518,cross_pedigree!$A$2:$B$23,2,FALSE)</f>
        <v>PA8014-840/NC20-4452</v>
      </c>
    </row>
    <row r="519" spans="1:25" ht="18">
      <c r="A519" s="21" t="s">
        <v>15</v>
      </c>
      <c r="B519" s="21" t="s">
        <v>16</v>
      </c>
      <c r="C519" s="22">
        <v>753812</v>
      </c>
      <c r="D519" s="23">
        <v>6</v>
      </c>
      <c r="E519" s="24" t="str">
        <f t="shared" si="8"/>
        <v>CU_ARS_2025_WOF_F2_1_plant_33</v>
      </c>
      <c r="F519" s="21" t="s">
        <v>21</v>
      </c>
      <c r="G519" s="44">
        <v>38</v>
      </c>
      <c r="H519" s="42"/>
      <c r="I519" s="42" t="s">
        <v>1036</v>
      </c>
      <c r="J519" s="42" t="s">
        <v>1003</v>
      </c>
      <c r="K519" s="42"/>
      <c r="L519" s="42"/>
      <c r="M519" s="42"/>
      <c r="N519" t="str">
        <f>VLOOKUP(C519,CU_ARS_2025_WOF_F2!$A$2:$K$673,2,FALSE)</f>
        <v>CU_ARS_2025_WOF_F2_1_plant_33</v>
      </c>
      <c r="O519" t="str">
        <f>VLOOKUP(C519,CU_ARS_2025_WOF_F2!$A$2:$K$673,2,FALSE)</f>
        <v>CU_ARS_2025_WOF_F2_1_plant_33</v>
      </c>
      <c r="P519" t="str">
        <f>VLOOKUP(C519,CU_ARS_2025_WOF_F2!$A$2:$K$673,3,FALSE)</f>
        <v>CU_ARS_2025_WOF_F2_1</v>
      </c>
      <c r="Q519" t="str">
        <f>VLOOKUP(C519,CU_ARS_2025_WOF_F2!$A$2:$K$673,4,FALSE)</f>
        <v>CU_ARS_2025_WOF_cross_55</v>
      </c>
      <c r="R519">
        <f>VLOOKUP(C519,CU_ARS_2025_WOF_F2!$A$2:$K$673,5,FALSE)</f>
        <v>1</v>
      </c>
      <c r="S519">
        <f>VLOOKUP(C519,CU_ARS_2025_WOF_F2!$A$2:$K$673,6,FALSE)</f>
        <v>1</v>
      </c>
      <c r="T519">
        <f>VLOOKUP(C519,CU_ARS_2025_WOF_F2!$A$2:$K$673,7,FALSE)</f>
        <v>0</v>
      </c>
      <c r="U519">
        <f>VLOOKUP(C519,CU_ARS_2025_WOF_F2!$A$2:$K$673,8,FALSE)</f>
        <v>1</v>
      </c>
      <c r="V519">
        <f>VLOOKUP(C519,CU_ARS_2025_WOF_F2!$A$2:$K$673,9,FALSE)</f>
        <v>0</v>
      </c>
      <c r="W519">
        <f>VLOOKUP(C519,CU_ARS_2025_WOF_F2!$A$2:$K$673,10,FALSE)</f>
        <v>0</v>
      </c>
      <c r="X519">
        <f>VLOOKUP(C519,CU_ARS_2025_WOF_F2!$A$2:$K$673,11,FALSE)</f>
        <v>33</v>
      </c>
      <c r="Y519" t="str">
        <f>VLOOKUP(Q519,cross_pedigree!$A$2:$B$23,2,FALSE)</f>
        <v>PA8014-840/NC20-4452</v>
      </c>
    </row>
    <row r="520" spans="1:25" ht="18">
      <c r="A520" s="21" t="s">
        <v>15</v>
      </c>
      <c r="B520" s="21" t="s">
        <v>16</v>
      </c>
      <c r="C520" s="22">
        <v>753813</v>
      </c>
      <c r="D520" s="23">
        <v>6</v>
      </c>
      <c r="E520" s="24" t="str">
        <f t="shared" si="8"/>
        <v>CU_ARS_2025_WOF_F2_1_plant_34</v>
      </c>
      <c r="F520" s="21" t="s">
        <v>152</v>
      </c>
      <c r="G520" s="44">
        <v>39</v>
      </c>
      <c r="H520" s="42"/>
      <c r="I520" s="42" t="s">
        <v>1036</v>
      </c>
      <c r="J520" s="42" t="s">
        <v>1003</v>
      </c>
      <c r="K520" s="42"/>
      <c r="L520" s="42"/>
      <c r="M520" s="42"/>
      <c r="N520" t="str">
        <f>VLOOKUP(C520,CU_ARS_2025_WOF_F2!$A$2:$K$673,2,FALSE)</f>
        <v>CU_ARS_2025_WOF_F2_1_plant_34</v>
      </c>
      <c r="O520" t="str">
        <f>VLOOKUP(C520,CU_ARS_2025_WOF_F2!$A$2:$K$673,2,FALSE)</f>
        <v>CU_ARS_2025_WOF_F2_1_plant_34</v>
      </c>
      <c r="P520" t="str">
        <f>VLOOKUP(C520,CU_ARS_2025_WOF_F2!$A$2:$K$673,3,FALSE)</f>
        <v>CU_ARS_2025_WOF_F2_1</v>
      </c>
      <c r="Q520" t="str">
        <f>VLOOKUP(C520,CU_ARS_2025_WOF_F2!$A$2:$K$673,4,FALSE)</f>
        <v>CU_ARS_2025_WOF_cross_55</v>
      </c>
      <c r="R520">
        <f>VLOOKUP(C520,CU_ARS_2025_WOF_F2!$A$2:$K$673,5,FALSE)</f>
        <v>1</v>
      </c>
      <c r="S520">
        <f>VLOOKUP(C520,CU_ARS_2025_WOF_F2!$A$2:$K$673,6,FALSE)</f>
        <v>1</v>
      </c>
      <c r="T520">
        <f>VLOOKUP(C520,CU_ARS_2025_WOF_F2!$A$2:$K$673,7,FALSE)</f>
        <v>0</v>
      </c>
      <c r="U520">
        <f>VLOOKUP(C520,CU_ARS_2025_WOF_F2!$A$2:$K$673,8,FALSE)</f>
        <v>1</v>
      </c>
      <c r="V520">
        <f>VLOOKUP(C520,CU_ARS_2025_WOF_F2!$A$2:$K$673,9,FALSE)</f>
        <v>0</v>
      </c>
      <c r="W520">
        <f>VLOOKUP(C520,CU_ARS_2025_WOF_F2!$A$2:$K$673,10,FALSE)</f>
        <v>0</v>
      </c>
      <c r="X520">
        <f>VLOOKUP(C520,CU_ARS_2025_WOF_F2!$A$2:$K$673,11,FALSE)</f>
        <v>34</v>
      </c>
      <c r="Y520" t="str">
        <f>VLOOKUP(Q520,cross_pedigree!$A$2:$B$23,2,FALSE)</f>
        <v>PA8014-840/NC20-4452</v>
      </c>
    </row>
    <row r="521" spans="1:25" ht="18">
      <c r="A521" s="21" t="s">
        <v>15</v>
      </c>
      <c r="B521" s="21" t="s">
        <v>16</v>
      </c>
      <c r="C521" s="22">
        <v>753814</v>
      </c>
      <c r="D521" s="23">
        <v>6</v>
      </c>
      <c r="E521" s="24" t="str">
        <f t="shared" si="8"/>
        <v>CU_ARS_2025_WOF_F2_1_plant_35</v>
      </c>
      <c r="F521" s="21" t="s">
        <v>154</v>
      </c>
      <c r="G521" s="44">
        <v>40</v>
      </c>
      <c r="H521" s="42"/>
      <c r="I521" s="42" t="s">
        <v>1036</v>
      </c>
      <c r="J521" s="42" t="s">
        <v>1003</v>
      </c>
      <c r="K521" s="42"/>
      <c r="L521" s="42"/>
      <c r="M521" s="42"/>
      <c r="N521" t="str">
        <f>VLOOKUP(C521,CU_ARS_2025_WOF_F2!$A$2:$K$673,2,FALSE)</f>
        <v>CU_ARS_2025_WOF_F2_1_plant_35</v>
      </c>
      <c r="O521" t="str">
        <f>VLOOKUP(C521,CU_ARS_2025_WOF_F2!$A$2:$K$673,2,FALSE)</f>
        <v>CU_ARS_2025_WOF_F2_1_plant_35</v>
      </c>
      <c r="P521" t="str">
        <f>VLOOKUP(C521,CU_ARS_2025_WOF_F2!$A$2:$K$673,3,FALSE)</f>
        <v>CU_ARS_2025_WOF_F2_1</v>
      </c>
      <c r="Q521" t="str">
        <f>VLOOKUP(C521,CU_ARS_2025_WOF_F2!$A$2:$K$673,4,FALSE)</f>
        <v>CU_ARS_2025_WOF_cross_55</v>
      </c>
      <c r="R521">
        <f>VLOOKUP(C521,CU_ARS_2025_WOF_F2!$A$2:$K$673,5,FALSE)</f>
        <v>1</v>
      </c>
      <c r="S521">
        <f>VLOOKUP(C521,CU_ARS_2025_WOF_F2!$A$2:$K$673,6,FALSE)</f>
        <v>1</v>
      </c>
      <c r="T521">
        <f>VLOOKUP(C521,CU_ARS_2025_WOF_F2!$A$2:$K$673,7,FALSE)</f>
        <v>0</v>
      </c>
      <c r="U521">
        <f>VLOOKUP(C521,CU_ARS_2025_WOF_F2!$A$2:$K$673,8,FALSE)</f>
        <v>1</v>
      </c>
      <c r="V521">
        <f>VLOOKUP(C521,CU_ARS_2025_WOF_F2!$A$2:$K$673,9,FALSE)</f>
        <v>0</v>
      </c>
      <c r="W521">
        <f>VLOOKUP(C521,CU_ARS_2025_WOF_F2!$A$2:$K$673,10,FALSE)</f>
        <v>0</v>
      </c>
      <c r="X521">
        <f>VLOOKUP(C521,CU_ARS_2025_WOF_F2!$A$2:$K$673,11,FALSE)</f>
        <v>35</v>
      </c>
      <c r="Y521" t="str">
        <f>VLOOKUP(Q521,cross_pedigree!$A$2:$B$23,2,FALSE)</f>
        <v>PA8014-840/NC20-4452</v>
      </c>
    </row>
    <row r="522" spans="1:25" ht="18">
      <c r="A522" s="21" t="s">
        <v>15</v>
      </c>
      <c r="B522" s="21" t="s">
        <v>16</v>
      </c>
      <c r="C522" s="22">
        <v>753815</v>
      </c>
      <c r="D522" s="23">
        <v>6</v>
      </c>
      <c r="E522" s="24" t="str">
        <f t="shared" si="8"/>
        <v>CU_ARS_2025_WOF_F2_1_plant_36</v>
      </c>
      <c r="F522" s="21" t="s">
        <v>156</v>
      </c>
      <c r="G522" s="44">
        <v>41</v>
      </c>
      <c r="H522" s="42"/>
      <c r="I522" s="42" t="s">
        <v>1036</v>
      </c>
      <c r="J522" s="42" t="s">
        <v>1003</v>
      </c>
      <c r="K522" s="42"/>
      <c r="L522" s="42"/>
      <c r="M522" s="42"/>
      <c r="N522" t="str">
        <f>VLOOKUP(C522,CU_ARS_2025_WOF_F2!$A$2:$K$673,2,FALSE)</f>
        <v>CU_ARS_2025_WOF_F2_1_plant_36</v>
      </c>
      <c r="O522" t="str">
        <f>VLOOKUP(C522,CU_ARS_2025_WOF_F2!$A$2:$K$673,2,FALSE)</f>
        <v>CU_ARS_2025_WOF_F2_1_plant_36</v>
      </c>
      <c r="P522" t="str">
        <f>VLOOKUP(C522,CU_ARS_2025_WOF_F2!$A$2:$K$673,3,FALSE)</f>
        <v>CU_ARS_2025_WOF_F2_1</v>
      </c>
      <c r="Q522" t="str">
        <f>VLOOKUP(C522,CU_ARS_2025_WOF_F2!$A$2:$K$673,4,FALSE)</f>
        <v>CU_ARS_2025_WOF_cross_55</v>
      </c>
      <c r="R522">
        <f>VLOOKUP(C522,CU_ARS_2025_WOF_F2!$A$2:$K$673,5,FALSE)</f>
        <v>1</v>
      </c>
      <c r="S522">
        <f>VLOOKUP(C522,CU_ARS_2025_WOF_F2!$A$2:$K$673,6,FALSE)</f>
        <v>1</v>
      </c>
      <c r="T522">
        <f>VLOOKUP(C522,CU_ARS_2025_WOF_F2!$A$2:$K$673,7,FALSE)</f>
        <v>0</v>
      </c>
      <c r="U522">
        <f>VLOOKUP(C522,CU_ARS_2025_WOF_F2!$A$2:$K$673,8,FALSE)</f>
        <v>1</v>
      </c>
      <c r="V522">
        <f>VLOOKUP(C522,CU_ARS_2025_WOF_F2!$A$2:$K$673,9,FALSE)</f>
        <v>0</v>
      </c>
      <c r="W522">
        <f>VLOOKUP(C522,CU_ARS_2025_WOF_F2!$A$2:$K$673,10,FALSE)</f>
        <v>0</v>
      </c>
      <c r="X522">
        <f>VLOOKUP(C522,CU_ARS_2025_WOF_F2!$A$2:$K$673,11,FALSE)</f>
        <v>36</v>
      </c>
      <c r="Y522" t="str">
        <f>VLOOKUP(Q522,cross_pedigree!$A$2:$B$23,2,FALSE)</f>
        <v>PA8014-840/NC20-4452</v>
      </c>
    </row>
    <row r="523" spans="1:25" ht="18">
      <c r="A523" s="21" t="s">
        <v>15</v>
      </c>
      <c r="B523" s="21" t="s">
        <v>16</v>
      </c>
      <c r="C523" s="22">
        <v>753816</v>
      </c>
      <c r="D523" s="23">
        <v>6</v>
      </c>
      <c r="E523" s="24" t="str">
        <f t="shared" si="8"/>
        <v>CU_ARS_2025_WOF_F2_1_plant_37</v>
      </c>
      <c r="F523" s="21" t="s">
        <v>158</v>
      </c>
      <c r="G523" s="44">
        <v>42</v>
      </c>
      <c r="H523" s="42"/>
      <c r="I523" s="42" t="s">
        <v>1036</v>
      </c>
      <c r="J523" s="42" t="s">
        <v>1003</v>
      </c>
      <c r="K523" s="42"/>
      <c r="L523" s="42"/>
      <c r="M523" s="42"/>
      <c r="N523" t="str">
        <f>VLOOKUP(C523,CU_ARS_2025_WOF_F2!$A$2:$K$673,2,FALSE)</f>
        <v>CU_ARS_2025_WOF_F2_1_plant_37</v>
      </c>
      <c r="O523" t="str">
        <f>VLOOKUP(C523,CU_ARS_2025_WOF_F2!$A$2:$K$673,2,FALSE)</f>
        <v>CU_ARS_2025_WOF_F2_1_plant_37</v>
      </c>
      <c r="P523" t="str">
        <f>VLOOKUP(C523,CU_ARS_2025_WOF_F2!$A$2:$K$673,3,FALSE)</f>
        <v>CU_ARS_2025_WOF_F2_1</v>
      </c>
      <c r="Q523" t="str">
        <f>VLOOKUP(C523,CU_ARS_2025_WOF_F2!$A$2:$K$673,4,FALSE)</f>
        <v>CU_ARS_2025_WOF_cross_55</v>
      </c>
      <c r="R523">
        <f>VLOOKUP(C523,CU_ARS_2025_WOF_F2!$A$2:$K$673,5,FALSE)</f>
        <v>1</v>
      </c>
      <c r="S523">
        <f>VLOOKUP(C523,CU_ARS_2025_WOF_F2!$A$2:$K$673,6,FALSE)</f>
        <v>1</v>
      </c>
      <c r="T523">
        <f>VLOOKUP(C523,CU_ARS_2025_WOF_F2!$A$2:$K$673,7,FALSE)</f>
        <v>0</v>
      </c>
      <c r="U523">
        <f>VLOOKUP(C523,CU_ARS_2025_WOF_F2!$A$2:$K$673,8,FALSE)</f>
        <v>1</v>
      </c>
      <c r="V523">
        <f>VLOOKUP(C523,CU_ARS_2025_WOF_F2!$A$2:$K$673,9,FALSE)</f>
        <v>0</v>
      </c>
      <c r="W523">
        <f>VLOOKUP(C523,CU_ARS_2025_WOF_F2!$A$2:$K$673,10,FALSE)</f>
        <v>0</v>
      </c>
      <c r="X523">
        <f>VLOOKUP(C523,CU_ARS_2025_WOF_F2!$A$2:$K$673,11,FALSE)</f>
        <v>37</v>
      </c>
      <c r="Y523" t="str">
        <f>VLOOKUP(Q523,cross_pedigree!$A$2:$B$23,2,FALSE)</f>
        <v>PA8014-840/NC20-4452</v>
      </c>
    </row>
    <row r="524" spans="1:25" ht="18">
      <c r="A524" s="21" t="s">
        <v>15</v>
      </c>
      <c r="B524" s="21" t="s">
        <v>16</v>
      </c>
      <c r="C524" s="22">
        <v>753835</v>
      </c>
      <c r="D524" s="23">
        <v>6</v>
      </c>
      <c r="E524" s="24" t="str">
        <f t="shared" si="8"/>
        <v>CU_ARS_2025_WOF_F2_1_plant_56</v>
      </c>
      <c r="F524" s="21" t="s">
        <v>160</v>
      </c>
      <c r="G524" s="44">
        <v>43</v>
      </c>
      <c r="H524" s="42"/>
      <c r="I524" s="42" t="s">
        <v>1036</v>
      </c>
      <c r="J524" s="42" t="s">
        <v>1003</v>
      </c>
      <c r="K524" s="42"/>
      <c r="L524" s="42"/>
      <c r="M524" s="42"/>
      <c r="N524" t="str">
        <f>VLOOKUP(C524,CU_ARS_2025_WOF_F2!$A$2:$K$673,2,FALSE)</f>
        <v>CU_ARS_2025_WOF_F2_1_plant_56</v>
      </c>
      <c r="O524" t="str">
        <f>VLOOKUP(C524,CU_ARS_2025_WOF_F2!$A$2:$K$673,2,FALSE)</f>
        <v>CU_ARS_2025_WOF_F2_1_plant_56</v>
      </c>
      <c r="P524" t="str">
        <f>VLOOKUP(C524,CU_ARS_2025_WOF_F2!$A$2:$K$673,3,FALSE)</f>
        <v>CU_ARS_2025_WOF_F2_1</v>
      </c>
      <c r="Q524" t="str">
        <f>VLOOKUP(C524,CU_ARS_2025_WOF_F2!$A$2:$K$673,4,FALSE)</f>
        <v>CU_ARS_2025_WOF_cross_55</v>
      </c>
      <c r="R524">
        <f>VLOOKUP(C524,CU_ARS_2025_WOF_F2!$A$2:$K$673,5,FALSE)</f>
        <v>1</v>
      </c>
      <c r="S524">
        <f>VLOOKUP(C524,CU_ARS_2025_WOF_F2!$A$2:$K$673,6,FALSE)</f>
        <v>1</v>
      </c>
      <c r="T524">
        <f>VLOOKUP(C524,CU_ARS_2025_WOF_F2!$A$2:$K$673,7,FALSE)</f>
        <v>0</v>
      </c>
      <c r="U524">
        <f>VLOOKUP(C524,CU_ARS_2025_WOF_F2!$A$2:$K$673,8,FALSE)</f>
        <v>1</v>
      </c>
      <c r="V524">
        <f>VLOOKUP(C524,CU_ARS_2025_WOF_F2!$A$2:$K$673,9,FALSE)</f>
        <v>0</v>
      </c>
      <c r="W524">
        <f>VLOOKUP(C524,CU_ARS_2025_WOF_F2!$A$2:$K$673,10,FALSE)</f>
        <v>0</v>
      </c>
      <c r="X524">
        <f>VLOOKUP(C524,CU_ARS_2025_WOF_F2!$A$2:$K$673,11,FALSE)</f>
        <v>56</v>
      </c>
      <c r="Y524" t="str">
        <f>VLOOKUP(Q524,cross_pedigree!$A$2:$B$23,2,FALSE)</f>
        <v>PA8014-840/NC20-4452</v>
      </c>
    </row>
    <row r="525" spans="1:25" ht="18">
      <c r="A525" s="21" t="s">
        <v>15</v>
      </c>
      <c r="B525" s="21" t="s">
        <v>16</v>
      </c>
      <c r="C525" s="22">
        <v>753834</v>
      </c>
      <c r="D525" s="23">
        <v>6</v>
      </c>
      <c r="E525" s="24" t="str">
        <f t="shared" si="8"/>
        <v>CU_ARS_2025_WOF_F2_1_plant_55</v>
      </c>
      <c r="F525" s="21" t="s">
        <v>23</v>
      </c>
      <c r="G525" s="44">
        <v>44</v>
      </c>
      <c r="H525" s="42"/>
      <c r="I525" s="42" t="s">
        <v>1036</v>
      </c>
      <c r="J525" s="42" t="s">
        <v>1003</v>
      </c>
      <c r="K525" s="42"/>
      <c r="L525" s="42"/>
      <c r="M525" s="42"/>
      <c r="N525" t="str">
        <f>VLOOKUP(C525,CU_ARS_2025_WOF_F2!$A$2:$K$673,2,FALSE)</f>
        <v>CU_ARS_2025_WOF_F2_1_plant_55</v>
      </c>
      <c r="O525" t="str">
        <f>VLOOKUP(C525,CU_ARS_2025_WOF_F2!$A$2:$K$673,2,FALSE)</f>
        <v>CU_ARS_2025_WOF_F2_1_plant_55</v>
      </c>
      <c r="P525" t="str">
        <f>VLOOKUP(C525,CU_ARS_2025_WOF_F2!$A$2:$K$673,3,FALSE)</f>
        <v>CU_ARS_2025_WOF_F2_1</v>
      </c>
      <c r="Q525" t="str">
        <f>VLOOKUP(C525,CU_ARS_2025_WOF_F2!$A$2:$K$673,4,FALSE)</f>
        <v>CU_ARS_2025_WOF_cross_55</v>
      </c>
      <c r="R525">
        <f>VLOOKUP(C525,CU_ARS_2025_WOF_F2!$A$2:$K$673,5,FALSE)</f>
        <v>1</v>
      </c>
      <c r="S525">
        <f>VLOOKUP(C525,CU_ARS_2025_WOF_F2!$A$2:$K$673,6,FALSE)</f>
        <v>1</v>
      </c>
      <c r="T525">
        <f>VLOOKUP(C525,CU_ARS_2025_WOF_F2!$A$2:$K$673,7,FALSE)</f>
        <v>0</v>
      </c>
      <c r="U525">
        <f>VLOOKUP(C525,CU_ARS_2025_WOF_F2!$A$2:$K$673,8,FALSE)</f>
        <v>1</v>
      </c>
      <c r="V525">
        <f>VLOOKUP(C525,CU_ARS_2025_WOF_F2!$A$2:$K$673,9,FALSE)</f>
        <v>0</v>
      </c>
      <c r="W525">
        <f>VLOOKUP(C525,CU_ARS_2025_WOF_F2!$A$2:$K$673,10,FALSE)</f>
        <v>0</v>
      </c>
      <c r="X525">
        <f>VLOOKUP(C525,CU_ARS_2025_WOF_F2!$A$2:$K$673,11,FALSE)</f>
        <v>55</v>
      </c>
      <c r="Y525" t="str">
        <f>VLOOKUP(Q525,cross_pedigree!$A$2:$B$23,2,FALSE)</f>
        <v>PA8014-840/NC20-4452</v>
      </c>
    </row>
    <row r="526" spans="1:25" ht="18">
      <c r="A526" s="21" t="s">
        <v>15</v>
      </c>
      <c r="B526" s="21" t="s">
        <v>16</v>
      </c>
      <c r="C526" s="22">
        <v>753833</v>
      </c>
      <c r="D526" s="23">
        <v>6</v>
      </c>
      <c r="E526" s="24" t="str">
        <f t="shared" si="8"/>
        <v>CU_ARS_2025_WOF_F2_1_plant_54</v>
      </c>
      <c r="F526" s="21" t="s">
        <v>25</v>
      </c>
      <c r="G526" s="44">
        <v>45</v>
      </c>
      <c r="H526" s="42"/>
      <c r="I526" s="42" t="s">
        <v>1036</v>
      </c>
      <c r="J526" s="42" t="s">
        <v>1003</v>
      </c>
      <c r="K526" s="42"/>
      <c r="L526" s="42"/>
      <c r="M526" s="42"/>
      <c r="N526" t="str">
        <f>VLOOKUP(C526,CU_ARS_2025_WOF_F2!$A$2:$K$673,2,FALSE)</f>
        <v>CU_ARS_2025_WOF_F2_1_plant_54</v>
      </c>
      <c r="O526" t="str">
        <f>VLOOKUP(C526,CU_ARS_2025_WOF_F2!$A$2:$K$673,2,FALSE)</f>
        <v>CU_ARS_2025_WOF_F2_1_plant_54</v>
      </c>
      <c r="P526" t="str">
        <f>VLOOKUP(C526,CU_ARS_2025_WOF_F2!$A$2:$K$673,3,FALSE)</f>
        <v>CU_ARS_2025_WOF_F2_1</v>
      </c>
      <c r="Q526" t="str">
        <f>VLOOKUP(C526,CU_ARS_2025_WOF_F2!$A$2:$K$673,4,FALSE)</f>
        <v>CU_ARS_2025_WOF_cross_55</v>
      </c>
      <c r="R526">
        <f>VLOOKUP(C526,CU_ARS_2025_WOF_F2!$A$2:$K$673,5,FALSE)</f>
        <v>1</v>
      </c>
      <c r="S526">
        <f>VLOOKUP(C526,CU_ARS_2025_WOF_F2!$A$2:$K$673,6,FALSE)</f>
        <v>1</v>
      </c>
      <c r="T526">
        <f>VLOOKUP(C526,CU_ARS_2025_WOF_F2!$A$2:$K$673,7,FALSE)</f>
        <v>0</v>
      </c>
      <c r="U526">
        <f>VLOOKUP(C526,CU_ARS_2025_WOF_F2!$A$2:$K$673,8,FALSE)</f>
        <v>1</v>
      </c>
      <c r="V526">
        <f>VLOOKUP(C526,CU_ARS_2025_WOF_F2!$A$2:$K$673,9,FALSE)</f>
        <v>0</v>
      </c>
      <c r="W526">
        <f>VLOOKUP(C526,CU_ARS_2025_WOF_F2!$A$2:$K$673,10,FALSE)</f>
        <v>0</v>
      </c>
      <c r="X526">
        <f>VLOOKUP(C526,CU_ARS_2025_WOF_F2!$A$2:$K$673,11,FALSE)</f>
        <v>54</v>
      </c>
      <c r="Y526" t="str">
        <f>VLOOKUP(Q526,cross_pedigree!$A$2:$B$23,2,FALSE)</f>
        <v>PA8014-840/NC20-4452</v>
      </c>
    </row>
    <row r="527" spans="1:25" ht="18">
      <c r="A527" s="21" t="s">
        <v>15</v>
      </c>
      <c r="B527" s="21" t="s">
        <v>16</v>
      </c>
      <c r="C527" s="22">
        <v>753817</v>
      </c>
      <c r="D527" s="23">
        <v>6</v>
      </c>
      <c r="E527" s="24" t="str">
        <f t="shared" si="8"/>
        <v>CU_ARS_2025_WOF_F2_1_plant_38</v>
      </c>
      <c r="F527" s="21" t="s">
        <v>27</v>
      </c>
      <c r="G527" s="44">
        <v>46</v>
      </c>
      <c r="H527" s="42"/>
      <c r="I527" s="42" t="s">
        <v>1036</v>
      </c>
      <c r="J527" s="42" t="s">
        <v>1003</v>
      </c>
      <c r="K527" s="42"/>
      <c r="L527" s="42"/>
      <c r="M527" s="42"/>
      <c r="N527" t="str">
        <f>VLOOKUP(C527,CU_ARS_2025_WOF_F2!$A$2:$K$673,2,FALSE)</f>
        <v>CU_ARS_2025_WOF_F2_1_plant_38</v>
      </c>
      <c r="O527" t="str">
        <f>VLOOKUP(C527,CU_ARS_2025_WOF_F2!$A$2:$K$673,2,FALSE)</f>
        <v>CU_ARS_2025_WOF_F2_1_plant_38</v>
      </c>
      <c r="P527" t="str">
        <f>VLOOKUP(C527,CU_ARS_2025_WOF_F2!$A$2:$K$673,3,FALSE)</f>
        <v>CU_ARS_2025_WOF_F2_1</v>
      </c>
      <c r="Q527" t="str">
        <f>VLOOKUP(C527,CU_ARS_2025_WOF_F2!$A$2:$K$673,4,FALSE)</f>
        <v>CU_ARS_2025_WOF_cross_55</v>
      </c>
      <c r="R527">
        <f>VLOOKUP(C527,CU_ARS_2025_WOF_F2!$A$2:$K$673,5,FALSE)</f>
        <v>1</v>
      </c>
      <c r="S527">
        <f>VLOOKUP(C527,CU_ARS_2025_WOF_F2!$A$2:$K$673,6,FALSE)</f>
        <v>1</v>
      </c>
      <c r="T527">
        <f>VLOOKUP(C527,CU_ARS_2025_WOF_F2!$A$2:$K$673,7,FALSE)</f>
        <v>0</v>
      </c>
      <c r="U527">
        <f>VLOOKUP(C527,CU_ARS_2025_WOF_F2!$A$2:$K$673,8,FALSE)</f>
        <v>1</v>
      </c>
      <c r="V527">
        <f>VLOOKUP(C527,CU_ARS_2025_WOF_F2!$A$2:$K$673,9,FALSE)</f>
        <v>0</v>
      </c>
      <c r="W527">
        <f>VLOOKUP(C527,CU_ARS_2025_WOF_F2!$A$2:$K$673,10,FALSE)</f>
        <v>0</v>
      </c>
      <c r="X527">
        <f>VLOOKUP(C527,CU_ARS_2025_WOF_F2!$A$2:$K$673,11,FALSE)</f>
        <v>38</v>
      </c>
      <c r="Y527" t="str">
        <f>VLOOKUP(Q527,cross_pedigree!$A$2:$B$23,2,FALSE)</f>
        <v>PA8014-840/NC20-4452</v>
      </c>
    </row>
    <row r="528" spans="1:25" ht="18">
      <c r="A528" s="21" t="s">
        <v>15</v>
      </c>
      <c r="B528" s="21" t="s">
        <v>16</v>
      </c>
      <c r="C528" s="22">
        <v>753818</v>
      </c>
      <c r="D528" s="23">
        <v>6</v>
      </c>
      <c r="E528" s="24" t="str">
        <f t="shared" si="8"/>
        <v>CU_ARS_2025_WOF_F2_1_plant_39</v>
      </c>
      <c r="F528" s="21" t="s">
        <v>162</v>
      </c>
      <c r="G528" s="44">
        <v>47</v>
      </c>
      <c r="H528" s="42"/>
      <c r="I528" s="42" t="s">
        <v>1036</v>
      </c>
      <c r="J528" s="42" t="s">
        <v>1003</v>
      </c>
      <c r="K528" s="42"/>
      <c r="L528" s="42"/>
      <c r="M528" s="42"/>
      <c r="N528" t="str">
        <f>VLOOKUP(C528,CU_ARS_2025_WOF_F2!$A$2:$K$673,2,FALSE)</f>
        <v>CU_ARS_2025_WOF_F2_1_plant_39</v>
      </c>
      <c r="O528" t="str">
        <f>VLOOKUP(C528,CU_ARS_2025_WOF_F2!$A$2:$K$673,2,FALSE)</f>
        <v>CU_ARS_2025_WOF_F2_1_plant_39</v>
      </c>
      <c r="P528" t="str">
        <f>VLOOKUP(C528,CU_ARS_2025_WOF_F2!$A$2:$K$673,3,FALSE)</f>
        <v>CU_ARS_2025_WOF_F2_1</v>
      </c>
      <c r="Q528" t="str">
        <f>VLOOKUP(C528,CU_ARS_2025_WOF_F2!$A$2:$K$673,4,FALSE)</f>
        <v>CU_ARS_2025_WOF_cross_55</v>
      </c>
      <c r="R528">
        <f>VLOOKUP(C528,CU_ARS_2025_WOF_F2!$A$2:$K$673,5,FALSE)</f>
        <v>1</v>
      </c>
      <c r="S528">
        <f>VLOOKUP(C528,CU_ARS_2025_WOF_F2!$A$2:$K$673,6,FALSE)</f>
        <v>1</v>
      </c>
      <c r="T528">
        <f>VLOOKUP(C528,CU_ARS_2025_WOF_F2!$A$2:$K$673,7,FALSE)</f>
        <v>0</v>
      </c>
      <c r="U528">
        <f>VLOOKUP(C528,CU_ARS_2025_WOF_F2!$A$2:$K$673,8,FALSE)</f>
        <v>1</v>
      </c>
      <c r="V528">
        <f>VLOOKUP(C528,CU_ARS_2025_WOF_F2!$A$2:$K$673,9,FALSE)</f>
        <v>0</v>
      </c>
      <c r="W528">
        <f>VLOOKUP(C528,CU_ARS_2025_WOF_F2!$A$2:$K$673,10,FALSE)</f>
        <v>0</v>
      </c>
      <c r="X528">
        <f>VLOOKUP(C528,CU_ARS_2025_WOF_F2!$A$2:$K$673,11,FALSE)</f>
        <v>39</v>
      </c>
      <c r="Y528" t="str">
        <f>VLOOKUP(Q528,cross_pedigree!$A$2:$B$23,2,FALSE)</f>
        <v>PA8014-840/NC20-4452</v>
      </c>
    </row>
    <row r="529" spans="1:25" ht="18">
      <c r="A529" s="21" t="s">
        <v>15</v>
      </c>
      <c r="B529" s="21" t="s">
        <v>16</v>
      </c>
      <c r="C529" s="22">
        <v>753819</v>
      </c>
      <c r="D529" s="23">
        <v>6</v>
      </c>
      <c r="E529" s="24" t="str">
        <f t="shared" si="8"/>
        <v>CU_ARS_2025_WOF_F2_1_plant_40</v>
      </c>
      <c r="F529" s="21" t="s">
        <v>164</v>
      </c>
      <c r="G529" s="44">
        <v>48</v>
      </c>
      <c r="H529" s="42"/>
      <c r="I529" s="42" t="s">
        <v>1036</v>
      </c>
      <c r="J529" s="42" t="s">
        <v>1003</v>
      </c>
      <c r="K529" s="42"/>
      <c r="L529" s="42"/>
      <c r="M529" s="42"/>
      <c r="N529" t="str">
        <f>VLOOKUP(C529,CU_ARS_2025_WOF_F2!$A$2:$K$673,2,FALSE)</f>
        <v>CU_ARS_2025_WOF_F2_1_plant_40</v>
      </c>
      <c r="O529" t="str">
        <f>VLOOKUP(C529,CU_ARS_2025_WOF_F2!$A$2:$K$673,2,FALSE)</f>
        <v>CU_ARS_2025_WOF_F2_1_plant_40</v>
      </c>
      <c r="P529" t="str">
        <f>VLOOKUP(C529,CU_ARS_2025_WOF_F2!$A$2:$K$673,3,FALSE)</f>
        <v>CU_ARS_2025_WOF_F2_1</v>
      </c>
      <c r="Q529" t="str">
        <f>VLOOKUP(C529,CU_ARS_2025_WOF_F2!$A$2:$K$673,4,FALSE)</f>
        <v>CU_ARS_2025_WOF_cross_55</v>
      </c>
      <c r="R529">
        <f>VLOOKUP(C529,CU_ARS_2025_WOF_F2!$A$2:$K$673,5,FALSE)</f>
        <v>1</v>
      </c>
      <c r="S529">
        <f>VLOOKUP(C529,CU_ARS_2025_WOF_F2!$A$2:$K$673,6,FALSE)</f>
        <v>1</v>
      </c>
      <c r="T529">
        <f>VLOOKUP(C529,CU_ARS_2025_WOF_F2!$A$2:$K$673,7,FALSE)</f>
        <v>0</v>
      </c>
      <c r="U529">
        <f>VLOOKUP(C529,CU_ARS_2025_WOF_F2!$A$2:$K$673,8,FALSE)</f>
        <v>1</v>
      </c>
      <c r="V529">
        <f>VLOOKUP(C529,CU_ARS_2025_WOF_F2!$A$2:$K$673,9,FALSE)</f>
        <v>0</v>
      </c>
      <c r="W529">
        <f>VLOOKUP(C529,CU_ARS_2025_WOF_F2!$A$2:$K$673,10,FALSE)</f>
        <v>0</v>
      </c>
      <c r="X529">
        <f>VLOOKUP(C529,CU_ARS_2025_WOF_F2!$A$2:$K$673,11,FALSE)</f>
        <v>40</v>
      </c>
      <c r="Y529" t="str">
        <f>VLOOKUP(Q529,cross_pedigree!$A$2:$B$23,2,FALSE)</f>
        <v>PA8014-840/NC20-4452</v>
      </c>
    </row>
    <row r="530" spans="1:25" ht="18">
      <c r="A530" s="21" t="s">
        <v>15</v>
      </c>
      <c r="B530" s="21" t="s">
        <v>16</v>
      </c>
      <c r="C530" s="22">
        <v>753825</v>
      </c>
      <c r="D530" s="23">
        <v>6</v>
      </c>
      <c r="E530" s="24" t="str">
        <f t="shared" si="8"/>
        <v>CU_ARS_2025_WOF_F2_1_plant_46</v>
      </c>
      <c r="F530" s="21" t="s">
        <v>166</v>
      </c>
      <c r="G530" s="44">
        <v>49</v>
      </c>
      <c r="H530" s="42"/>
      <c r="I530" s="42" t="s">
        <v>1036</v>
      </c>
      <c r="J530" s="42" t="s">
        <v>1003</v>
      </c>
      <c r="K530" s="42"/>
      <c r="L530" s="42"/>
      <c r="M530" s="42"/>
      <c r="N530" t="str">
        <f>VLOOKUP(C530,CU_ARS_2025_WOF_F2!$A$2:$K$673,2,FALSE)</f>
        <v>CU_ARS_2025_WOF_F2_1_plant_46</v>
      </c>
      <c r="O530" t="str">
        <f>VLOOKUP(C530,CU_ARS_2025_WOF_F2!$A$2:$K$673,2,FALSE)</f>
        <v>CU_ARS_2025_WOF_F2_1_plant_46</v>
      </c>
      <c r="P530" t="str">
        <f>VLOOKUP(C530,CU_ARS_2025_WOF_F2!$A$2:$K$673,3,FALSE)</f>
        <v>CU_ARS_2025_WOF_F2_1</v>
      </c>
      <c r="Q530" t="str">
        <f>VLOOKUP(C530,CU_ARS_2025_WOF_F2!$A$2:$K$673,4,FALSE)</f>
        <v>CU_ARS_2025_WOF_cross_55</v>
      </c>
      <c r="R530">
        <f>VLOOKUP(C530,CU_ARS_2025_WOF_F2!$A$2:$K$673,5,FALSE)</f>
        <v>1</v>
      </c>
      <c r="S530">
        <f>VLOOKUP(C530,CU_ARS_2025_WOF_F2!$A$2:$K$673,6,FALSE)</f>
        <v>1</v>
      </c>
      <c r="T530">
        <f>VLOOKUP(C530,CU_ARS_2025_WOF_F2!$A$2:$K$673,7,FALSE)</f>
        <v>0</v>
      </c>
      <c r="U530">
        <f>VLOOKUP(C530,CU_ARS_2025_WOF_F2!$A$2:$K$673,8,FALSE)</f>
        <v>1</v>
      </c>
      <c r="V530">
        <f>VLOOKUP(C530,CU_ARS_2025_WOF_F2!$A$2:$K$673,9,FALSE)</f>
        <v>0</v>
      </c>
      <c r="W530">
        <f>VLOOKUP(C530,CU_ARS_2025_WOF_F2!$A$2:$K$673,10,FALSE)</f>
        <v>0</v>
      </c>
      <c r="X530">
        <f>VLOOKUP(C530,CU_ARS_2025_WOF_F2!$A$2:$K$673,11,FALSE)</f>
        <v>46</v>
      </c>
      <c r="Y530" t="str">
        <f>VLOOKUP(Q530,cross_pedigree!$A$2:$B$23,2,FALSE)</f>
        <v>PA8014-840/NC20-4452</v>
      </c>
    </row>
    <row r="531" spans="1:25" ht="18">
      <c r="A531" s="21" t="s">
        <v>15</v>
      </c>
      <c r="B531" s="21" t="s">
        <v>16</v>
      </c>
      <c r="C531" s="22">
        <v>753826</v>
      </c>
      <c r="D531" s="23">
        <v>6</v>
      </c>
      <c r="E531" s="24" t="str">
        <f t="shared" si="8"/>
        <v>CU_ARS_2025_WOF_F2_1_plant_47</v>
      </c>
      <c r="F531" s="21" t="s">
        <v>168</v>
      </c>
      <c r="G531" s="44">
        <v>50</v>
      </c>
      <c r="H531" s="42"/>
      <c r="I531" s="42" t="s">
        <v>1036</v>
      </c>
      <c r="J531" s="42" t="s">
        <v>1003</v>
      </c>
      <c r="K531" s="42"/>
      <c r="L531" s="42"/>
      <c r="M531" s="42"/>
      <c r="N531" t="str">
        <f>VLOOKUP(C531,CU_ARS_2025_WOF_F2!$A$2:$K$673,2,FALSE)</f>
        <v>CU_ARS_2025_WOF_F2_1_plant_47</v>
      </c>
      <c r="O531" t="str">
        <f>VLOOKUP(C531,CU_ARS_2025_WOF_F2!$A$2:$K$673,2,FALSE)</f>
        <v>CU_ARS_2025_WOF_F2_1_plant_47</v>
      </c>
      <c r="P531" t="str">
        <f>VLOOKUP(C531,CU_ARS_2025_WOF_F2!$A$2:$K$673,3,FALSE)</f>
        <v>CU_ARS_2025_WOF_F2_1</v>
      </c>
      <c r="Q531" t="str">
        <f>VLOOKUP(C531,CU_ARS_2025_WOF_F2!$A$2:$K$673,4,FALSE)</f>
        <v>CU_ARS_2025_WOF_cross_55</v>
      </c>
      <c r="R531">
        <f>VLOOKUP(C531,CU_ARS_2025_WOF_F2!$A$2:$K$673,5,FALSE)</f>
        <v>1</v>
      </c>
      <c r="S531">
        <f>VLOOKUP(C531,CU_ARS_2025_WOF_F2!$A$2:$K$673,6,FALSE)</f>
        <v>1</v>
      </c>
      <c r="T531">
        <f>VLOOKUP(C531,CU_ARS_2025_WOF_F2!$A$2:$K$673,7,FALSE)</f>
        <v>0</v>
      </c>
      <c r="U531">
        <f>VLOOKUP(C531,CU_ARS_2025_WOF_F2!$A$2:$K$673,8,FALSE)</f>
        <v>1</v>
      </c>
      <c r="V531">
        <f>VLOOKUP(C531,CU_ARS_2025_WOF_F2!$A$2:$K$673,9,FALSE)</f>
        <v>0</v>
      </c>
      <c r="W531">
        <f>VLOOKUP(C531,CU_ARS_2025_WOF_F2!$A$2:$K$673,10,FALSE)</f>
        <v>0</v>
      </c>
      <c r="X531">
        <f>VLOOKUP(C531,CU_ARS_2025_WOF_F2!$A$2:$K$673,11,FALSE)</f>
        <v>47</v>
      </c>
      <c r="Y531" t="str">
        <f>VLOOKUP(Q531,cross_pedigree!$A$2:$B$23,2,FALSE)</f>
        <v>PA8014-840/NC20-4452</v>
      </c>
    </row>
    <row r="532" spans="1:25" ht="18">
      <c r="A532" s="21" t="s">
        <v>15</v>
      </c>
      <c r="B532" s="21" t="s">
        <v>16</v>
      </c>
      <c r="C532" s="22">
        <v>753827</v>
      </c>
      <c r="D532" s="23">
        <v>6</v>
      </c>
      <c r="E532" s="24" t="str">
        <f t="shared" si="8"/>
        <v>CU_ARS_2025_WOF_F2_1_plant_48</v>
      </c>
      <c r="F532" s="21" t="s">
        <v>43</v>
      </c>
      <c r="G532" s="44">
        <v>51</v>
      </c>
      <c r="H532" s="42"/>
      <c r="I532" s="42" t="s">
        <v>1036</v>
      </c>
      <c r="J532" s="42" t="s">
        <v>1003</v>
      </c>
      <c r="K532" s="42"/>
      <c r="L532" s="42"/>
      <c r="M532" s="42"/>
      <c r="N532" t="str">
        <f>VLOOKUP(C532,CU_ARS_2025_WOF_F2!$A$2:$K$673,2,FALSE)</f>
        <v>CU_ARS_2025_WOF_F2_1_plant_48</v>
      </c>
      <c r="O532" t="str">
        <f>VLOOKUP(C532,CU_ARS_2025_WOF_F2!$A$2:$K$673,2,FALSE)</f>
        <v>CU_ARS_2025_WOF_F2_1_plant_48</v>
      </c>
      <c r="P532" t="str">
        <f>VLOOKUP(C532,CU_ARS_2025_WOF_F2!$A$2:$K$673,3,FALSE)</f>
        <v>CU_ARS_2025_WOF_F2_1</v>
      </c>
      <c r="Q532" t="str">
        <f>VLOOKUP(C532,CU_ARS_2025_WOF_F2!$A$2:$K$673,4,FALSE)</f>
        <v>CU_ARS_2025_WOF_cross_55</v>
      </c>
      <c r="R532">
        <f>VLOOKUP(C532,CU_ARS_2025_WOF_F2!$A$2:$K$673,5,FALSE)</f>
        <v>1</v>
      </c>
      <c r="S532">
        <f>VLOOKUP(C532,CU_ARS_2025_WOF_F2!$A$2:$K$673,6,FALSE)</f>
        <v>1</v>
      </c>
      <c r="T532">
        <f>VLOOKUP(C532,CU_ARS_2025_WOF_F2!$A$2:$K$673,7,FALSE)</f>
        <v>0</v>
      </c>
      <c r="U532">
        <f>VLOOKUP(C532,CU_ARS_2025_WOF_F2!$A$2:$K$673,8,FALSE)</f>
        <v>1</v>
      </c>
      <c r="V532">
        <f>VLOOKUP(C532,CU_ARS_2025_WOF_F2!$A$2:$K$673,9,FALSE)</f>
        <v>0</v>
      </c>
      <c r="W532">
        <f>VLOOKUP(C532,CU_ARS_2025_WOF_F2!$A$2:$K$673,10,FALSE)</f>
        <v>0</v>
      </c>
      <c r="X532">
        <f>VLOOKUP(C532,CU_ARS_2025_WOF_F2!$A$2:$K$673,11,FALSE)</f>
        <v>48</v>
      </c>
      <c r="Y532" t="str">
        <f>VLOOKUP(Q532,cross_pedigree!$A$2:$B$23,2,FALSE)</f>
        <v>PA8014-840/NC20-4452</v>
      </c>
    </row>
    <row r="533" spans="1:25" ht="18">
      <c r="A533" s="21" t="s">
        <v>15</v>
      </c>
      <c r="B533" s="21" t="s">
        <v>16</v>
      </c>
      <c r="C533" s="22">
        <v>753828</v>
      </c>
      <c r="D533" s="23">
        <v>6</v>
      </c>
      <c r="E533" s="24" t="str">
        <f t="shared" si="8"/>
        <v>CU_ARS_2025_WOF_F2_1_plant_49</v>
      </c>
      <c r="F533" s="21" t="s">
        <v>45</v>
      </c>
      <c r="G533" s="44">
        <v>52</v>
      </c>
      <c r="H533" s="42"/>
      <c r="I533" s="42" t="s">
        <v>1036</v>
      </c>
      <c r="J533" s="42" t="s">
        <v>1003</v>
      </c>
      <c r="K533" s="42"/>
      <c r="L533" s="42"/>
      <c r="M533" s="42"/>
      <c r="N533" t="str">
        <f>VLOOKUP(C533,CU_ARS_2025_WOF_F2!$A$2:$K$673,2,FALSE)</f>
        <v>CU_ARS_2025_WOF_F2_1_plant_49</v>
      </c>
      <c r="O533" t="str">
        <f>VLOOKUP(C533,CU_ARS_2025_WOF_F2!$A$2:$K$673,2,FALSE)</f>
        <v>CU_ARS_2025_WOF_F2_1_plant_49</v>
      </c>
      <c r="P533" t="str">
        <f>VLOOKUP(C533,CU_ARS_2025_WOF_F2!$A$2:$K$673,3,FALSE)</f>
        <v>CU_ARS_2025_WOF_F2_1</v>
      </c>
      <c r="Q533" t="str">
        <f>VLOOKUP(C533,CU_ARS_2025_WOF_F2!$A$2:$K$673,4,FALSE)</f>
        <v>CU_ARS_2025_WOF_cross_55</v>
      </c>
      <c r="R533">
        <f>VLOOKUP(C533,CU_ARS_2025_WOF_F2!$A$2:$K$673,5,FALSE)</f>
        <v>1</v>
      </c>
      <c r="S533">
        <f>VLOOKUP(C533,CU_ARS_2025_WOF_F2!$A$2:$K$673,6,FALSE)</f>
        <v>1</v>
      </c>
      <c r="T533">
        <f>VLOOKUP(C533,CU_ARS_2025_WOF_F2!$A$2:$K$673,7,FALSE)</f>
        <v>0</v>
      </c>
      <c r="U533">
        <f>VLOOKUP(C533,CU_ARS_2025_WOF_F2!$A$2:$K$673,8,FALSE)</f>
        <v>1</v>
      </c>
      <c r="V533">
        <f>VLOOKUP(C533,CU_ARS_2025_WOF_F2!$A$2:$K$673,9,FALSE)</f>
        <v>0</v>
      </c>
      <c r="W533">
        <f>VLOOKUP(C533,CU_ARS_2025_WOF_F2!$A$2:$K$673,10,FALSE)</f>
        <v>0</v>
      </c>
      <c r="X533">
        <f>VLOOKUP(C533,CU_ARS_2025_WOF_F2!$A$2:$K$673,11,FALSE)</f>
        <v>49</v>
      </c>
      <c r="Y533" t="str">
        <f>VLOOKUP(Q533,cross_pedigree!$A$2:$B$23,2,FALSE)</f>
        <v>PA8014-840/NC20-4452</v>
      </c>
    </row>
    <row r="534" spans="1:25" ht="18">
      <c r="A534" s="21" t="s">
        <v>15</v>
      </c>
      <c r="B534" s="21" t="s">
        <v>16</v>
      </c>
      <c r="C534" s="22">
        <v>753829</v>
      </c>
      <c r="D534" s="23">
        <v>6</v>
      </c>
      <c r="E534" s="24" t="str">
        <f t="shared" si="8"/>
        <v>CU_ARS_2025_WOF_F2_1_plant_50</v>
      </c>
      <c r="F534" s="21" t="s">
        <v>170</v>
      </c>
      <c r="G534" s="44">
        <v>53</v>
      </c>
      <c r="H534" s="42"/>
      <c r="I534" s="42" t="s">
        <v>1036</v>
      </c>
      <c r="J534" s="42" t="s">
        <v>1003</v>
      </c>
      <c r="K534" s="42"/>
      <c r="L534" s="42"/>
      <c r="M534" s="42"/>
      <c r="N534" t="str">
        <f>VLOOKUP(C534,CU_ARS_2025_WOF_F2!$A$2:$K$673,2,FALSE)</f>
        <v>CU_ARS_2025_WOF_F2_1_plant_50</v>
      </c>
      <c r="O534" t="str">
        <f>VLOOKUP(C534,CU_ARS_2025_WOF_F2!$A$2:$K$673,2,FALSE)</f>
        <v>CU_ARS_2025_WOF_F2_1_plant_50</v>
      </c>
      <c r="P534" t="str">
        <f>VLOOKUP(C534,CU_ARS_2025_WOF_F2!$A$2:$K$673,3,FALSE)</f>
        <v>CU_ARS_2025_WOF_F2_1</v>
      </c>
      <c r="Q534" t="str">
        <f>VLOOKUP(C534,CU_ARS_2025_WOF_F2!$A$2:$K$673,4,FALSE)</f>
        <v>CU_ARS_2025_WOF_cross_55</v>
      </c>
      <c r="R534">
        <f>VLOOKUP(C534,CU_ARS_2025_WOF_F2!$A$2:$K$673,5,FALSE)</f>
        <v>1</v>
      </c>
      <c r="S534">
        <f>VLOOKUP(C534,CU_ARS_2025_WOF_F2!$A$2:$K$673,6,FALSE)</f>
        <v>1</v>
      </c>
      <c r="T534">
        <f>VLOOKUP(C534,CU_ARS_2025_WOF_F2!$A$2:$K$673,7,FALSE)</f>
        <v>0</v>
      </c>
      <c r="U534">
        <f>VLOOKUP(C534,CU_ARS_2025_WOF_F2!$A$2:$K$673,8,FALSE)</f>
        <v>1</v>
      </c>
      <c r="V534">
        <f>VLOOKUP(C534,CU_ARS_2025_WOF_F2!$A$2:$K$673,9,FALSE)</f>
        <v>0</v>
      </c>
      <c r="W534">
        <f>VLOOKUP(C534,CU_ARS_2025_WOF_F2!$A$2:$K$673,10,FALSE)</f>
        <v>0</v>
      </c>
      <c r="X534">
        <f>VLOOKUP(C534,CU_ARS_2025_WOF_F2!$A$2:$K$673,11,FALSE)</f>
        <v>50</v>
      </c>
      <c r="Y534" t="str">
        <f>VLOOKUP(Q534,cross_pedigree!$A$2:$B$23,2,FALSE)</f>
        <v>PA8014-840/NC20-4452</v>
      </c>
    </row>
    <row r="535" spans="1:25" ht="18">
      <c r="A535" s="21" t="s">
        <v>15</v>
      </c>
      <c r="B535" s="21" t="s">
        <v>16</v>
      </c>
      <c r="C535" s="22">
        <v>753830</v>
      </c>
      <c r="D535" s="23">
        <v>6</v>
      </c>
      <c r="E535" s="24" t="str">
        <f t="shared" si="8"/>
        <v>CU_ARS_2025_WOF_F2_1_plant_51</v>
      </c>
      <c r="F535" s="21" t="s">
        <v>29</v>
      </c>
      <c r="G535" s="44">
        <v>54</v>
      </c>
      <c r="H535" s="42"/>
      <c r="I535" s="42" t="s">
        <v>1036</v>
      </c>
      <c r="J535" s="42" t="s">
        <v>1003</v>
      </c>
      <c r="K535" s="42"/>
      <c r="L535" s="42"/>
      <c r="M535" s="42"/>
      <c r="N535" t="str">
        <f>VLOOKUP(C535,CU_ARS_2025_WOF_F2!$A$2:$K$673,2,FALSE)</f>
        <v>CU_ARS_2025_WOF_F2_1_plant_51</v>
      </c>
      <c r="O535" t="str">
        <f>VLOOKUP(C535,CU_ARS_2025_WOF_F2!$A$2:$K$673,2,FALSE)</f>
        <v>CU_ARS_2025_WOF_F2_1_plant_51</v>
      </c>
      <c r="P535" t="str">
        <f>VLOOKUP(C535,CU_ARS_2025_WOF_F2!$A$2:$K$673,3,FALSE)</f>
        <v>CU_ARS_2025_WOF_F2_1</v>
      </c>
      <c r="Q535" t="str">
        <f>VLOOKUP(C535,CU_ARS_2025_WOF_F2!$A$2:$K$673,4,FALSE)</f>
        <v>CU_ARS_2025_WOF_cross_55</v>
      </c>
      <c r="R535">
        <f>VLOOKUP(C535,CU_ARS_2025_WOF_F2!$A$2:$K$673,5,FALSE)</f>
        <v>1</v>
      </c>
      <c r="S535">
        <f>VLOOKUP(C535,CU_ARS_2025_WOF_F2!$A$2:$K$673,6,FALSE)</f>
        <v>1</v>
      </c>
      <c r="T535">
        <f>VLOOKUP(C535,CU_ARS_2025_WOF_F2!$A$2:$K$673,7,FALSE)</f>
        <v>0</v>
      </c>
      <c r="U535">
        <f>VLOOKUP(C535,CU_ARS_2025_WOF_F2!$A$2:$K$673,8,FALSE)</f>
        <v>1</v>
      </c>
      <c r="V535">
        <f>VLOOKUP(C535,CU_ARS_2025_WOF_F2!$A$2:$K$673,9,FALSE)</f>
        <v>0</v>
      </c>
      <c r="W535">
        <f>VLOOKUP(C535,CU_ARS_2025_WOF_F2!$A$2:$K$673,10,FALSE)</f>
        <v>0</v>
      </c>
      <c r="X535">
        <f>VLOOKUP(C535,CU_ARS_2025_WOF_F2!$A$2:$K$673,11,FALSE)</f>
        <v>51</v>
      </c>
      <c r="Y535" t="str">
        <f>VLOOKUP(Q535,cross_pedigree!$A$2:$B$23,2,FALSE)</f>
        <v>PA8014-840/NC20-4452</v>
      </c>
    </row>
    <row r="536" spans="1:25" ht="18">
      <c r="A536" s="21" t="s">
        <v>15</v>
      </c>
      <c r="B536" s="21" t="s">
        <v>16</v>
      </c>
      <c r="C536" s="22">
        <v>753831</v>
      </c>
      <c r="D536" s="23">
        <v>6</v>
      </c>
      <c r="E536" s="24" t="str">
        <f t="shared" si="8"/>
        <v>CU_ARS_2025_WOF_F2_1_plant_52</v>
      </c>
      <c r="F536" s="21" t="s">
        <v>31</v>
      </c>
      <c r="G536" s="44">
        <v>55</v>
      </c>
      <c r="H536" s="42"/>
      <c r="I536" s="42" t="s">
        <v>1036</v>
      </c>
      <c r="J536" s="42" t="s">
        <v>1003</v>
      </c>
      <c r="K536" s="42"/>
      <c r="L536" s="42"/>
      <c r="M536" s="42"/>
      <c r="N536" t="str">
        <f>VLOOKUP(C536,CU_ARS_2025_WOF_F2!$A$2:$K$673,2,FALSE)</f>
        <v>CU_ARS_2025_WOF_F2_1_plant_52</v>
      </c>
      <c r="O536" t="str">
        <f>VLOOKUP(C536,CU_ARS_2025_WOF_F2!$A$2:$K$673,2,FALSE)</f>
        <v>CU_ARS_2025_WOF_F2_1_plant_52</v>
      </c>
      <c r="P536" t="str">
        <f>VLOOKUP(C536,CU_ARS_2025_WOF_F2!$A$2:$K$673,3,FALSE)</f>
        <v>CU_ARS_2025_WOF_F2_1</v>
      </c>
      <c r="Q536" t="str">
        <f>VLOOKUP(C536,CU_ARS_2025_WOF_F2!$A$2:$K$673,4,FALSE)</f>
        <v>CU_ARS_2025_WOF_cross_55</v>
      </c>
      <c r="R536">
        <f>VLOOKUP(C536,CU_ARS_2025_WOF_F2!$A$2:$K$673,5,FALSE)</f>
        <v>1</v>
      </c>
      <c r="S536">
        <f>VLOOKUP(C536,CU_ARS_2025_WOF_F2!$A$2:$K$673,6,FALSE)</f>
        <v>1</v>
      </c>
      <c r="T536">
        <f>VLOOKUP(C536,CU_ARS_2025_WOF_F2!$A$2:$K$673,7,FALSE)</f>
        <v>0</v>
      </c>
      <c r="U536">
        <f>VLOOKUP(C536,CU_ARS_2025_WOF_F2!$A$2:$K$673,8,FALSE)</f>
        <v>1</v>
      </c>
      <c r="V536">
        <f>VLOOKUP(C536,CU_ARS_2025_WOF_F2!$A$2:$K$673,9,FALSE)</f>
        <v>0</v>
      </c>
      <c r="W536">
        <f>VLOOKUP(C536,CU_ARS_2025_WOF_F2!$A$2:$K$673,10,FALSE)</f>
        <v>0</v>
      </c>
      <c r="X536">
        <f>VLOOKUP(C536,CU_ARS_2025_WOF_F2!$A$2:$K$673,11,FALSE)</f>
        <v>52</v>
      </c>
      <c r="Y536" t="str">
        <f>VLOOKUP(Q536,cross_pedigree!$A$2:$B$23,2,FALSE)</f>
        <v>PA8014-840/NC20-4452</v>
      </c>
    </row>
    <row r="537" spans="1:25" ht="18">
      <c r="A537" s="21" t="s">
        <v>15</v>
      </c>
      <c r="B537" s="21" t="s">
        <v>16</v>
      </c>
      <c r="C537" s="22">
        <v>753832</v>
      </c>
      <c r="D537" s="23">
        <v>6</v>
      </c>
      <c r="E537" s="24" t="str">
        <f t="shared" si="8"/>
        <v>CU_ARS_2025_WOF_F2_1_plant_53</v>
      </c>
      <c r="F537" s="21" t="s">
        <v>33</v>
      </c>
      <c r="G537" s="44">
        <v>56</v>
      </c>
      <c r="H537" s="42"/>
      <c r="I537" s="42" t="s">
        <v>1036</v>
      </c>
      <c r="J537" s="42" t="s">
        <v>1003</v>
      </c>
      <c r="K537" s="42"/>
      <c r="L537" s="42"/>
      <c r="M537" s="42"/>
      <c r="N537" t="str">
        <f>VLOOKUP(C537,CU_ARS_2025_WOF_F2!$A$2:$K$673,2,FALSE)</f>
        <v>CU_ARS_2025_WOF_F2_1_plant_53</v>
      </c>
      <c r="O537" t="str">
        <f>VLOOKUP(C537,CU_ARS_2025_WOF_F2!$A$2:$K$673,2,FALSE)</f>
        <v>CU_ARS_2025_WOF_F2_1_plant_53</v>
      </c>
      <c r="P537" t="str">
        <f>VLOOKUP(C537,CU_ARS_2025_WOF_F2!$A$2:$K$673,3,FALSE)</f>
        <v>CU_ARS_2025_WOF_F2_1</v>
      </c>
      <c r="Q537" t="str">
        <f>VLOOKUP(C537,CU_ARS_2025_WOF_F2!$A$2:$K$673,4,FALSE)</f>
        <v>CU_ARS_2025_WOF_cross_55</v>
      </c>
      <c r="R537">
        <f>VLOOKUP(C537,CU_ARS_2025_WOF_F2!$A$2:$K$673,5,FALSE)</f>
        <v>1</v>
      </c>
      <c r="S537">
        <f>VLOOKUP(C537,CU_ARS_2025_WOF_F2!$A$2:$K$673,6,FALSE)</f>
        <v>1</v>
      </c>
      <c r="T537">
        <f>VLOOKUP(C537,CU_ARS_2025_WOF_F2!$A$2:$K$673,7,FALSE)</f>
        <v>0</v>
      </c>
      <c r="U537">
        <f>VLOOKUP(C537,CU_ARS_2025_WOF_F2!$A$2:$K$673,8,FALSE)</f>
        <v>1</v>
      </c>
      <c r="V537">
        <f>VLOOKUP(C537,CU_ARS_2025_WOF_F2!$A$2:$K$673,9,FALSE)</f>
        <v>0</v>
      </c>
      <c r="W537">
        <f>VLOOKUP(C537,CU_ARS_2025_WOF_F2!$A$2:$K$673,10,FALSE)</f>
        <v>0</v>
      </c>
      <c r="X537">
        <f>VLOOKUP(C537,CU_ARS_2025_WOF_F2!$A$2:$K$673,11,FALSE)</f>
        <v>53</v>
      </c>
      <c r="Y537" t="str">
        <f>VLOOKUP(Q537,cross_pedigree!$A$2:$B$23,2,FALSE)</f>
        <v>PA8014-840/NC20-4452</v>
      </c>
    </row>
    <row r="538" spans="1:25" ht="18">
      <c r="A538" s="21" t="s">
        <v>15</v>
      </c>
      <c r="B538" s="21" t="s">
        <v>16</v>
      </c>
      <c r="C538" s="22">
        <v>753841</v>
      </c>
      <c r="D538" s="23">
        <v>6</v>
      </c>
      <c r="E538" s="24" t="str">
        <f t="shared" si="8"/>
        <v>CU_ARS_2025_WOF_F2_1_plant_62</v>
      </c>
      <c r="F538" s="21" t="s">
        <v>35</v>
      </c>
      <c r="G538" s="44">
        <v>57</v>
      </c>
      <c r="H538" s="42"/>
      <c r="I538" s="42" t="s">
        <v>1036</v>
      </c>
      <c r="J538" s="42" t="s">
        <v>1003</v>
      </c>
      <c r="K538" s="42"/>
      <c r="L538" s="42"/>
      <c r="M538" s="42"/>
      <c r="N538" t="str">
        <f>VLOOKUP(C538,CU_ARS_2025_WOF_F2!$A$2:$K$673,2,FALSE)</f>
        <v>CU_ARS_2025_WOF_F2_1_plant_62</v>
      </c>
      <c r="O538" t="str">
        <f>VLOOKUP(C538,CU_ARS_2025_WOF_F2!$A$2:$K$673,2,FALSE)</f>
        <v>CU_ARS_2025_WOF_F2_1_plant_62</v>
      </c>
      <c r="P538" t="str">
        <f>VLOOKUP(C538,CU_ARS_2025_WOF_F2!$A$2:$K$673,3,FALSE)</f>
        <v>CU_ARS_2025_WOF_F2_1</v>
      </c>
      <c r="Q538" t="str">
        <f>VLOOKUP(C538,CU_ARS_2025_WOF_F2!$A$2:$K$673,4,FALSE)</f>
        <v>CU_ARS_2025_WOF_cross_55</v>
      </c>
      <c r="R538">
        <f>VLOOKUP(C538,CU_ARS_2025_WOF_F2!$A$2:$K$673,5,FALSE)</f>
        <v>1</v>
      </c>
      <c r="S538">
        <f>VLOOKUP(C538,CU_ARS_2025_WOF_F2!$A$2:$K$673,6,FALSE)</f>
        <v>1</v>
      </c>
      <c r="T538">
        <f>VLOOKUP(C538,CU_ARS_2025_WOF_F2!$A$2:$K$673,7,FALSE)</f>
        <v>0</v>
      </c>
      <c r="U538">
        <f>VLOOKUP(C538,CU_ARS_2025_WOF_F2!$A$2:$K$673,8,FALSE)</f>
        <v>1</v>
      </c>
      <c r="V538">
        <f>VLOOKUP(C538,CU_ARS_2025_WOF_F2!$A$2:$K$673,9,FALSE)</f>
        <v>0</v>
      </c>
      <c r="W538">
        <f>VLOOKUP(C538,CU_ARS_2025_WOF_F2!$A$2:$K$673,10,FALSE)</f>
        <v>0</v>
      </c>
      <c r="X538">
        <f>VLOOKUP(C538,CU_ARS_2025_WOF_F2!$A$2:$K$673,11,FALSE)</f>
        <v>62</v>
      </c>
      <c r="Y538" t="str">
        <f>VLOOKUP(Q538,cross_pedigree!$A$2:$B$23,2,FALSE)</f>
        <v>PA8014-840/NC20-4452</v>
      </c>
    </row>
    <row r="539" spans="1:25" ht="18">
      <c r="A539" s="21" t="s">
        <v>15</v>
      </c>
      <c r="B539" s="21" t="s">
        <v>16</v>
      </c>
      <c r="C539" s="22">
        <v>753842</v>
      </c>
      <c r="D539" s="23">
        <v>6</v>
      </c>
      <c r="E539" s="24" t="str">
        <f t="shared" si="8"/>
        <v>CU_ARS_2025_WOF_F2_1_plant_63</v>
      </c>
      <c r="F539" s="21" t="s">
        <v>37</v>
      </c>
      <c r="G539" s="44">
        <v>58</v>
      </c>
      <c r="H539" s="42"/>
      <c r="I539" s="42" t="s">
        <v>1036</v>
      </c>
      <c r="J539" s="42" t="s">
        <v>1003</v>
      </c>
      <c r="K539" s="42"/>
      <c r="L539" s="42"/>
      <c r="M539" s="42"/>
      <c r="N539" t="str">
        <f>VLOOKUP(C539,CU_ARS_2025_WOF_F2!$A$2:$K$673,2,FALSE)</f>
        <v>CU_ARS_2025_WOF_F2_1_plant_63</v>
      </c>
      <c r="O539" t="str">
        <f>VLOOKUP(C539,CU_ARS_2025_WOF_F2!$A$2:$K$673,2,FALSE)</f>
        <v>CU_ARS_2025_WOF_F2_1_plant_63</v>
      </c>
      <c r="P539" t="str">
        <f>VLOOKUP(C539,CU_ARS_2025_WOF_F2!$A$2:$K$673,3,FALSE)</f>
        <v>CU_ARS_2025_WOF_F2_1</v>
      </c>
      <c r="Q539" t="str">
        <f>VLOOKUP(C539,CU_ARS_2025_WOF_F2!$A$2:$K$673,4,FALSE)</f>
        <v>CU_ARS_2025_WOF_cross_55</v>
      </c>
      <c r="R539">
        <f>VLOOKUP(C539,CU_ARS_2025_WOF_F2!$A$2:$K$673,5,FALSE)</f>
        <v>1</v>
      </c>
      <c r="S539">
        <f>VLOOKUP(C539,CU_ARS_2025_WOF_F2!$A$2:$K$673,6,FALSE)</f>
        <v>1</v>
      </c>
      <c r="T539">
        <f>VLOOKUP(C539,CU_ARS_2025_WOF_F2!$A$2:$K$673,7,FALSE)</f>
        <v>0</v>
      </c>
      <c r="U539">
        <f>VLOOKUP(C539,CU_ARS_2025_WOF_F2!$A$2:$K$673,8,FALSE)</f>
        <v>1</v>
      </c>
      <c r="V539">
        <f>VLOOKUP(C539,CU_ARS_2025_WOF_F2!$A$2:$K$673,9,FALSE)</f>
        <v>0</v>
      </c>
      <c r="W539">
        <f>VLOOKUP(C539,CU_ARS_2025_WOF_F2!$A$2:$K$673,10,FALSE)</f>
        <v>0</v>
      </c>
      <c r="X539">
        <f>VLOOKUP(C539,CU_ARS_2025_WOF_F2!$A$2:$K$673,11,FALSE)</f>
        <v>63</v>
      </c>
      <c r="Y539" t="str">
        <f>VLOOKUP(Q539,cross_pedigree!$A$2:$B$23,2,FALSE)</f>
        <v>PA8014-840/NC20-4452</v>
      </c>
    </row>
    <row r="540" spans="1:25" ht="18">
      <c r="A540" s="21" t="s">
        <v>15</v>
      </c>
      <c r="B540" s="21" t="s">
        <v>16</v>
      </c>
      <c r="C540" s="22">
        <v>753843</v>
      </c>
      <c r="D540" s="23">
        <v>6</v>
      </c>
      <c r="E540" s="24" t="str">
        <f t="shared" si="8"/>
        <v>CU_ARS_2025_WOF_F2_1_plant_64</v>
      </c>
      <c r="F540" s="21" t="s">
        <v>172</v>
      </c>
      <c r="G540" s="44">
        <v>59</v>
      </c>
      <c r="H540" s="42"/>
      <c r="I540" s="42" t="s">
        <v>1036</v>
      </c>
      <c r="J540" s="42" t="s">
        <v>1003</v>
      </c>
      <c r="K540" s="42"/>
      <c r="L540" s="42"/>
      <c r="M540" s="42"/>
      <c r="N540" t="str">
        <f>VLOOKUP(C540,CU_ARS_2025_WOF_F2!$A$2:$K$673,2,FALSE)</f>
        <v>CU_ARS_2025_WOF_F2_1_plant_64</v>
      </c>
      <c r="O540" t="str">
        <f>VLOOKUP(C540,CU_ARS_2025_WOF_F2!$A$2:$K$673,2,FALSE)</f>
        <v>CU_ARS_2025_WOF_F2_1_plant_64</v>
      </c>
      <c r="P540" t="str">
        <f>VLOOKUP(C540,CU_ARS_2025_WOF_F2!$A$2:$K$673,3,FALSE)</f>
        <v>CU_ARS_2025_WOF_F2_1</v>
      </c>
      <c r="Q540" t="str">
        <f>VLOOKUP(C540,CU_ARS_2025_WOF_F2!$A$2:$K$673,4,FALSE)</f>
        <v>CU_ARS_2025_WOF_cross_55</v>
      </c>
      <c r="R540">
        <f>VLOOKUP(C540,CU_ARS_2025_WOF_F2!$A$2:$K$673,5,FALSE)</f>
        <v>1</v>
      </c>
      <c r="S540">
        <f>VLOOKUP(C540,CU_ARS_2025_WOF_F2!$A$2:$K$673,6,FALSE)</f>
        <v>1</v>
      </c>
      <c r="T540">
        <f>VLOOKUP(C540,CU_ARS_2025_WOF_F2!$A$2:$K$673,7,FALSE)</f>
        <v>0</v>
      </c>
      <c r="U540">
        <f>VLOOKUP(C540,CU_ARS_2025_WOF_F2!$A$2:$K$673,8,FALSE)</f>
        <v>1</v>
      </c>
      <c r="V540">
        <f>VLOOKUP(C540,CU_ARS_2025_WOF_F2!$A$2:$K$673,9,FALSE)</f>
        <v>0</v>
      </c>
      <c r="W540">
        <f>VLOOKUP(C540,CU_ARS_2025_WOF_F2!$A$2:$K$673,10,FALSE)</f>
        <v>0</v>
      </c>
      <c r="X540">
        <f>VLOOKUP(C540,CU_ARS_2025_WOF_F2!$A$2:$K$673,11,FALSE)</f>
        <v>64</v>
      </c>
      <c r="Y540" t="str">
        <f>VLOOKUP(Q540,cross_pedigree!$A$2:$B$23,2,FALSE)</f>
        <v>PA8014-840/NC20-4452</v>
      </c>
    </row>
    <row r="541" spans="1:25" ht="18">
      <c r="A541" s="21" t="s">
        <v>15</v>
      </c>
      <c r="B541" s="21" t="s">
        <v>16</v>
      </c>
      <c r="C541" s="22">
        <v>753849</v>
      </c>
      <c r="D541" s="23">
        <v>6</v>
      </c>
      <c r="E541" s="24" t="str">
        <f t="shared" si="8"/>
        <v>CU_ARS_2025_WOF_F2_1_plant_70</v>
      </c>
      <c r="F541" s="21" t="s">
        <v>174</v>
      </c>
      <c r="G541" s="44">
        <v>60</v>
      </c>
      <c r="H541" s="42"/>
      <c r="I541" s="42" t="s">
        <v>1036</v>
      </c>
      <c r="J541" s="42" t="s">
        <v>1003</v>
      </c>
      <c r="K541" s="42"/>
      <c r="L541" s="42"/>
      <c r="M541" s="42"/>
      <c r="N541" t="str">
        <f>VLOOKUP(C541,CU_ARS_2025_WOF_F2!$A$2:$K$673,2,FALSE)</f>
        <v>CU_ARS_2025_WOF_F2_1_plant_70</v>
      </c>
      <c r="O541" t="str">
        <f>VLOOKUP(C541,CU_ARS_2025_WOF_F2!$A$2:$K$673,2,FALSE)</f>
        <v>CU_ARS_2025_WOF_F2_1_plant_70</v>
      </c>
      <c r="P541" t="str">
        <f>VLOOKUP(C541,CU_ARS_2025_WOF_F2!$A$2:$K$673,3,FALSE)</f>
        <v>CU_ARS_2025_WOF_F2_1</v>
      </c>
      <c r="Q541" t="str">
        <f>VLOOKUP(C541,CU_ARS_2025_WOF_F2!$A$2:$K$673,4,FALSE)</f>
        <v>CU_ARS_2025_WOF_cross_55</v>
      </c>
      <c r="R541">
        <f>VLOOKUP(C541,CU_ARS_2025_WOF_F2!$A$2:$K$673,5,FALSE)</f>
        <v>1</v>
      </c>
      <c r="S541">
        <f>VLOOKUP(C541,CU_ARS_2025_WOF_F2!$A$2:$K$673,6,FALSE)</f>
        <v>1</v>
      </c>
      <c r="T541">
        <f>VLOOKUP(C541,CU_ARS_2025_WOF_F2!$A$2:$K$673,7,FALSE)</f>
        <v>0</v>
      </c>
      <c r="U541">
        <f>VLOOKUP(C541,CU_ARS_2025_WOF_F2!$A$2:$K$673,8,FALSE)</f>
        <v>1</v>
      </c>
      <c r="V541">
        <f>VLOOKUP(C541,CU_ARS_2025_WOF_F2!$A$2:$K$673,9,FALSE)</f>
        <v>0</v>
      </c>
      <c r="W541">
        <f>VLOOKUP(C541,CU_ARS_2025_WOF_F2!$A$2:$K$673,10,FALSE)</f>
        <v>0</v>
      </c>
      <c r="X541">
        <f>VLOOKUP(C541,CU_ARS_2025_WOF_F2!$A$2:$K$673,11,FALSE)</f>
        <v>70</v>
      </c>
      <c r="Y541" t="str">
        <f>VLOOKUP(Q541,cross_pedigree!$A$2:$B$23,2,FALSE)</f>
        <v>PA8014-840/NC20-4452</v>
      </c>
    </row>
    <row r="542" spans="1:25" ht="18">
      <c r="A542" s="21" t="s">
        <v>15</v>
      </c>
      <c r="B542" s="21" t="s">
        <v>16</v>
      </c>
      <c r="C542" s="22">
        <v>753850</v>
      </c>
      <c r="D542" s="23">
        <v>6</v>
      </c>
      <c r="E542" s="24" t="str">
        <f t="shared" si="8"/>
        <v>CU_ARS_2025_WOF_F2_1_plant_71</v>
      </c>
      <c r="F542" s="21" t="s">
        <v>176</v>
      </c>
      <c r="G542" s="44">
        <v>61</v>
      </c>
      <c r="H542" s="42"/>
      <c r="I542" s="42" t="s">
        <v>1036</v>
      </c>
      <c r="J542" s="42" t="s">
        <v>1003</v>
      </c>
      <c r="K542" s="42"/>
      <c r="L542" s="42"/>
      <c r="M542" s="42"/>
      <c r="N542" t="str">
        <f>VLOOKUP(C542,CU_ARS_2025_WOF_F2!$A$2:$K$673,2,FALSE)</f>
        <v>CU_ARS_2025_WOF_F2_1_plant_71</v>
      </c>
      <c r="O542" t="str">
        <f>VLOOKUP(C542,CU_ARS_2025_WOF_F2!$A$2:$K$673,2,FALSE)</f>
        <v>CU_ARS_2025_WOF_F2_1_plant_71</v>
      </c>
      <c r="P542" t="str">
        <f>VLOOKUP(C542,CU_ARS_2025_WOF_F2!$A$2:$K$673,3,FALSE)</f>
        <v>CU_ARS_2025_WOF_F2_1</v>
      </c>
      <c r="Q542" t="str">
        <f>VLOOKUP(C542,CU_ARS_2025_WOF_F2!$A$2:$K$673,4,FALSE)</f>
        <v>CU_ARS_2025_WOF_cross_55</v>
      </c>
      <c r="R542">
        <f>VLOOKUP(C542,CU_ARS_2025_WOF_F2!$A$2:$K$673,5,FALSE)</f>
        <v>1</v>
      </c>
      <c r="S542">
        <f>VLOOKUP(C542,CU_ARS_2025_WOF_F2!$A$2:$K$673,6,FALSE)</f>
        <v>1</v>
      </c>
      <c r="T542">
        <f>VLOOKUP(C542,CU_ARS_2025_WOF_F2!$A$2:$K$673,7,FALSE)</f>
        <v>0</v>
      </c>
      <c r="U542">
        <f>VLOOKUP(C542,CU_ARS_2025_WOF_F2!$A$2:$K$673,8,FALSE)</f>
        <v>1</v>
      </c>
      <c r="V542">
        <f>VLOOKUP(C542,CU_ARS_2025_WOF_F2!$A$2:$K$673,9,FALSE)</f>
        <v>0</v>
      </c>
      <c r="W542">
        <f>VLOOKUP(C542,CU_ARS_2025_WOF_F2!$A$2:$K$673,10,FALSE)</f>
        <v>0</v>
      </c>
      <c r="X542">
        <f>VLOOKUP(C542,CU_ARS_2025_WOF_F2!$A$2:$K$673,11,FALSE)</f>
        <v>71</v>
      </c>
      <c r="Y542" t="str">
        <f>VLOOKUP(Q542,cross_pedigree!$A$2:$B$23,2,FALSE)</f>
        <v>PA8014-840/NC20-4452</v>
      </c>
    </row>
    <row r="543" spans="1:25" ht="18">
      <c r="A543" s="21" t="s">
        <v>15</v>
      </c>
      <c r="B543" s="21" t="s">
        <v>16</v>
      </c>
      <c r="C543" s="22">
        <v>753851</v>
      </c>
      <c r="D543" s="23">
        <v>6</v>
      </c>
      <c r="E543" s="24" t="str">
        <f t="shared" si="8"/>
        <v>CU_ARS_2025_WOF_F2_1_plant_72</v>
      </c>
      <c r="F543" s="21" t="s">
        <v>178</v>
      </c>
      <c r="G543" s="44">
        <v>62</v>
      </c>
      <c r="H543" s="42"/>
      <c r="I543" s="42" t="s">
        <v>1036</v>
      </c>
      <c r="J543" s="42" t="s">
        <v>1003</v>
      </c>
      <c r="K543" s="42"/>
      <c r="L543" s="42"/>
      <c r="M543" s="42"/>
      <c r="N543" t="str">
        <f>VLOOKUP(C543,CU_ARS_2025_WOF_F2!$A$2:$K$673,2,FALSE)</f>
        <v>CU_ARS_2025_WOF_F2_1_plant_72</v>
      </c>
      <c r="O543" t="str">
        <f>VLOOKUP(C543,CU_ARS_2025_WOF_F2!$A$2:$K$673,2,FALSE)</f>
        <v>CU_ARS_2025_WOF_F2_1_plant_72</v>
      </c>
      <c r="P543" t="str">
        <f>VLOOKUP(C543,CU_ARS_2025_WOF_F2!$A$2:$K$673,3,FALSE)</f>
        <v>CU_ARS_2025_WOF_F2_1</v>
      </c>
      <c r="Q543" t="str">
        <f>VLOOKUP(C543,CU_ARS_2025_WOF_F2!$A$2:$K$673,4,FALSE)</f>
        <v>CU_ARS_2025_WOF_cross_55</v>
      </c>
      <c r="R543">
        <f>VLOOKUP(C543,CU_ARS_2025_WOF_F2!$A$2:$K$673,5,FALSE)</f>
        <v>1</v>
      </c>
      <c r="S543">
        <f>VLOOKUP(C543,CU_ARS_2025_WOF_F2!$A$2:$K$673,6,FALSE)</f>
        <v>1</v>
      </c>
      <c r="T543">
        <f>VLOOKUP(C543,CU_ARS_2025_WOF_F2!$A$2:$K$673,7,FALSE)</f>
        <v>0</v>
      </c>
      <c r="U543">
        <f>VLOOKUP(C543,CU_ARS_2025_WOF_F2!$A$2:$K$673,8,FALSE)</f>
        <v>1</v>
      </c>
      <c r="V543">
        <f>VLOOKUP(C543,CU_ARS_2025_WOF_F2!$A$2:$K$673,9,FALSE)</f>
        <v>0</v>
      </c>
      <c r="W543">
        <f>VLOOKUP(C543,CU_ARS_2025_WOF_F2!$A$2:$K$673,10,FALSE)</f>
        <v>0</v>
      </c>
      <c r="X543">
        <f>VLOOKUP(C543,CU_ARS_2025_WOF_F2!$A$2:$K$673,11,FALSE)</f>
        <v>72</v>
      </c>
      <c r="Y543" t="str">
        <f>VLOOKUP(Q543,cross_pedigree!$A$2:$B$23,2,FALSE)</f>
        <v>PA8014-840/NC20-4452</v>
      </c>
    </row>
    <row r="544" spans="1:25" ht="18">
      <c r="A544" s="21" t="s">
        <v>15</v>
      </c>
      <c r="B544" s="21" t="s">
        <v>16</v>
      </c>
      <c r="C544" s="22">
        <v>753844</v>
      </c>
      <c r="D544" s="23">
        <v>6</v>
      </c>
      <c r="E544" s="24" t="str">
        <f t="shared" si="8"/>
        <v>CU_ARS_2025_WOF_F2_1_plant_65</v>
      </c>
      <c r="F544" s="21" t="s">
        <v>180</v>
      </c>
      <c r="G544" s="44">
        <v>63</v>
      </c>
      <c r="H544" s="42"/>
      <c r="I544" s="42" t="s">
        <v>1036</v>
      </c>
      <c r="J544" s="42" t="s">
        <v>1003</v>
      </c>
      <c r="K544" s="42"/>
      <c r="L544" s="42"/>
      <c r="M544" s="42"/>
      <c r="N544" t="str">
        <f>VLOOKUP(C544,CU_ARS_2025_WOF_F2!$A$2:$K$673,2,FALSE)</f>
        <v>CU_ARS_2025_WOF_F2_1_plant_65</v>
      </c>
      <c r="O544" t="str">
        <f>VLOOKUP(C544,CU_ARS_2025_WOF_F2!$A$2:$K$673,2,FALSE)</f>
        <v>CU_ARS_2025_WOF_F2_1_plant_65</v>
      </c>
      <c r="P544" t="str">
        <f>VLOOKUP(C544,CU_ARS_2025_WOF_F2!$A$2:$K$673,3,FALSE)</f>
        <v>CU_ARS_2025_WOF_F2_1</v>
      </c>
      <c r="Q544" t="str">
        <f>VLOOKUP(C544,CU_ARS_2025_WOF_F2!$A$2:$K$673,4,FALSE)</f>
        <v>CU_ARS_2025_WOF_cross_55</v>
      </c>
      <c r="R544">
        <f>VLOOKUP(C544,CU_ARS_2025_WOF_F2!$A$2:$K$673,5,FALSE)</f>
        <v>1</v>
      </c>
      <c r="S544">
        <f>VLOOKUP(C544,CU_ARS_2025_WOF_F2!$A$2:$K$673,6,FALSE)</f>
        <v>1</v>
      </c>
      <c r="T544">
        <f>VLOOKUP(C544,CU_ARS_2025_WOF_F2!$A$2:$K$673,7,FALSE)</f>
        <v>0</v>
      </c>
      <c r="U544">
        <f>VLOOKUP(C544,CU_ARS_2025_WOF_F2!$A$2:$K$673,8,FALSE)</f>
        <v>1</v>
      </c>
      <c r="V544">
        <f>VLOOKUP(C544,CU_ARS_2025_WOF_F2!$A$2:$K$673,9,FALSE)</f>
        <v>0</v>
      </c>
      <c r="W544">
        <f>VLOOKUP(C544,CU_ARS_2025_WOF_F2!$A$2:$K$673,10,FALSE)</f>
        <v>0</v>
      </c>
      <c r="X544">
        <f>VLOOKUP(C544,CU_ARS_2025_WOF_F2!$A$2:$K$673,11,FALSE)</f>
        <v>65</v>
      </c>
      <c r="Y544" t="str">
        <f>VLOOKUP(Q544,cross_pedigree!$A$2:$B$23,2,FALSE)</f>
        <v>PA8014-840/NC20-4452</v>
      </c>
    </row>
    <row r="545" spans="1:25" ht="18">
      <c r="A545" s="21" t="s">
        <v>15</v>
      </c>
      <c r="B545" s="21" t="s">
        <v>16</v>
      </c>
      <c r="C545" s="22">
        <v>753845</v>
      </c>
      <c r="D545" s="23">
        <v>6</v>
      </c>
      <c r="E545" s="24" t="str">
        <f t="shared" si="8"/>
        <v>CU_ARS_2025_WOF_F2_1_plant_66</v>
      </c>
      <c r="F545" s="21" t="s">
        <v>182</v>
      </c>
      <c r="G545" s="44">
        <v>64</v>
      </c>
      <c r="H545" s="42"/>
      <c r="I545" s="42" t="s">
        <v>1036</v>
      </c>
      <c r="J545" s="42" t="s">
        <v>1003</v>
      </c>
      <c r="K545" s="42"/>
      <c r="L545" s="42"/>
      <c r="M545" s="42"/>
      <c r="N545" t="str">
        <f>VLOOKUP(C545,CU_ARS_2025_WOF_F2!$A$2:$K$673,2,FALSE)</f>
        <v>CU_ARS_2025_WOF_F2_1_plant_66</v>
      </c>
      <c r="O545" t="str">
        <f>VLOOKUP(C545,CU_ARS_2025_WOF_F2!$A$2:$K$673,2,FALSE)</f>
        <v>CU_ARS_2025_WOF_F2_1_plant_66</v>
      </c>
      <c r="P545" t="str">
        <f>VLOOKUP(C545,CU_ARS_2025_WOF_F2!$A$2:$K$673,3,FALSE)</f>
        <v>CU_ARS_2025_WOF_F2_1</v>
      </c>
      <c r="Q545" t="str">
        <f>VLOOKUP(C545,CU_ARS_2025_WOF_F2!$A$2:$K$673,4,FALSE)</f>
        <v>CU_ARS_2025_WOF_cross_55</v>
      </c>
      <c r="R545">
        <f>VLOOKUP(C545,CU_ARS_2025_WOF_F2!$A$2:$K$673,5,FALSE)</f>
        <v>1</v>
      </c>
      <c r="S545">
        <f>VLOOKUP(C545,CU_ARS_2025_WOF_F2!$A$2:$K$673,6,FALSE)</f>
        <v>1</v>
      </c>
      <c r="T545">
        <f>VLOOKUP(C545,CU_ARS_2025_WOF_F2!$A$2:$K$673,7,FALSE)</f>
        <v>0</v>
      </c>
      <c r="U545">
        <f>VLOOKUP(C545,CU_ARS_2025_WOF_F2!$A$2:$K$673,8,FALSE)</f>
        <v>1</v>
      </c>
      <c r="V545">
        <f>VLOOKUP(C545,CU_ARS_2025_WOF_F2!$A$2:$K$673,9,FALSE)</f>
        <v>0</v>
      </c>
      <c r="W545">
        <f>VLOOKUP(C545,CU_ARS_2025_WOF_F2!$A$2:$K$673,10,FALSE)</f>
        <v>0</v>
      </c>
      <c r="X545">
        <f>VLOOKUP(C545,CU_ARS_2025_WOF_F2!$A$2:$K$673,11,FALSE)</f>
        <v>66</v>
      </c>
      <c r="Y545" t="str">
        <f>VLOOKUP(Q545,cross_pedigree!$A$2:$B$23,2,FALSE)</f>
        <v>PA8014-840/NC20-4452</v>
      </c>
    </row>
    <row r="546" spans="1:25" ht="18">
      <c r="A546" s="21" t="s">
        <v>15</v>
      </c>
      <c r="B546" s="21" t="s">
        <v>16</v>
      </c>
      <c r="C546" s="22">
        <v>753846</v>
      </c>
      <c r="D546" s="23">
        <v>6</v>
      </c>
      <c r="E546" s="24" t="str">
        <f t="shared" si="8"/>
        <v>CU_ARS_2025_WOF_F2_1_plant_67</v>
      </c>
      <c r="F546" s="21" t="s">
        <v>39</v>
      </c>
      <c r="G546" s="44">
        <v>65</v>
      </c>
      <c r="H546" s="42"/>
      <c r="I546" s="42" t="s">
        <v>1036</v>
      </c>
      <c r="J546" s="42" t="s">
        <v>1003</v>
      </c>
      <c r="K546" s="42"/>
      <c r="L546" s="42"/>
      <c r="M546" s="42"/>
      <c r="N546" t="str">
        <f>VLOOKUP(C546,CU_ARS_2025_WOF_F2!$A$2:$K$673,2,FALSE)</f>
        <v>CU_ARS_2025_WOF_F2_1_plant_67</v>
      </c>
      <c r="O546" t="str">
        <f>VLOOKUP(C546,CU_ARS_2025_WOF_F2!$A$2:$K$673,2,FALSE)</f>
        <v>CU_ARS_2025_WOF_F2_1_plant_67</v>
      </c>
      <c r="P546" t="str">
        <f>VLOOKUP(C546,CU_ARS_2025_WOF_F2!$A$2:$K$673,3,FALSE)</f>
        <v>CU_ARS_2025_WOF_F2_1</v>
      </c>
      <c r="Q546" t="str">
        <f>VLOOKUP(C546,CU_ARS_2025_WOF_F2!$A$2:$K$673,4,FALSE)</f>
        <v>CU_ARS_2025_WOF_cross_55</v>
      </c>
      <c r="R546">
        <f>VLOOKUP(C546,CU_ARS_2025_WOF_F2!$A$2:$K$673,5,FALSE)</f>
        <v>1</v>
      </c>
      <c r="S546">
        <f>VLOOKUP(C546,CU_ARS_2025_WOF_F2!$A$2:$K$673,6,FALSE)</f>
        <v>1</v>
      </c>
      <c r="T546">
        <f>VLOOKUP(C546,CU_ARS_2025_WOF_F2!$A$2:$K$673,7,FALSE)</f>
        <v>0</v>
      </c>
      <c r="U546">
        <f>VLOOKUP(C546,CU_ARS_2025_WOF_F2!$A$2:$K$673,8,FALSE)</f>
        <v>1</v>
      </c>
      <c r="V546">
        <f>VLOOKUP(C546,CU_ARS_2025_WOF_F2!$A$2:$K$673,9,FALSE)</f>
        <v>0</v>
      </c>
      <c r="W546">
        <f>VLOOKUP(C546,CU_ARS_2025_WOF_F2!$A$2:$K$673,10,FALSE)</f>
        <v>0</v>
      </c>
      <c r="X546">
        <f>VLOOKUP(C546,CU_ARS_2025_WOF_F2!$A$2:$K$673,11,FALSE)</f>
        <v>67</v>
      </c>
      <c r="Y546" t="str">
        <f>VLOOKUP(Q546,cross_pedigree!$A$2:$B$23,2,FALSE)</f>
        <v>PA8014-840/NC20-4452</v>
      </c>
    </row>
    <row r="547" spans="1:25" ht="18">
      <c r="A547" s="21" t="s">
        <v>15</v>
      </c>
      <c r="B547" s="21" t="s">
        <v>16</v>
      </c>
      <c r="C547" s="22">
        <v>753847</v>
      </c>
      <c r="D547" s="23">
        <v>6</v>
      </c>
      <c r="E547" s="24" t="str">
        <f t="shared" si="8"/>
        <v>CU_ARS_2025_WOF_F2_1_plant_68</v>
      </c>
      <c r="F547" s="21" t="s">
        <v>41</v>
      </c>
      <c r="G547" s="44">
        <v>66</v>
      </c>
      <c r="H547" s="42"/>
      <c r="I547" s="42" t="s">
        <v>1036</v>
      </c>
      <c r="J547" s="42" t="s">
        <v>1003</v>
      </c>
      <c r="K547" s="42"/>
      <c r="L547" s="42"/>
      <c r="M547" s="42"/>
      <c r="N547" t="str">
        <f>VLOOKUP(C547,CU_ARS_2025_WOF_F2!$A$2:$K$673,2,FALSE)</f>
        <v>CU_ARS_2025_WOF_F2_1_plant_68</v>
      </c>
      <c r="O547" t="str">
        <f>VLOOKUP(C547,CU_ARS_2025_WOF_F2!$A$2:$K$673,2,FALSE)</f>
        <v>CU_ARS_2025_WOF_F2_1_plant_68</v>
      </c>
      <c r="P547" t="str">
        <f>VLOOKUP(C547,CU_ARS_2025_WOF_F2!$A$2:$K$673,3,FALSE)</f>
        <v>CU_ARS_2025_WOF_F2_1</v>
      </c>
      <c r="Q547" t="str">
        <f>VLOOKUP(C547,CU_ARS_2025_WOF_F2!$A$2:$K$673,4,FALSE)</f>
        <v>CU_ARS_2025_WOF_cross_55</v>
      </c>
      <c r="R547">
        <f>VLOOKUP(C547,CU_ARS_2025_WOF_F2!$A$2:$K$673,5,FALSE)</f>
        <v>1</v>
      </c>
      <c r="S547">
        <f>VLOOKUP(C547,CU_ARS_2025_WOF_F2!$A$2:$K$673,6,FALSE)</f>
        <v>1</v>
      </c>
      <c r="T547">
        <f>VLOOKUP(C547,CU_ARS_2025_WOF_F2!$A$2:$K$673,7,FALSE)</f>
        <v>0</v>
      </c>
      <c r="U547">
        <f>VLOOKUP(C547,CU_ARS_2025_WOF_F2!$A$2:$K$673,8,FALSE)</f>
        <v>1</v>
      </c>
      <c r="V547">
        <f>VLOOKUP(C547,CU_ARS_2025_WOF_F2!$A$2:$K$673,9,FALSE)</f>
        <v>0</v>
      </c>
      <c r="W547">
        <f>VLOOKUP(C547,CU_ARS_2025_WOF_F2!$A$2:$K$673,10,FALSE)</f>
        <v>0</v>
      </c>
      <c r="X547">
        <f>VLOOKUP(C547,CU_ARS_2025_WOF_F2!$A$2:$K$673,11,FALSE)</f>
        <v>68</v>
      </c>
      <c r="Y547" t="str">
        <f>VLOOKUP(Q547,cross_pedigree!$A$2:$B$23,2,FALSE)</f>
        <v>PA8014-840/NC20-4452</v>
      </c>
    </row>
    <row r="548" spans="1:25" ht="18">
      <c r="A548" s="21" t="s">
        <v>15</v>
      </c>
      <c r="B548" s="21" t="s">
        <v>16</v>
      </c>
      <c r="C548" s="22">
        <v>753848</v>
      </c>
      <c r="D548" s="23">
        <v>6</v>
      </c>
      <c r="E548" s="24" t="str">
        <f t="shared" si="8"/>
        <v>CU_ARS_2025_WOF_F2_1_plant_69</v>
      </c>
      <c r="F548" s="21" t="s">
        <v>184</v>
      </c>
      <c r="G548" s="44">
        <v>67</v>
      </c>
      <c r="H548" s="42"/>
      <c r="I548" s="42" t="s">
        <v>1036</v>
      </c>
      <c r="J548" s="42" t="s">
        <v>1003</v>
      </c>
      <c r="K548" s="42"/>
      <c r="L548" s="42"/>
      <c r="M548" s="42"/>
      <c r="N548" t="str">
        <f>VLOOKUP(C548,CU_ARS_2025_WOF_F2!$A$2:$K$673,2,FALSE)</f>
        <v>CU_ARS_2025_WOF_F2_1_plant_69</v>
      </c>
      <c r="O548" t="str">
        <f>VLOOKUP(C548,CU_ARS_2025_WOF_F2!$A$2:$K$673,2,FALSE)</f>
        <v>CU_ARS_2025_WOF_F2_1_plant_69</v>
      </c>
      <c r="P548" t="str">
        <f>VLOOKUP(C548,CU_ARS_2025_WOF_F2!$A$2:$K$673,3,FALSE)</f>
        <v>CU_ARS_2025_WOF_F2_1</v>
      </c>
      <c r="Q548" t="str">
        <f>VLOOKUP(C548,CU_ARS_2025_WOF_F2!$A$2:$K$673,4,FALSE)</f>
        <v>CU_ARS_2025_WOF_cross_55</v>
      </c>
      <c r="R548">
        <f>VLOOKUP(C548,CU_ARS_2025_WOF_F2!$A$2:$K$673,5,FALSE)</f>
        <v>1</v>
      </c>
      <c r="S548">
        <f>VLOOKUP(C548,CU_ARS_2025_WOF_F2!$A$2:$K$673,6,FALSE)</f>
        <v>1</v>
      </c>
      <c r="T548">
        <f>VLOOKUP(C548,CU_ARS_2025_WOF_F2!$A$2:$K$673,7,FALSE)</f>
        <v>0</v>
      </c>
      <c r="U548">
        <f>VLOOKUP(C548,CU_ARS_2025_WOF_F2!$A$2:$K$673,8,FALSE)</f>
        <v>1</v>
      </c>
      <c r="V548">
        <f>VLOOKUP(C548,CU_ARS_2025_WOF_F2!$A$2:$K$673,9,FALSE)</f>
        <v>0</v>
      </c>
      <c r="W548">
        <f>VLOOKUP(C548,CU_ARS_2025_WOF_F2!$A$2:$K$673,10,FALSE)</f>
        <v>0</v>
      </c>
      <c r="X548">
        <f>VLOOKUP(C548,CU_ARS_2025_WOF_F2!$A$2:$K$673,11,FALSE)</f>
        <v>69</v>
      </c>
      <c r="Y548" t="str">
        <f>VLOOKUP(Q548,cross_pedigree!$A$2:$B$23,2,FALSE)</f>
        <v>PA8014-840/NC20-4452</v>
      </c>
    </row>
    <row r="549" spans="1:25" ht="18">
      <c r="A549" s="21" t="s">
        <v>15</v>
      </c>
      <c r="B549" s="21" t="s">
        <v>16</v>
      </c>
      <c r="C549" s="22">
        <v>753489</v>
      </c>
      <c r="D549" s="23">
        <v>6</v>
      </c>
      <c r="E549" s="24" t="str">
        <f t="shared" si="8"/>
        <v>CU_ARS_2025_WOF_F2_2_plant_1</v>
      </c>
      <c r="F549" s="21" t="s">
        <v>186</v>
      </c>
      <c r="G549" s="44">
        <v>68</v>
      </c>
      <c r="H549" s="42"/>
      <c r="I549" s="42" t="s">
        <v>1034</v>
      </c>
      <c r="J549" s="42" t="s">
        <v>1003</v>
      </c>
      <c r="K549" s="42"/>
      <c r="L549" s="42"/>
      <c r="M549" s="42"/>
      <c r="N549" t="str">
        <f>VLOOKUP(C549,CU_ARS_2025_WOF_F2!$A$2:$K$673,2,FALSE)</f>
        <v>CU_ARS_2025_WOF_F2_2_plant_1</v>
      </c>
      <c r="O549" t="str">
        <f>VLOOKUP(C549,CU_ARS_2025_WOF_F2!$A$2:$K$673,2,FALSE)</f>
        <v>CU_ARS_2025_WOF_F2_2_plant_1</v>
      </c>
      <c r="P549" t="str">
        <f>VLOOKUP(C549,CU_ARS_2025_WOF_F2!$A$2:$K$673,3,FALSE)</f>
        <v>CU_ARS_2025_WOF_F2_2</v>
      </c>
      <c r="Q549" t="str">
        <f>VLOOKUP(C549,CU_ARS_2025_WOF_F2!$A$2:$K$673,4,FALSE)</f>
        <v>CU_ARS_2025_WOF_cross_45</v>
      </c>
      <c r="R549">
        <f>VLOOKUP(C549,CU_ARS_2025_WOF_F2!$A$2:$K$673,5,FALSE)</f>
        <v>2</v>
      </c>
      <c r="S549">
        <f>VLOOKUP(C549,CU_ARS_2025_WOF_F2!$A$2:$K$673,6,FALSE)</f>
        <v>1</v>
      </c>
      <c r="T549">
        <f>VLOOKUP(C549,CU_ARS_2025_WOF_F2!$A$2:$K$673,7,FALSE)</f>
        <v>0</v>
      </c>
      <c r="U549">
        <f>VLOOKUP(C549,CU_ARS_2025_WOF_F2!$A$2:$K$673,8,FALSE)</f>
        <v>1</v>
      </c>
      <c r="V549">
        <f>VLOOKUP(C549,CU_ARS_2025_WOF_F2!$A$2:$K$673,9,FALSE)</f>
        <v>0</v>
      </c>
      <c r="W549">
        <f>VLOOKUP(C549,CU_ARS_2025_WOF_F2!$A$2:$K$673,10,FALSE)</f>
        <v>0</v>
      </c>
      <c r="X549">
        <f>VLOOKUP(C549,CU_ARS_2025_WOF_F2!$A$2:$K$673,11,FALSE)</f>
        <v>1</v>
      </c>
      <c r="Y549" t="str">
        <f>VLOOKUP(Q549,cross_pedigree!$A$2:$B$23,2,FALSE)</f>
        <v>NC20-4526/AURORA</v>
      </c>
    </row>
    <row r="550" spans="1:25" ht="18">
      <c r="A550" s="21" t="s">
        <v>15</v>
      </c>
      <c r="B550" s="21" t="s">
        <v>16</v>
      </c>
      <c r="C550" s="22">
        <v>753490</v>
      </c>
      <c r="D550" s="23">
        <v>6</v>
      </c>
      <c r="E550" s="24" t="str">
        <f t="shared" si="8"/>
        <v>CU_ARS_2025_WOF_F2_2_plant_2</v>
      </c>
      <c r="F550" s="21" t="s">
        <v>188</v>
      </c>
      <c r="G550" s="44">
        <v>69</v>
      </c>
      <c r="H550" s="42"/>
      <c r="I550" s="42" t="s">
        <v>1034</v>
      </c>
      <c r="J550" s="42" t="s">
        <v>1003</v>
      </c>
      <c r="K550" s="42"/>
      <c r="L550" s="42"/>
      <c r="M550" s="42"/>
      <c r="N550" t="str">
        <f>VLOOKUP(C550,CU_ARS_2025_WOF_F2!$A$2:$K$673,2,FALSE)</f>
        <v>CU_ARS_2025_WOF_F2_2_plant_2</v>
      </c>
      <c r="O550" t="str">
        <f>VLOOKUP(C550,CU_ARS_2025_WOF_F2!$A$2:$K$673,2,FALSE)</f>
        <v>CU_ARS_2025_WOF_F2_2_plant_2</v>
      </c>
      <c r="P550" t="str">
        <f>VLOOKUP(C550,CU_ARS_2025_WOF_F2!$A$2:$K$673,3,FALSE)</f>
        <v>CU_ARS_2025_WOF_F2_2</v>
      </c>
      <c r="Q550" t="str">
        <f>VLOOKUP(C550,CU_ARS_2025_WOF_F2!$A$2:$K$673,4,FALSE)</f>
        <v>CU_ARS_2025_WOF_cross_45</v>
      </c>
      <c r="R550">
        <f>VLOOKUP(C550,CU_ARS_2025_WOF_F2!$A$2:$K$673,5,FALSE)</f>
        <v>2</v>
      </c>
      <c r="S550">
        <f>VLOOKUP(C550,CU_ARS_2025_WOF_F2!$A$2:$K$673,6,FALSE)</f>
        <v>1</v>
      </c>
      <c r="T550">
        <f>VLOOKUP(C550,CU_ARS_2025_WOF_F2!$A$2:$K$673,7,FALSE)</f>
        <v>0</v>
      </c>
      <c r="U550">
        <f>VLOOKUP(C550,CU_ARS_2025_WOF_F2!$A$2:$K$673,8,FALSE)</f>
        <v>1</v>
      </c>
      <c r="V550">
        <f>VLOOKUP(C550,CU_ARS_2025_WOF_F2!$A$2:$K$673,9,FALSE)</f>
        <v>0</v>
      </c>
      <c r="W550">
        <f>VLOOKUP(C550,CU_ARS_2025_WOF_F2!$A$2:$K$673,10,FALSE)</f>
        <v>0</v>
      </c>
      <c r="X550">
        <f>VLOOKUP(C550,CU_ARS_2025_WOF_F2!$A$2:$K$673,11,FALSE)</f>
        <v>2</v>
      </c>
      <c r="Y550" t="str">
        <f>VLOOKUP(Q550,cross_pedigree!$A$2:$B$23,2,FALSE)</f>
        <v>NC20-4526/AURORA</v>
      </c>
    </row>
    <row r="551" spans="1:25" ht="18">
      <c r="A551" s="21" t="s">
        <v>15</v>
      </c>
      <c r="B551" s="21" t="s">
        <v>16</v>
      </c>
      <c r="C551" s="22">
        <v>753491</v>
      </c>
      <c r="D551" s="23">
        <v>6</v>
      </c>
      <c r="E551" s="24" t="str">
        <f t="shared" si="8"/>
        <v>CU_ARS_2025_WOF_F2_2_plant_3</v>
      </c>
      <c r="F551" s="21" t="s">
        <v>190</v>
      </c>
      <c r="G551" s="44">
        <v>70</v>
      </c>
      <c r="H551" s="42"/>
      <c r="I551" s="42" t="s">
        <v>1034</v>
      </c>
      <c r="J551" s="42" t="s">
        <v>1003</v>
      </c>
      <c r="K551" s="42"/>
      <c r="L551" s="42"/>
      <c r="M551" s="42"/>
      <c r="N551" t="str">
        <f>VLOOKUP(C551,CU_ARS_2025_WOF_F2!$A$2:$K$673,2,FALSE)</f>
        <v>CU_ARS_2025_WOF_F2_2_plant_3</v>
      </c>
      <c r="O551" t="str">
        <f>VLOOKUP(C551,CU_ARS_2025_WOF_F2!$A$2:$K$673,2,FALSE)</f>
        <v>CU_ARS_2025_WOF_F2_2_plant_3</v>
      </c>
      <c r="P551" t="str">
        <f>VLOOKUP(C551,CU_ARS_2025_WOF_F2!$A$2:$K$673,3,FALSE)</f>
        <v>CU_ARS_2025_WOF_F2_2</v>
      </c>
      <c r="Q551" t="str">
        <f>VLOOKUP(C551,CU_ARS_2025_WOF_F2!$A$2:$K$673,4,FALSE)</f>
        <v>CU_ARS_2025_WOF_cross_45</v>
      </c>
      <c r="R551">
        <f>VLOOKUP(C551,CU_ARS_2025_WOF_F2!$A$2:$K$673,5,FALSE)</f>
        <v>2</v>
      </c>
      <c r="S551">
        <f>VLOOKUP(C551,CU_ARS_2025_WOF_F2!$A$2:$K$673,6,FALSE)</f>
        <v>1</v>
      </c>
      <c r="T551">
        <f>VLOOKUP(C551,CU_ARS_2025_WOF_F2!$A$2:$K$673,7,FALSE)</f>
        <v>0</v>
      </c>
      <c r="U551">
        <f>VLOOKUP(C551,CU_ARS_2025_WOF_F2!$A$2:$K$673,8,FALSE)</f>
        <v>1</v>
      </c>
      <c r="V551">
        <f>VLOOKUP(C551,CU_ARS_2025_WOF_F2!$A$2:$K$673,9,FALSE)</f>
        <v>0</v>
      </c>
      <c r="W551">
        <f>VLOOKUP(C551,CU_ARS_2025_WOF_F2!$A$2:$K$673,10,FALSE)</f>
        <v>0</v>
      </c>
      <c r="X551">
        <f>VLOOKUP(C551,CU_ARS_2025_WOF_F2!$A$2:$K$673,11,FALSE)</f>
        <v>3</v>
      </c>
      <c r="Y551" t="str">
        <f>VLOOKUP(Q551,cross_pedigree!$A$2:$B$23,2,FALSE)</f>
        <v>NC20-4526/AURORA</v>
      </c>
    </row>
    <row r="552" spans="1:25" ht="18">
      <c r="A552" s="21" t="s">
        <v>15</v>
      </c>
      <c r="B552" s="21" t="s">
        <v>16</v>
      </c>
      <c r="C552" s="22">
        <v>753492</v>
      </c>
      <c r="D552" s="23">
        <v>6</v>
      </c>
      <c r="E552" s="24" t="str">
        <f t="shared" si="8"/>
        <v>CU_ARS_2025_WOF_F2_2_plant_4</v>
      </c>
      <c r="F552" s="21" t="s">
        <v>192</v>
      </c>
      <c r="G552" s="44">
        <v>71</v>
      </c>
      <c r="H552" s="42"/>
      <c r="I552" s="42" t="s">
        <v>1034</v>
      </c>
      <c r="J552" s="42" t="s">
        <v>1003</v>
      </c>
      <c r="K552" s="42"/>
      <c r="L552" s="42"/>
      <c r="M552" s="42"/>
      <c r="N552" t="str">
        <f>VLOOKUP(C552,CU_ARS_2025_WOF_F2!$A$2:$K$673,2,FALSE)</f>
        <v>CU_ARS_2025_WOF_F2_2_plant_4</v>
      </c>
      <c r="O552" t="str">
        <f>VLOOKUP(C552,CU_ARS_2025_WOF_F2!$A$2:$K$673,2,FALSE)</f>
        <v>CU_ARS_2025_WOF_F2_2_plant_4</v>
      </c>
      <c r="P552" t="str">
        <f>VLOOKUP(C552,CU_ARS_2025_WOF_F2!$A$2:$K$673,3,FALSE)</f>
        <v>CU_ARS_2025_WOF_F2_2</v>
      </c>
      <c r="Q552" t="str">
        <f>VLOOKUP(C552,CU_ARS_2025_WOF_F2!$A$2:$K$673,4,FALSE)</f>
        <v>CU_ARS_2025_WOF_cross_45</v>
      </c>
      <c r="R552">
        <f>VLOOKUP(C552,CU_ARS_2025_WOF_F2!$A$2:$K$673,5,FALSE)</f>
        <v>2</v>
      </c>
      <c r="S552">
        <f>VLOOKUP(C552,CU_ARS_2025_WOF_F2!$A$2:$K$673,6,FALSE)</f>
        <v>1</v>
      </c>
      <c r="T552">
        <f>VLOOKUP(C552,CU_ARS_2025_WOF_F2!$A$2:$K$673,7,FALSE)</f>
        <v>0</v>
      </c>
      <c r="U552">
        <f>VLOOKUP(C552,CU_ARS_2025_WOF_F2!$A$2:$K$673,8,FALSE)</f>
        <v>1</v>
      </c>
      <c r="V552">
        <f>VLOOKUP(C552,CU_ARS_2025_WOF_F2!$A$2:$K$673,9,FALSE)</f>
        <v>0</v>
      </c>
      <c r="W552">
        <f>VLOOKUP(C552,CU_ARS_2025_WOF_F2!$A$2:$K$673,10,FALSE)</f>
        <v>0</v>
      </c>
      <c r="X552">
        <f>VLOOKUP(C552,CU_ARS_2025_WOF_F2!$A$2:$K$673,11,FALSE)</f>
        <v>4</v>
      </c>
      <c r="Y552" t="str">
        <f>VLOOKUP(Q552,cross_pedigree!$A$2:$B$23,2,FALSE)</f>
        <v>NC20-4526/AURORA</v>
      </c>
    </row>
    <row r="553" spans="1:25" ht="18">
      <c r="A553" s="21" t="s">
        <v>15</v>
      </c>
      <c r="B553" s="21" t="s">
        <v>16</v>
      </c>
      <c r="C553" s="22">
        <v>753493</v>
      </c>
      <c r="D553" s="23">
        <v>6</v>
      </c>
      <c r="E553" s="24" t="str">
        <f t="shared" si="8"/>
        <v>CU_ARS_2025_WOF_F2_2_plant_5</v>
      </c>
      <c r="F553" s="21" t="s">
        <v>194</v>
      </c>
      <c r="G553" s="44">
        <v>72</v>
      </c>
      <c r="H553" s="42"/>
      <c r="I553" s="42" t="s">
        <v>1034</v>
      </c>
      <c r="J553" s="42" t="s">
        <v>1003</v>
      </c>
      <c r="K553" s="42"/>
      <c r="L553" s="42"/>
      <c r="M553" s="42"/>
      <c r="N553" t="str">
        <f>VLOOKUP(C553,CU_ARS_2025_WOF_F2!$A$2:$K$673,2,FALSE)</f>
        <v>CU_ARS_2025_WOF_F2_2_plant_5</v>
      </c>
      <c r="O553" t="str">
        <f>VLOOKUP(C553,CU_ARS_2025_WOF_F2!$A$2:$K$673,2,FALSE)</f>
        <v>CU_ARS_2025_WOF_F2_2_plant_5</v>
      </c>
      <c r="P553" t="str">
        <f>VLOOKUP(C553,CU_ARS_2025_WOF_F2!$A$2:$K$673,3,FALSE)</f>
        <v>CU_ARS_2025_WOF_F2_2</v>
      </c>
      <c r="Q553" t="str">
        <f>VLOOKUP(C553,CU_ARS_2025_WOF_F2!$A$2:$K$673,4,FALSE)</f>
        <v>CU_ARS_2025_WOF_cross_45</v>
      </c>
      <c r="R553">
        <f>VLOOKUP(C553,CU_ARS_2025_WOF_F2!$A$2:$K$673,5,FALSE)</f>
        <v>2</v>
      </c>
      <c r="S553">
        <f>VLOOKUP(C553,CU_ARS_2025_WOF_F2!$A$2:$K$673,6,FALSE)</f>
        <v>1</v>
      </c>
      <c r="T553">
        <f>VLOOKUP(C553,CU_ARS_2025_WOF_F2!$A$2:$K$673,7,FALSE)</f>
        <v>0</v>
      </c>
      <c r="U553">
        <f>VLOOKUP(C553,CU_ARS_2025_WOF_F2!$A$2:$K$673,8,FALSE)</f>
        <v>1</v>
      </c>
      <c r="V553">
        <f>VLOOKUP(C553,CU_ARS_2025_WOF_F2!$A$2:$K$673,9,FALSE)</f>
        <v>0</v>
      </c>
      <c r="W553">
        <f>VLOOKUP(C553,CU_ARS_2025_WOF_F2!$A$2:$K$673,10,FALSE)</f>
        <v>0</v>
      </c>
      <c r="X553">
        <f>VLOOKUP(C553,CU_ARS_2025_WOF_F2!$A$2:$K$673,11,FALSE)</f>
        <v>5</v>
      </c>
      <c r="Y553" t="str">
        <f>VLOOKUP(Q553,cross_pedigree!$A$2:$B$23,2,FALSE)</f>
        <v>NC20-4526/AURORA</v>
      </c>
    </row>
    <row r="554" spans="1:25" ht="18">
      <c r="A554" s="21" t="s">
        <v>15</v>
      </c>
      <c r="B554" s="21" t="s">
        <v>16</v>
      </c>
      <c r="C554" s="22">
        <v>753501</v>
      </c>
      <c r="D554" s="23">
        <v>6</v>
      </c>
      <c r="E554" s="24" t="str">
        <f t="shared" si="8"/>
        <v>CU_ARS_2025_WOF_F2_2_plant_13</v>
      </c>
      <c r="F554" s="21" t="s">
        <v>196</v>
      </c>
      <c r="G554" s="44">
        <v>73</v>
      </c>
      <c r="H554" s="42"/>
      <c r="I554" s="42" t="s">
        <v>1034</v>
      </c>
      <c r="J554" s="42" t="s">
        <v>1003</v>
      </c>
      <c r="K554" s="42"/>
      <c r="L554" s="42"/>
      <c r="M554" s="42"/>
      <c r="N554" t="str">
        <f>VLOOKUP(C554,CU_ARS_2025_WOF_F2!$A$2:$K$673,2,FALSE)</f>
        <v>CU_ARS_2025_WOF_F2_2_plant_13</v>
      </c>
      <c r="O554" t="str">
        <f>VLOOKUP(C554,CU_ARS_2025_WOF_F2!$A$2:$K$673,2,FALSE)</f>
        <v>CU_ARS_2025_WOF_F2_2_plant_13</v>
      </c>
      <c r="P554" t="str">
        <f>VLOOKUP(C554,CU_ARS_2025_WOF_F2!$A$2:$K$673,3,FALSE)</f>
        <v>CU_ARS_2025_WOF_F2_2</v>
      </c>
      <c r="Q554" t="str">
        <f>VLOOKUP(C554,CU_ARS_2025_WOF_F2!$A$2:$K$673,4,FALSE)</f>
        <v>CU_ARS_2025_WOF_cross_45</v>
      </c>
      <c r="R554">
        <f>VLOOKUP(C554,CU_ARS_2025_WOF_F2!$A$2:$K$673,5,FALSE)</f>
        <v>2</v>
      </c>
      <c r="S554">
        <f>VLOOKUP(C554,CU_ARS_2025_WOF_F2!$A$2:$K$673,6,FALSE)</f>
        <v>1</v>
      </c>
      <c r="T554">
        <f>VLOOKUP(C554,CU_ARS_2025_WOF_F2!$A$2:$K$673,7,FALSE)</f>
        <v>0</v>
      </c>
      <c r="U554">
        <f>VLOOKUP(C554,CU_ARS_2025_WOF_F2!$A$2:$K$673,8,FALSE)</f>
        <v>1</v>
      </c>
      <c r="V554">
        <f>VLOOKUP(C554,CU_ARS_2025_WOF_F2!$A$2:$K$673,9,FALSE)</f>
        <v>0</v>
      </c>
      <c r="W554">
        <f>VLOOKUP(C554,CU_ARS_2025_WOF_F2!$A$2:$K$673,10,FALSE)</f>
        <v>0</v>
      </c>
      <c r="X554">
        <f>VLOOKUP(C554,CU_ARS_2025_WOF_F2!$A$2:$K$673,11,FALSE)</f>
        <v>13</v>
      </c>
      <c r="Y554" t="str">
        <f>VLOOKUP(Q554,cross_pedigree!$A$2:$B$23,2,FALSE)</f>
        <v>NC20-4526/AURORA</v>
      </c>
    </row>
    <row r="555" spans="1:25" ht="18">
      <c r="A555" s="21" t="s">
        <v>15</v>
      </c>
      <c r="B555" s="21" t="s">
        <v>16</v>
      </c>
      <c r="C555" s="22">
        <v>753500</v>
      </c>
      <c r="D555" s="23">
        <v>6</v>
      </c>
      <c r="E555" s="24" t="str">
        <f t="shared" si="8"/>
        <v>CU_ARS_2025_WOF_F2_2_plant_12</v>
      </c>
      <c r="F555" s="21" t="s">
        <v>198</v>
      </c>
      <c r="G555" s="44">
        <v>74</v>
      </c>
      <c r="H555" s="42"/>
      <c r="I555" s="42" t="s">
        <v>1034</v>
      </c>
      <c r="J555" s="42" t="s">
        <v>1003</v>
      </c>
      <c r="K555" s="42"/>
      <c r="L555" s="42"/>
      <c r="M555" s="42"/>
      <c r="N555" t="str">
        <f>VLOOKUP(C555,CU_ARS_2025_WOF_F2!$A$2:$K$673,2,FALSE)</f>
        <v>CU_ARS_2025_WOF_F2_2_plant_12</v>
      </c>
      <c r="O555" t="str">
        <f>VLOOKUP(C555,CU_ARS_2025_WOF_F2!$A$2:$K$673,2,FALSE)</f>
        <v>CU_ARS_2025_WOF_F2_2_plant_12</v>
      </c>
      <c r="P555" t="str">
        <f>VLOOKUP(C555,CU_ARS_2025_WOF_F2!$A$2:$K$673,3,FALSE)</f>
        <v>CU_ARS_2025_WOF_F2_2</v>
      </c>
      <c r="Q555" t="str">
        <f>VLOOKUP(C555,CU_ARS_2025_WOF_F2!$A$2:$K$673,4,FALSE)</f>
        <v>CU_ARS_2025_WOF_cross_45</v>
      </c>
      <c r="R555">
        <f>VLOOKUP(C555,CU_ARS_2025_WOF_F2!$A$2:$K$673,5,FALSE)</f>
        <v>2</v>
      </c>
      <c r="S555">
        <f>VLOOKUP(C555,CU_ARS_2025_WOF_F2!$A$2:$K$673,6,FALSE)</f>
        <v>1</v>
      </c>
      <c r="T555">
        <f>VLOOKUP(C555,CU_ARS_2025_WOF_F2!$A$2:$K$673,7,FALSE)</f>
        <v>0</v>
      </c>
      <c r="U555">
        <f>VLOOKUP(C555,CU_ARS_2025_WOF_F2!$A$2:$K$673,8,FALSE)</f>
        <v>1</v>
      </c>
      <c r="V555">
        <f>VLOOKUP(C555,CU_ARS_2025_WOF_F2!$A$2:$K$673,9,FALSE)</f>
        <v>0</v>
      </c>
      <c r="W555">
        <f>VLOOKUP(C555,CU_ARS_2025_WOF_F2!$A$2:$K$673,10,FALSE)</f>
        <v>0</v>
      </c>
      <c r="X555">
        <f>VLOOKUP(C555,CU_ARS_2025_WOF_F2!$A$2:$K$673,11,FALSE)</f>
        <v>12</v>
      </c>
      <c r="Y555" t="str">
        <f>VLOOKUP(Q555,cross_pedigree!$A$2:$B$23,2,FALSE)</f>
        <v>NC20-4526/AURORA</v>
      </c>
    </row>
    <row r="556" spans="1:25" ht="18">
      <c r="A556" s="21" t="s">
        <v>15</v>
      </c>
      <c r="B556" s="21" t="s">
        <v>16</v>
      </c>
      <c r="C556" s="22">
        <v>753499</v>
      </c>
      <c r="D556" s="23">
        <v>6</v>
      </c>
      <c r="E556" s="24" t="str">
        <f t="shared" si="8"/>
        <v>CU_ARS_2025_WOF_F2_2_plant_11</v>
      </c>
      <c r="F556" s="21" t="s">
        <v>200</v>
      </c>
      <c r="G556" s="44">
        <v>75</v>
      </c>
      <c r="H556" s="42"/>
      <c r="I556" s="42" t="s">
        <v>1034</v>
      </c>
      <c r="J556" s="42" t="s">
        <v>1003</v>
      </c>
      <c r="K556" s="42"/>
      <c r="L556" s="42"/>
      <c r="M556" s="42"/>
      <c r="N556" t="str">
        <f>VLOOKUP(C556,CU_ARS_2025_WOF_F2!$A$2:$K$673,2,FALSE)</f>
        <v>CU_ARS_2025_WOF_F2_2_plant_11</v>
      </c>
      <c r="O556" t="str">
        <f>VLOOKUP(C556,CU_ARS_2025_WOF_F2!$A$2:$K$673,2,FALSE)</f>
        <v>CU_ARS_2025_WOF_F2_2_plant_11</v>
      </c>
      <c r="P556" t="str">
        <f>VLOOKUP(C556,CU_ARS_2025_WOF_F2!$A$2:$K$673,3,FALSE)</f>
        <v>CU_ARS_2025_WOF_F2_2</v>
      </c>
      <c r="Q556" t="str">
        <f>VLOOKUP(C556,CU_ARS_2025_WOF_F2!$A$2:$K$673,4,FALSE)</f>
        <v>CU_ARS_2025_WOF_cross_45</v>
      </c>
      <c r="R556">
        <f>VLOOKUP(C556,CU_ARS_2025_WOF_F2!$A$2:$K$673,5,FALSE)</f>
        <v>2</v>
      </c>
      <c r="S556">
        <f>VLOOKUP(C556,CU_ARS_2025_WOF_F2!$A$2:$K$673,6,FALSE)</f>
        <v>1</v>
      </c>
      <c r="T556">
        <f>VLOOKUP(C556,CU_ARS_2025_WOF_F2!$A$2:$K$673,7,FALSE)</f>
        <v>0</v>
      </c>
      <c r="U556">
        <f>VLOOKUP(C556,CU_ARS_2025_WOF_F2!$A$2:$K$673,8,FALSE)</f>
        <v>1</v>
      </c>
      <c r="V556">
        <f>VLOOKUP(C556,CU_ARS_2025_WOF_F2!$A$2:$K$673,9,FALSE)</f>
        <v>0</v>
      </c>
      <c r="W556">
        <f>VLOOKUP(C556,CU_ARS_2025_WOF_F2!$A$2:$K$673,10,FALSE)</f>
        <v>0</v>
      </c>
      <c r="X556">
        <f>VLOOKUP(C556,CU_ARS_2025_WOF_F2!$A$2:$K$673,11,FALSE)</f>
        <v>11</v>
      </c>
      <c r="Y556" t="str">
        <f>VLOOKUP(Q556,cross_pedigree!$A$2:$B$23,2,FALSE)</f>
        <v>NC20-4526/AURORA</v>
      </c>
    </row>
    <row r="557" spans="1:25" ht="18">
      <c r="A557" s="21" t="s">
        <v>15</v>
      </c>
      <c r="B557" s="21" t="s">
        <v>16</v>
      </c>
      <c r="C557" s="22">
        <v>753498</v>
      </c>
      <c r="D557" s="23">
        <v>6</v>
      </c>
      <c r="E557" s="24" t="str">
        <f t="shared" si="8"/>
        <v>CU_ARS_2025_WOF_F2_2_plant_10</v>
      </c>
      <c r="F557" s="21" t="s">
        <v>202</v>
      </c>
      <c r="G557" s="44">
        <v>76</v>
      </c>
      <c r="H557" s="42"/>
      <c r="I557" s="42" t="s">
        <v>1034</v>
      </c>
      <c r="J557" s="42" t="s">
        <v>1003</v>
      </c>
      <c r="K557" s="42"/>
      <c r="L557" s="42"/>
      <c r="M557" s="42"/>
      <c r="N557" t="str">
        <f>VLOOKUP(C557,CU_ARS_2025_WOF_F2!$A$2:$K$673,2,FALSE)</f>
        <v>CU_ARS_2025_WOF_F2_2_plant_10</v>
      </c>
      <c r="O557" t="str">
        <f>VLOOKUP(C557,CU_ARS_2025_WOF_F2!$A$2:$K$673,2,FALSE)</f>
        <v>CU_ARS_2025_WOF_F2_2_plant_10</v>
      </c>
      <c r="P557" t="str">
        <f>VLOOKUP(C557,CU_ARS_2025_WOF_F2!$A$2:$K$673,3,FALSE)</f>
        <v>CU_ARS_2025_WOF_F2_2</v>
      </c>
      <c r="Q557" t="str">
        <f>VLOOKUP(C557,CU_ARS_2025_WOF_F2!$A$2:$K$673,4,FALSE)</f>
        <v>CU_ARS_2025_WOF_cross_45</v>
      </c>
      <c r="R557">
        <f>VLOOKUP(C557,CU_ARS_2025_WOF_F2!$A$2:$K$673,5,FALSE)</f>
        <v>2</v>
      </c>
      <c r="S557">
        <f>VLOOKUP(C557,CU_ARS_2025_WOF_F2!$A$2:$K$673,6,FALSE)</f>
        <v>1</v>
      </c>
      <c r="T557">
        <f>VLOOKUP(C557,CU_ARS_2025_WOF_F2!$A$2:$K$673,7,FALSE)</f>
        <v>0</v>
      </c>
      <c r="U557">
        <f>VLOOKUP(C557,CU_ARS_2025_WOF_F2!$A$2:$K$673,8,FALSE)</f>
        <v>1</v>
      </c>
      <c r="V557">
        <f>VLOOKUP(C557,CU_ARS_2025_WOF_F2!$A$2:$K$673,9,FALSE)</f>
        <v>0</v>
      </c>
      <c r="W557">
        <f>VLOOKUP(C557,CU_ARS_2025_WOF_F2!$A$2:$K$673,10,FALSE)</f>
        <v>0</v>
      </c>
      <c r="X557">
        <f>VLOOKUP(C557,CU_ARS_2025_WOF_F2!$A$2:$K$673,11,FALSE)</f>
        <v>10</v>
      </c>
      <c r="Y557" t="str">
        <f>VLOOKUP(Q557,cross_pedigree!$A$2:$B$23,2,FALSE)</f>
        <v>NC20-4526/AURORA</v>
      </c>
    </row>
    <row r="558" spans="1:25" ht="18">
      <c r="A558" s="21" t="s">
        <v>15</v>
      </c>
      <c r="B558" s="21" t="s">
        <v>16</v>
      </c>
      <c r="C558" s="22">
        <v>753497</v>
      </c>
      <c r="D558" s="23">
        <v>6</v>
      </c>
      <c r="E558" s="24" t="str">
        <f t="shared" si="8"/>
        <v>CU_ARS_2025_WOF_F2_2_plant_9</v>
      </c>
      <c r="F558" s="21" t="s">
        <v>204</v>
      </c>
      <c r="G558" s="44">
        <v>77</v>
      </c>
      <c r="H558" s="42"/>
      <c r="I558" s="42" t="s">
        <v>1034</v>
      </c>
      <c r="J558" s="42" t="s">
        <v>1003</v>
      </c>
      <c r="K558" s="42"/>
      <c r="L558" s="42"/>
      <c r="M558" s="42"/>
      <c r="N558" t="str">
        <f>VLOOKUP(C558,CU_ARS_2025_WOF_F2!$A$2:$K$673,2,FALSE)</f>
        <v>CU_ARS_2025_WOF_F2_2_plant_9</v>
      </c>
      <c r="O558" t="str">
        <f>VLOOKUP(C558,CU_ARS_2025_WOF_F2!$A$2:$K$673,2,FALSE)</f>
        <v>CU_ARS_2025_WOF_F2_2_plant_9</v>
      </c>
      <c r="P558" t="str">
        <f>VLOOKUP(C558,CU_ARS_2025_WOF_F2!$A$2:$K$673,3,FALSE)</f>
        <v>CU_ARS_2025_WOF_F2_2</v>
      </c>
      <c r="Q558" t="str">
        <f>VLOOKUP(C558,CU_ARS_2025_WOF_F2!$A$2:$K$673,4,FALSE)</f>
        <v>CU_ARS_2025_WOF_cross_45</v>
      </c>
      <c r="R558">
        <f>VLOOKUP(C558,CU_ARS_2025_WOF_F2!$A$2:$K$673,5,FALSE)</f>
        <v>2</v>
      </c>
      <c r="S558">
        <f>VLOOKUP(C558,CU_ARS_2025_WOF_F2!$A$2:$K$673,6,FALSE)</f>
        <v>1</v>
      </c>
      <c r="T558">
        <f>VLOOKUP(C558,CU_ARS_2025_WOF_F2!$A$2:$K$673,7,FALSE)</f>
        <v>0</v>
      </c>
      <c r="U558">
        <f>VLOOKUP(C558,CU_ARS_2025_WOF_F2!$A$2:$K$673,8,FALSE)</f>
        <v>1</v>
      </c>
      <c r="V558">
        <f>VLOOKUP(C558,CU_ARS_2025_WOF_F2!$A$2:$K$673,9,FALSE)</f>
        <v>0</v>
      </c>
      <c r="W558">
        <f>VLOOKUP(C558,CU_ARS_2025_WOF_F2!$A$2:$K$673,10,FALSE)</f>
        <v>0</v>
      </c>
      <c r="X558">
        <f>VLOOKUP(C558,CU_ARS_2025_WOF_F2!$A$2:$K$673,11,FALSE)</f>
        <v>9</v>
      </c>
      <c r="Y558" t="str">
        <f>VLOOKUP(Q558,cross_pedigree!$A$2:$B$23,2,FALSE)</f>
        <v>NC20-4526/AURORA</v>
      </c>
    </row>
    <row r="559" spans="1:25" ht="18">
      <c r="A559" s="21" t="s">
        <v>15</v>
      </c>
      <c r="B559" s="21" t="s">
        <v>16</v>
      </c>
      <c r="C559" s="22">
        <v>753494</v>
      </c>
      <c r="D559" s="23">
        <v>6</v>
      </c>
      <c r="E559" s="24" t="str">
        <f t="shared" si="8"/>
        <v>CU_ARS_2025_WOF_F2_2_plant_6</v>
      </c>
      <c r="F559" s="21" t="s">
        <v>206</v>
      </c>
      <c r="G559" s="44">
        <v>78</v>
      </c>
      <c r="H559" s="42"/>
      <c r="I559" s="42" t="s">
        <v>1034</v>
      </c>
      <c r="J559" s="42" t="s">
        <v>1003</v>
      </c>
      <c r="K559" s="42"/>
      <c r="L559" s="42"/>
      <c r="M559" s="42"/>
      <c r="N559" t="str">
        <f>VLOOKUP(C559,CU_ARS_2025_WOF_F2!$A$2:$K$673,2,FALSE)</f>
        <v>CU_ARS_2025_WOF_F2_2_plant_6</v>
      </c>
      <c r="O559" t="str">
        <f>VLOOKUP(C559,CU_ARS_2025_WOF_F2!$A$2:$K$673,2,FALSE)</f>
        <v>CU_ARS_2025_WOF_F2_2_plant_6</v>
      </c>
      <c r="P559" t="str">
        <f>VLOOKUP(C559,CU_ARS_2025_WOF_F2!$A$2:$K$673,3,FALSE)</f>
        <v>CU_ARS_2025_WOF_F2_2</v>
      </c>
      <c r="Q559" t="str">
        <f>VLOOKUP(C559,CU_ARS_2025_WOF_F2!$A$2:$K$673,4,FALSE)</f>
        <v>CU_ARS_2025_WOF_cross_45</v>
      </c>
      <c r="R559">
        <f>VLOOKUP(C559,CU_ARS_2025_WOF_F2!$A$2:$K$673,5,FALSE)</f>
        <v>2</v>
      </c>
      <c r="S559">
        <f>VLOOKUP(C559,CU_ARS_2025_WOF_F2!$A$2:$K$673,6,FALSE)</f>
        <v>1</v>
      </c>
      <c r="T559">
        <f>VLOOKUP(C559,CU_ARS_2025_WOF_F2!$A$2:$K$673,7,FALSE)</f>
        <v>0</v>
      </c>
      <c r="U559">
        <f>VLOOKUP(C559,CU_ARS_2025_WOF_F2!$A$2:$K$673,8,FALSE)</f>
        <v>1</v>
      </c>
      <c r="V559">
        <f>VLOOKUP(C559,CU_ARS_2025_WOF_F2!$A$2:$K$673,9,FALSE)</f>
        <v>0</v>
      </c>
      <c r="W559">
        <f>VLOOKUP(C559,CU_ARS_2025_WOF_F2!$A$2:$K$673,10,FALSE)</f>
        <v>0</v>
      </c>
      <c r="X559">
        <f>VLOOKUP(C559,CU_ARS_2025_WOF_F2!$A$2:$K$673,11,FALSE)</f>
        <v>6</v>
      </c>
      <c r="Y559" t="str">
        <f>VLOOKUP(Q559,cross_pedigree!$A$2:$B$23,2,FALSE)</f>
        <v>NC20-4526/AURORA</v>
      </c>
    </row>
    <row r="560" spans="1:25" ht="18">
      <c r="A560" s="21" t="s">
        <v>15</v>
      </c>
      <c r="B560" s="21" t="s">
        <v>16</v>
      </c>
      <c r="C560" s="22">
        <v>753495</v>
      </c>
      <c r="D560" s="23">
        <v>6</v>
      </c>
      <c r="E560" s="24" t="str">
        <f t="shared" si="8"/>
        <v>CU_ARS_2025_WOF_F2_2_plant_7</v>
      </c>
      <c r="F560" s="21" t="s">
        <v>91</v>
      </c>
      <c r="G560" s="44">
        <v>79</v>
      </c>
      <c r="H560" s="42"/>
      <c r="I560" s="42" t="s">
        <v>1034</v>
      </c>
      <c r="J560" s="42" t="s">
        <v>1003</v>
      </c>
      <c r="K560" s="42"/>
      <c r="L560" s="42"/>
      <c r="M560" s="42"/>
      <c r="N560" t="str">
        <f>VLOOKUP(C560,CU_ARS_2025_WOF_F2!$A$2:$K$673,2,FALSE)</f>
        <v>CU_ARS_2025_WOF_F2_2_plant_7</v>
      </c>
      <c r="O560" t="str">
        <f>VLOOKUP(C560,CU_ARS_2025_WOF_F2!$A$2:$K$673,2,FALSE)</f>
        <v>CU_ARS_2025_WOF_F2_2_plant_7</v>
      </c>
      <c r="P560" t="str">
        <f>VLOOKUP(C560,CU_ARS_2025_WOF_F2!$A$2:$K$673,3,FALSE)</f>
        <v>CU_ARS_2025_WOF_F2_2</v>
      </c>
      <c r="Q560" t="str">
        <f>VLOOKUP(C560,CU_ARS_2025_WOF_F2!$A$2:$K$673,4,FALSE)</f>
        <v>CU_ARS_2025_WOF_cross_45</v>
      </c>
      <c r="R560">
        <f>VLOOKUP(C560,CU_ARS_2025_WOF_F2!$A$2:$K$673,5,FALSE)</f>
        <v>2</v>
      </c>
      <c r="S560">
        <f>VLOOKUP(C560,CU_ARS_2025_WOF_F2!$A$2:$K$673,6,FALSE)</f>
        <v>1</v>
      </c>
      <c r="T560">
        <f>VLOOKUP(C560,CU_ARS_2025_WOF_F2!$A$2:$K$673,7,FALSE)</f>
        <v>0</v>
      </c>
      <c r="U560">
        <f>VLOOKUP(C560,CU_ARS_2025_WOF_F2!$A$2:$K$673,8,FALSE)</f>
        <v>1</v>
      </c>
      <c r="V560">
        <f>VLOOKUP(C560,CU_ARS_2025_WOF_F2!$A$2:$K$673,9,FALSE)</f>
        <v>0</v>
      </c>
      <c r="W560">
        <f>VLOOKUP(C560,CU_ARS_2025_WOF_F2!$A$2:$K$673,10,FALSE)</f>
        <v>0</v>
      </c>
      <c r="X560">
        <f>VLOOKUP(C560,CU_ARS_2025_WOF_F2!$A$2:$K$673,11,FALSE)</f>
        <v>7</v>
      </c>
      <c r="Y560" t="str">
        <f>VLOOKUP(Q560,cross_pedigree!$A$2:$B$23,2,FALSE)</f>
        <v>NC20-4526/AURORA</v>
      </c>
    </row>
    <row r="561" spans="1:25" ht="18">
      <c r="A561" s="21" t="s">
        <v>15</v>
      </c>
      <c r="B561" s="21" t="s">
        <v>16</v>
      </c>
      <c r="C561" s="22">
        <v>753496</v>
      </c>
      <c r="D561" s="23">
        <v>6</v>
      </c>
      <c r="E561" s="24" t="str">
        <f t="shared" si="8"/>
        <v>CU_ARS_2025_WOF_F2_2_plant_8</v>
      </c>
      <c r="F561" s="21" t="s">
        <v>92</v>
      </c>
      <c r="G561" s="44">
        <v>80</v>
      </c>
      <c r="H561" s="42"/>
      <c r="I561" s="42" t="s">
        <v>1034</v>
      </c>
      <c r="J561" s="42" t="s">
        <v>1003</v>
      </c>
      <c r="K561" s="42"/>
      <c r="L561" s="42"/>
      <c r="M561" s="42"/>
      <c r="N561" t="str">
        <f>VLOOKUP(C561,CU_ARS_2025_WOF_F2!$A$2:$K$673,2,FALSE)</f>
        <v>CU_ARS_2025_WOF_F2_2_plant_8</v>
      </c>
      <c r="O561" t="str">
        <f>VLOOKUP(C561,CU_ARS_2025_WOF_F2!$A$2:$K$673,2,FALSE)</f>
        <v>CU_ARS_2025_WOF_F2_2_plant_8</v>
      </c>
      <c r="P561" t="str">
        <f>VLOOKUP(C561,CU_ARS_2025_WOF_F2!$A$2:$K$673,3,FALSE)</f>
        <v>CU_ARS_2025_WOF_F2_2</v>
      </c>
      <c r="Q561" t="str">
        <f>VLOOKUP(C561,CU_ARS_2025_WOF_F2!$A$2:$K$673,4,FALSE)</f>
        <v>CU_ARS_2025_WOF_cross_45</v>
      </c>
      <c r="R561">
        <f>VLOOKUP(C561,CU_ARS_2025_WOF_F2!$A$2:$K$673,5,FALSE)</f>
        <v>2</v>
      </c>
      <c r="S561">
        <f>VLOOKUP(C561,CU_ARS_2025_WOF_F2!$A$2:$K$673,6,FALSE)</f>
        <v>1</v>
      </c>
      <c r="T561">
        <f>VLOOKUP(C561,CU_ARS_2025_WOF_F2!$A$2:$K$673,7,FALSE)</f>
        <v>0</v>
      </c>
      <c r="U561">
        <f>VLOOKUP(C561,CU_ARS_2025_WOF_F2!$A$2:$K$673,8,FALSE)</f>
        <v>1</v>
      </c>
      <c r="V561">
        <f>VLOOKUP(C561,CU_ARS_2025_WOF_F2!$A$2:$K$673,9,FALSE)</f>
        <v>0</v>
      </c>
      <c r="W561">
        <f>VLOOKUP(C561,CU_ARS_2025_WOF_F2!$A$2:$K$673,10,FALSE)</f>
        <v>0</v>
      </c>
      <c r="X561">
        <f>VLOOKUP(C561,CU_ARS_2025_WOF_F2!$A$2:$K$673,11,FALSE)</f>
        <v>8</v>
      </c>
      <c r="Y561" t="str">
        <f>VLOOKUP(Q561,cross_pedigree!$A$2:$B$23,2,FALSE)</f>
        <v>NC20-4526/AURORA</v>
      </c>
    </row>
    <row r="562" spans="1:25" ht="18">
      <c r="A562" s="21" t="s">
        <v>15</v>
      </c>
      <c r="B562" s="21" t="s">
        <v>16</v>
      </c>
      <c r="C562" s="22">
        <v>753502</v>
      </c>
      <c r="D562" s="23">
        <v>6</v>
      </c>
      <c r="E562" s="24" t="str">
        <f t="shared" si="8"/>
        <v>CU_ARS_2025_WOF_F2_2_plant_14</v>
      </c>
      <c r="F562" s="21" t="s">
        <v>93</v>
      </c>
      <c r="G562" s="44">
        <v>81</v>
      </c>
      <c r="H562" s="42"/>
      <c r="I562" s="42" t="s">
        <v>1034</v>
      </c>
      <c r="J562" s="42" t="s">
        <v>1003</v>
      </c>
      <c r="K562" s="42"/>
      <c r="L562" s="42"/>
      <c r="M562" s="42"/>
      <c r="N562" t="str">
        <f>VLOOKUP(C562,CU_ARS_2025_WOF_F2!$A$2:$K$673,2,FALSE)</f>
        <v>CU_ARS_2025_WOF_F2_2_plant_14</v>
      </c>
      <c r="O562" t="str">
        <f>VLOOKUP(C562,CU_ARS_2025_WOF_F2!$A$2:$K$673,2,FALSE)</f>
        <v>CU_ARS_2025_WOF_F2_2_plant_14</v>
      </c>
      <c r="P562" t="str">
        <f>VLOOKUP(C562,CU_ARS_2025_WOF_F2!$A$2:$K$673,3,FALSE)</f>
        <v>CU_ARS_2025_WOF_F2_2</v>
      </c>
      <c r="Q562" t="str">
        <f>VLOOKUP(C562,CU_ARS_2025_WOF_F2!$A$2:$K$673,4,FALSE)</f>
        <v>CU_ARS_2025_WOF_cross_45</v>
      </c>
      <c r="R562">
        <f>VLOOKUP(C562,CU_ARS_2025_WOF_F2!$A$2:$K$673,5,FALSE)</f>
        <v>2</v>
      </c>
      <c r="S562">
        <f>VLOOKUP(C562,CU_ARS_2025_WOF_F2!$A$2:$K$673,6,FALSE)</f>
        <v>1</v>
      </c>
      <c r="T562">
        <f>VLOOKUP(C562,CU_ARS_2025_WOF_F2!$A$2:$K$673,7,FALSE)</f>
        <v>0</v>
      </c>
      <c r="U562">
        <f>VLOOKUP(C562,CU_ARS_2025_WOF_F2!$A$2:$K$673,8,FALSE)</f>
        <v>1</v>
      </c>
      <c r="V562">
        <f>VLOOKUP(C562,CU_ARS_2025_WOF_F2!$A$2:$K$673,9,FALSE)</f>
        <v>0</v>
      </c>
      <c r="W562">
        <f>VLOOKUP(C562,CU_ARS_2025_WOF_F2!$A$2:$K$673,10,FALSE)</f>
        <v>0</v>
      </c>
      <c r="X562">
        <f>VLOOKUP(C562,CU_ARS_2025_WOF_F2!$A$2:$K$673,11,FALSE)</f>
        <v>14</v>
      </c>
      <c r="Y562" t="str">
        <f>VLOOKUP(Q562,cross_pedigree!$A$2:$B$23,2,FALSE)</f>
        <v>NC20-4526/AURORA</v>
      </c>
    </row>
    <row r="563" spans="1:25" ht="18">
      <c r="A563" s="21" t="s">
        <v>15</v>
      </c>
      <c r="B563" s="21" t="s">
        <v>16</v>
      </c>
      <c r="C563" s="22">
        <v>753503</v>
      </c>
      <c r="D563" s="23">
        <v>6</v>
      </c>
      <c r="E563" s="24" t="str">
        <f t="shared" si="8"/>
        <v>CU_ARS_2025_WOF_F2_2_plant_15</v>
      </c>
      <c r="F563" s="21" t="s">
        <v>94</v>
      </c>
      <c r="G563" s="44">
        <v>82</v>
      </c>
      <c r="H563" s="42"/>
      <c r="I563" s="42" t="s">
        <v>1034</v>
      </c>
      <c r="J563" s="42" t="s">
        <v>1003</v>
      </c>
      <c r="K563" s="42"/>
      <c r="L563" s="42"/>
      <c r="M563" s="42"/>
      <c r="N563" t="str">
        <f>VLOOKUP(C563,CU_ARS_2025_WOF_F2!$A$2:$K$673,2,FALSE)</f>
        <v>CU_ARS_2025_WOF_F2_2_plant_15</v>
      </c>
      <c r="O563" t="str">
        <f>VLOOKUP(C563,CU_ARS_2025_WOF_F2!$A$2:$K$673,2,FALSE)</f>
        <v>CU_ARS_2025_WOF_F2_2_plant_15</v>
      </c>
      <c r="P563" t="str">
        <f>VLOOKUP(C563,CU_ARS_2025_WOF_F2!$A$2:$K$673,3,FALSE)</f>
        <v>CU_ARS_2025_WOF_F2_2</v>
      </c>
      <c r="Q563" t="str">
        <f>VLOOKUP(C563,CU_ARS_2025_WOF_F2!$A$2:$K$673,4,FALSE)</f>
        <v>CU_ARS_2025_WOF_cross_45</v>
      </c>
      <c r="R563">
        <f>VLOOKUP(C563,CU_ARS_2025_WOF_F2!$A$2:$K$673,5,FALSE)</f>
        <v>2</v>
      </c>
      <c r="S563">
        <f>VLOOKUP(C563,CU_ARS_2025_WOF_F2!$A$2:$K$673,6,FALSE)</f>
        <v>1</v>
      </c>
      <c r="T563">
        <f>VLOOKUP(C563,CU_ARS_2025_WOF_F2!$A$2:$K$673,7,FALSE)</f>
        <v>0</v>
      </c>
      <c r="U563">
        <f>VLOOKUP(C563,CU_ARS_2025_WOF_F2!$A$2:$K$673,8,FALSE)</f>
        <v>1</v>
      </c>
      <c r="V563">
        <f>VLOOKUP(C563,CU_ARS_2025_WOF_F2!$A$2:$K$673,9,FALSE)</f>
        <v>0</v>
      </c>
      <c r="W563">
        <f>VLOOKUP(C563,CU_ARS_2025_WOF_F2!$A$2:$K$673,10,FALSE)</f>
        <v>0</v>
      </c>
      <c r="X563">
        <f>VLOOKUP(C563,CU_ARS_2025_WOF_F2!$A$2:$K$673,11,FALSE)</f>
        <v>15</v>
      </c>
      <c r="Y563" t="str">
        <f>VLOOKUP(Q563,cross_pedigree!$A$2:$B$23,2,FALSE)</f>
        <v>NC20-4526/AURORA</v>
      </c>
    </row>
    <row r="564" spans="1:25" ht="18">
      <c r="A564" s="21" t="s">
        <v>15</v>
      </c>
      <c r="B564" s="21" t="s">
        <v>16</v>
      </c>
      <c r="C564" s="22">
        <v>753504</v>
      </c>
      <c r="D564" s="23">
        <v>6</v>
      </c>
      <c r="E564" s="24" t="str">
        <f t="shared" si="8"/>
        <v>CU_ARS_2025_WOF_F2_2_plant_16</v>
      </c>
      <c r="F564" s="21" t="s">
        <v>49</v>
      </c>
      <c r="G564" s="44">
        <v>83</v>
      </c>
      <c r="H564" s="42"/>
      <c r="I564" s="42" t="s">
        <v>1034</v>
      </c>
      <c r="J564" s="42" t="s">
        <v>1003</v>
      </c>
      <c r="K564" s="42"/>
      <c r="L564" s="42"/>
      <c r="M564" s="42"/>
      <c r="N564" t="str">
        <f>VLOOKUP(C564,CU_ARS_2025_WOF_F2!$A$2:$K$673,2,FALSE)</f>
        <v>CU_ARS_2025_WOF_F2_2_plant_16</v>
      </c>
      <c r="O564" t="str">
        <f>VLOOKUP(C564,CU_ARS_2025_WOF_F2!$A$2:$K$673,2,FALSE)</f>
        <v>CU_ARS_2025_WOF_F2_2_plant_16</v>
      </c>
      <c r="P564" t="str">
        <f>VLOOKUP(C564,CU_ARS_2025_WOF_F2!$A$2:$K$673,3,FALSE)</f>
        <v>CU_ARS_2025_WOF_F2_2</v>
      </c>
      <c r="Q564" t="str">
        <f>VLOOKUP(C564,CU_ARS_2025_WOF_F2!$A$2:$K$673,4,FALSE)</f>
        <v>CU_ARS_2025_WOF_cross_45</v>
      </c>
      <c r="R564">
        <f>VLOOKUP(C564,CU_ARS_2025_WOF_F2!$A$2:$K$673,5,FALSE)</f>
        <v>2</v>
      </c>
      <c r="S564">
        <f>VLOOKUP(C564,CU_ARS_2025_WOF_F2!$A$2:$K$673,6,FALSE)</f>
        <v>1</v>
      </c>
      <c r="T564">
        <f>VLOOKUP(C564,CU_ARS_2025_WOF_F2!$A$2:$K$673,7,FALSE)</f>
        <v>0</v>
      </c>
      <c r="U564">
        <f>VLOOKUP(C564,CU_ARS_2025_WOF_F2!$A$2:$K$673,8,FALSE)</f>
        <v>1</v>
      </c>
      <c r="V564">
        <f>VLOOKUP(C564,CU_ARS_2025_WOF_F2!$A$2:$K$673,9,FALSE)</f>
        <v>0</v>
      </c>
      <c r="W564">
        <f>VLOOKUP(C564,CU_ARS_2025_WOF_F2!$A$2:$K$673,10,FALSE)</f>
        <v>0</v>
      </c>
      <c r="X564">
        <f>VLOOKUP(C564,CU_ARS_2025_WOF_F2!$A$2:$K$673,11,FALSE)</f>
        <v>16</v>
      </c>
      <c r="Y564" t="str">
        <f>VLOOKUP(Q564,cross_pedigree!$A$2:$B$23,2,FALSE)</f>
        <v>NC20-4526/AURORA</v>
      </c>
    </row>
    <row r="565" spans="1:25" ht="18">
      <c r="A565" s="21" t="s">
        <v>15</v>
      </c>
      <c r="B565" s="21" t="s">
        <v>16</v>
      </c>
      <c r="C565" s="22">
        <v>753505</v>
      </c>
      <c r="D565" s="23">
        <v>6</v>
      </c>
      <c r="E565" s="24" t="str">
        <f t="shared" si="8"/>
        <v>CU_ARS_2025_WOF_F2_2_plant_17</v>
      </c>
      <c r="F565" s="21" t="s">
        <v>51</v>
      </c>
      <c r="G565" s="44">
        <v>84</v>
      </c>
      <c r="H565" s="42"/>
      <c r="I565" s="42" t="s">
        <v>1034</v>
      </c>
      <c r="J565" s="42" t="s">
        <v>1003</v>
      </c>
      <c r="K565" s="42"/>
      <c r="L565" s="42"/>
      <c r="M565" s="42"/>
      <c r="N565" t="str">
        <f>VLOOKUP(C565,CU_ARS_2025_WOF_F2!$A$2:$K$673,2,FALSE)</f>
        <v>CU_ARS_2025_WOF_F2_2_plant_17</v>
      </c>
      <c r="O565" t="str">
        <f>VLOOKUP(C565,CU_ARS_2025_WOF_F2!$A$2:$K$673,2,FALSE)</f>
        <v>CU_ARS_2025_WOF_F2_2_plant_17</v>
      </c>
      <c r="P565" t="str">
        <f>VLOOKUP(C565,CU_ARS_2025_WOF_F2!$A$2:$K$673,3,FALSE)</f>
        <v>CU_ARS_2025_WOF_F2_2</v>
      </c>
      <c r="Q565" t="str">
        <f>VLOOKUP(C565,CU_ARS_2025_WOF_F2!$A$2:$K$673,4,FALSE)</f>
        <v>CU_ARS_2025_WOF_cross_45</v>
      </c>
      <c r="R565">
        <f>VLOOKUP(C565,CU_ARS_2025_WOF_F2!$A$2:$K$673,5,FALSE)</f>
        <v>2</v>
      </c>
      <c r="S565">
        <f>VLOOKUP(C565,CU_ARS_2025_WOF_F2!$A$2:$K$673,6,FALSE)</f>
        <v>1</v>
      </c>
      <c r="T565">
        <f>VLOOKUP(C565,CU_ARS_2025_WOF_F2!$A$2:$K$673,7,FALSE)</f>
        <v>0</v>
      </c>
      <c r="U565">
        <f>VLOOKUP(C565,CU_ARS_2025_WOF_F2!$A$2:$K$673,8,FALSE)</f>
        <v>1</v>
      </c>
      <c r="V565">
        <f>VLOOKUP(C565,CU_ARS_2025_WOF_F2!$A$2:$K$673,9,FALSE)</f>
        <v>0</v>
      </c>
      <c r="W565">
        <f>VLOOKUP(C565,CU_ARS_2025_WOF_F2!$A$2:$K$673,10,FALSE)</f>
        <v>0</v>
      </c>
      <c r="X565">
        <f>VLOOKUP(C565,CU_ARS_2025_WOF_F2!$A$2:$K$673,11,FALSE)</f>
        <v>17</v>
      </c>
      <c r="Y565" t="str">
        <f>VLOOKUP(Q565,cross_pedigree!$A$2:$B$23,2,FALSE)</f>
        <v>NC20-4526/AURORA</v>
      </c>
    </row>
    <row r="566" spans="1:25" ht="18">
      <c r="A566" s="21" t="s">
        <v>15</v>
      </c>
      <c r="B566" s="21" t="s">
        <v>16</v>
      </c>
      <c r="C566" s="22">
        <v>753506</v>
      </c>
      <c r="D566" s="23">
        <v>6</v>
      </c>
      <c r="E566" s="24" t="str">
        <f t="shared" si="8"/>
        <v>CU_ARS_2025_WOF_F2_2_plant_18</v>
      </c>
      <c r="F566" s="21" t="s">
        <v>95</v>
      </c>
      <c r="G566" s="44">
        <v>85</v>
      </c>
      <c r="H566" s="42"/>
      <c r="I566" s="42" t="s">
        <v>1034</v>
      </c>
      <c r="J566" s="42" t="s">
        <v>1003</v>
      </c>
      <c r="K566" s="42"/>
      <c r="L566" s="42"/>
      <c r="M566" s="42"/>
      <c r="N566" t="str">
        <f>VLOOKUP(C566,CU_ARS_2025_WOF_F2!$A$2:$K$673,2,FALSE)</f>
        <v>CU_ARS_2025_WOF_F2_2_plant_18</v>
      </c>
      <c r="O566" t="str">
        <f>VLOOKUP(C566,CU_ARS_2025_WOF_F2!$A$2:$K$673,2,FALSE)</f>
        <v>CU_ARS_2025_WOF_F2_2_plant_18</v>
      </c>
      <c r="P566" t="str">
        <f>VLOOKUP(C566,CU_ARS_2025_WOF_F2!$A$2:$K$673,3,FALSE)</f>
        <v>CU_ARS_2025_WOF_F2_2</v>
      </c>
      <c r="Q566" t="str">
        <f>VLOOKUP(C566,CU_ARS_2025_WOF_F2!$A$2:$K$673,4,FALSE)</f>
        <v>CU_ARS_2025_WOF_cross_45</v>
      </c>
      <c r="R566">
        <f>VLOOKUP(C566,CU_ARS_2025_WOF_F2!$A$2:$K$673,5,FALSE)</f>
        <v>2</v>
      </c>
      <c r="S566">
        <f>VLOOKUP(C566,CU_ARS_2025_WOF_F2!$A$2:$K$673,6,FALSE)</f>
        <v>1</v>
      </c>
      <c r="T566">
        <f>VLOOKUP(C566,CU_ARS_2025_WOF_F2!$A$2:$K$673,7,FALSE)</f>
        <v>0</v>
      </c>
      <c r="U566">
        <f>VLOOKUP(C566,CU_ARS_2025_WOF_F2!$A$2:$K$673,8,FALSE)</f>
        <v>1</v>
      </c>
      <c r="V566">
        <f>VLOOKUP(C566,CU_ARS_2025_WOF_F2!$A$2:$K$673,9,FALSE)</f>
        <v>0</v>
      </c>
      <c r="W566">
        <f>VLOOKUP(C566,CU_ARS_2025_WOF_F2!$A$2:$K$673,10,FALSE)</f>
        <v>0</v>
      </c>
      <c r="X566">
        <f>VLOOKUP(C566,CU_ARS_2025_WOF_F2!$A$2:$K$673,11,FALSE)</f>
        <v>18</v>
      </c>
      <c r="Y566" t="str">
        <f>VLOOKUP(Q566,cross_pedigree!$A$2:$B$23,2,FALSE)</f>
        <v>NC20-4526/AURORA</v>
      </c>
    </row>
    <row r="567" spans="1:25" ht="18">
      <c r="A567" s="21" t="s">
        <v>15</v>
      </c>
      <c r="B567" s="21" t="s">
        <v>16</v>
      </c>
      <c r="C567" s="22">
        <v>753507</v>
      </c>
      <c r="D567" s="23">
        <v>6</v>
      </c>
      <c r="E567" s="24" t="str">
        <f t="shared" si="8"/>
        <v>CU_ARS_2025_WOF_F2_2_plant_19</v>
      </c>
      <c r="F567" s="21" t="s">
        <v>53</v>
      </c>
      <c r="G567" s="44">
        <v>86</v>
      </c>
      <c r="H567" s="42"/>
      <c r="I567" s="42" t="s">
        <v>1034</v>
      </c>
      <c r="J567" s="42" t="s">
        <v>1003</v>
      </c>
      <c r="K567" s="42"/>
      <c r="L567" s="42"/>
      <c r="M567" s="42"/>
      <c r="N567" t="str">
        <f>VLOOKUP(C567,CU_ARS_2025_WOF_F2!$A$2:$K$673,2,FALSE)</f>
        <v>CU_ARS_2025_WOF_F2_2_plant_19</v>
      </c>
      <c r="O567" t="str">
        <f>VLOOKUP(C567,CU_ARS_2025_WOF_F2!$A$2:$K$673,2,FALSE)</f>
        <v>CU_ARS_2025_WOF_F2_2_plant_19</v>
      </c>
      <c r="P567" t="str">
        <f>VLOOKUP(C567,CU_ARS_2025_WOF_F2!$A$2:$K$673,3,FALSE)</f>
        <v>CU_ARS_2025_WOF_F2_2</v>
      </c>
      <c r="Q567" t="str">
        <f>VLOOKUP(C567,CU_ARS_2025_WOF_F2!$A$2:$K$673,4,FALSE)</f>
        <v>CU_ARS_2025_WOF_cross_45</v>
      </c>
      <c r="R567">
        <f>VLOOKUP(C567,CU_ARS_2025_WOF_F2!$A$2:$K$673,5,FALSE)</f>
        <v>2</v>
      </c>
      <c r="S567">
        <f>VLOOKUP(C567,CU_ARS_2025_WOF_F2!$A$2:$K$673,6,FALSE)</f>
        <v>1</v>
      </c>
      <c r="T567">
        <f>VLOOKUP(C567,CU_ARS_2025_WOF_F2!$A$2:$K$673,7,FALSE)</f>
        <v>0</v>
      </c>
      <c r="U567">
        <f>VLOOKUP(C567,CU_ARS_2025_WOF_F2!$A$2:$K$673,8,FALSE)</f>
        <v>1</v>
      </c>
      <c r="V567">
        <f>VLOOKUP(C567,CU_ARS_2025_WOF_F2!$A$2:$K$673,9,FALSE)</f>
        <v>0</v>
      </c>
      <c r="W567">
        <f>VLOOKUP(C567,CU_ARS_2025_WOF_F2!$A$2:$K$673,10,FALSE)</f>
        <v>0</v>
      </c>
      <c r="X567">
        <f>VLOOKUP(C567,CU_ARS_2025_WOF_F2!$A$2:$K$673,11,FALSE)</f>
        <v>19</v>
      </c>
      <c r="Y567" t="str">
        <f>VLOOKUP(Q567,cross_pedigree!$A$2:$B$23,2,FALSE)</f>
        <v>NC20-4526/AURORA</v>
      </c>
    </row>
    <row r="568" spans="1:25" ht="18">
      <c r="A568" s="21" t="s">
        <v>15</v>
      </c>
      <c r="B568" s="21" t="s">
        <v>16</v>
      </c>
      <c r="C568" s="22">
        <v>753508</v>
      </c>
      <c r="D568" s="23">
        <v>6</v>
      </c>
      <c r="E568" s="24" t="str">
        <f t="shared" si="8"/>
        <v>CU_ARS_2025_WOF_F2_2_plant_20</v>
      </c>
      <c r="F568" s="21" t="s">
        <v>55</v>
      </c>
      <c r="G568" s="44">
        <v>87</v>
      </c>
      <c r="H568" s="42"/>
      <c r="I568" s="42" t="s">
        <v>1034</v>
      </c>
      <c r="J568" s="42" t="s">
        <v>1003</v>
      </c>
      <c r="K568" s="42"/>
      <c r="L568" s="42"/>
      <c r="M568" s="42"/>
      <c r="N568" t="str">
        <f>VLOOKUP(C568,CU_ARS_2025_WOF_F2!$A$2:$K$673,2,FALSE)</f>
        <v>CU_ARS_2025_WOF_F2_2_plant_20</v>
      </c>
      <c r="O568" t="str">
        <f>VLOOKUP(C568,CU_ARS_2025_WOF_F2!$A$2:$K$673,2,FALSE)</f>
        <v>CU_ARS_2025_WOF_F2_2_plant_20</v>
      </c>
      <c r="P568" t="str">
        <f>VLOOKUP(C568,CU_ARS_2025_WOF_F2!$A$2:$K$673,3,FALSE)</f>
        <v>CU_ARS_2025_WOF_F2_2</v>
      </c>
      <c r="Q568" t="str">
        <f>VLOOKUP(C568,CU_ARS_2025_WOF_F2!$A$2:$K$673,4,FALSE)</f>
        <v>CU_ARS_2025_WOF_cross_45</v>
      </c>
      <c r="R568">
        <f>VLOOKUP(C568,CU_ARS_2025_WOF_F2!$A$2:$K$673,5,FALSE)</f>
        <v>2</v>
      </c>
      <c r="S568">
        <f>VLOOKUP(C568,CU_ARS_2025_WOF_F2!$A$2:$K$673,6,FALSE)</f>
        <v>1</v>
      </c>
      <c r="T568">
        <f>VLOOKUP(C568,CU_ARS_2025_WOF_F2!$A$2:$K$673,7,FALSE)</f>
        <v>0</v>
      </c>
      <c r="U568">
        <f>VLOOKUP(C568,CU_ARS_2025_WOF_F2!$A$2:$K$673,8,FALSE)</f>
        <v>1</v>
      </c>
      <c r="V568">
        <f>VLOOKUP(C568,CU_ARS_2025_WOF_F2!$A$2:$K$673,9,FALSE)</f>
        <v>0</v>
      </c>
      <c r="W568">
        <f>VLOOKUP(C568,CU_ARS_2025_WOF_F2!$A$2:$K$673,10,FALSE)</f>
        <v>0</v>
      </c>
      <c r="X568">
        <f>VLOOKUP(C568,CU_ARS_2025_WOF_F2!$A$2:$K$673,11,FALSE)</f>
        <v>20</v>
      </c>
      <c r="Y568" t="str">
        <f>VLOOKUP(Q568,cross_pedigree!$A$2:$B$23,2,FALSE)</f>
        <v>NC20-4526/AURORA</v>
      </c>
    </row>
    <row r="569" spans="1:25" ht="18">
      <c r="A569" s="21" t="s">
        <v>15</v>
      </c>
      <c r="B569" s="21" t="s">
        <v>16</v>
      </c>
      <c r="C569" s="22">
        <v>753509</v>
      </c>
      <c r="D569" s="23">
        <v>6</v>
      </c>
      <c r="E569" s="24" t="str">
        <f t="shared" si="8"/>
        <v>CU_ARS_2025_WOF_F2_2_plant_21</v>
      </c>
      <c r="F569" s="21" t="s">
        <v>57</v>
      </c>
      <c r="G569" s="44">
        <v>88</v>
      </c>
      <c r="H569" s="42"/>
      <c r="I569" s="42" t="s">
        <v>1034</v>
      </c>
      <c r="J569" s="42" t="s">
        <v>1003</v>
      </c>
      <c r="K569" s="42"/>
      <c r="L569" s="42"/>
      <c r="M569" s="42"/>
      <c r="N569" t="str">
        <f>VLOOKUP(C569,CU_ARS_2025_WOF_F2!$A$2:$K$673,2,FALSE)</f>
        <v>CU_ARS_2025_WOF_F2_2_plant_21</v>
      </c>
      <c r="O569" t="str">
        <f>VLOOKUP(C569,CU_ARS_2025_WOF_F2!$A$2:$K$673,2,FALSE)</f>
        <v>CU_ARS_2025_WOF_F2_2_plant_21</v>
      </c>
      <c r="P569" t="str">
        <f>VLOOKUP(C569,CU_ARS_2025_WOF_F2!$A$2:$K$673,3,FALSE)</f>
        <v>CU_ARS_2025_WOF_F2_2</v>
      </c>
      <c r="Q569" t="str">
        <f>VLOOKUP(C569,CU_ARS_2025_WOF_F2!$A$2:$K$673,4,FALSE)</f>
        <v>CU_ARS_2025_WOF_cross_45</v>
      </c>
      <c r="R569">
        <f>VLOOKUP(C569,CU_ARS_2025_WOF_F2!$A$2:$K$673,5,FALSE)</f>
        <v>2</v>
      </c>
      <c r="S569">
        <f>VLOOKUP(C569,CU_ARS_2025_WOF_F2!$A$2:$K$673,6,FALSE)</f>
        <v>1</v>
      </c>
      <c r="T569">
        <f>VLOOKUP(C569,CU_ARS_2025_WOF_F2!$A$2:$K$673,7,FALSE)</f>
        <v>0</v>
      </c>
      <c r="U569">
        <f>VLOOKUP(C569,CU_ARS_2025_WOF_F2!$A$2:$K$673,8,FALSE)</f>
        <v>1</v>
      </c>
      <c r="V569">
        <f>VLOOKUP(C569,CU_ARS_2025_WOF_F2!$A$2:$K$673,9,FALSE)</f>
        <v>0</v>
      </c>
      <c r="W569">
        <f>VLOOKUP(C569,CU_ARS_2025_WOF_F2!$A$2:$K$673,10,FALSE)</f>
        <v>0</v>
      </c>
      <c r="X569">
        <f>VLOOKUP(C569,CU_ARS_2025_WOF_F2!$A$2:$K$673,11,FALSE)</f>
        <v>21</v>
      </c>
      <c r="Y569" t="str">
        <f>VLOOKUP(Q569,cross_pedigree!$A$2:$B$23,2,FALSE)</f>
        <v>NC20-4526/AURORA</v>
      </c>
    </row>
    <row r="570" spans="1:25" ht="18">
      <c r="A570" s="21" t="s">
        <v>15</v>
      </c>
      <c r="B570" s="21" t="s">
        <v>16</v>
      </c>
      <c r="C570" s="22">
        <v>753521</v>
      </c>
      <c r="D570" s="23">
        <v>6</v>
      </c>
      <c r="E570" s="24" t="str">
        <f t="shared" si="8"/>
        <v>CU_ARS_2025_WOF_F2_2_plant_33</v>
      </c>
      <c r="F570" s="21" t="s">
        <v>59</v>
      </c>
      <c r="G570" s="44">
        <v>89</v>
      </c>
      <c r="H570" s="42"/>
      <c r="I570" s="42" t="s">
        <v>1034</v>
      </c>
      <c r="J570" s="42" t="s">
        <v>1003</v>
      </c>
      <c r="K570" s="42"/>
      <c r="L570" s="42"/>
      <c r="M570" s="42"/>
      <c r="N570" t="str">
        <f>VLOOKUP(C570,CU_ARS_2025_WOF_F2!$A$2:$K$673,2,FALSE)</f>
        <v>CU_ARS_2025_WOF_F2_2_plant_33</v>
      </c>
      <c r="O570" t="str">
        <f>VLOOKUP(C570,CU_ARS_2025_WOF_F2!$A$2:$K$673,2,FALSE)</f>
        <v>CU_ARS_2025_WOF_F2_2_plant_33</v>
      </c>
      <c r="P570" t="str">
        <f>VLOOKUP(C570,CU_ARS_2025_WOF_F2!$A$2:$K$673,3,FALSE)</f>
        <v>CU_ARS_2025_WOF_F2_2</v>
      </c>
      <c r="Q570" t="str">
        <f>VLOOKUP(C570,CU_ARS_2025_WOF_F2!$A$2:$K$673,4,FALSE)</f>
        <v>CU_ARS_2025_WOF_cross_45</v>
      </c>
      <c r="R570">
        <f>VLOOKUP(C570,CU_ARS_2025_WOF_F2!$A$2:$K$673,5,FALSE)</f>
        <v>2</v>
      </c>
      <c r="S570">
        <f>VLOOKUP(C570,CU_ARS_2025_WOF_F2!$A$2:$K$673,6,FALSE)</f>
        <v>1</v>
      </c>
      <c r="T570">
        <f>VLOOKUP(C570,CU_ARS_2025_WOF_F2!$A$2:$K$673,7,FALSE)</f>
        <v>0</v>
      </c>
      <c r="U570">
        <f>VLOOKUP(C570,CU_ARS_2025_WOF_F2!$A$2:$K$673,8,FALSE)</f>
        <v>1</v>
      </c>
      <c r="V570">
        <f>VLOOKUP(C570,CU_ARS_2025_WOF_F2!$A$2:$K$673,9,FALSE)</f>
        <v>0</v>
      </c>
      <c r="W570">
        <f>VLOOKUP(C570,CU_ARS_2025_WOF_F2!$A$2:$K$673,10,FALSE)</f>
        <v>0</v>
      </c>
      <c r="X570">
        <f>VLOOKUP(C570,CU_ARS_2025_WOF_F2!$A$2:$K$673,11,FALSE)</f>
        <v>33</v>
      </c>
      <c r="Y570" t="str">
        <f>VLOOKUP(Q570,cross_pedigree!$A$2:$B$23,2,FALSE)</f>
        <v>NC20-4526/AURORA</v>
      </c>
    </row>
    <row r="571" spans="1:25" ht="18">
      <c r="A571" s="21" t="s">
        <v>15</v>
      </c>
      <c r="B571" s="21" t="s">
        <v>16</v>
      </c>
      <c r="C571" s="22">
        <v>753522</v>
      </c>
      <c r="D571" s="23">
        <v>6</v>
      </c>
      <c r="E571" s="24" t="str">
        <f t="shared" si="8"/>
        <v>CU_ARS_2025_WOF_F2_2_plant_34</v>
      </c>
      <c r="F571" s="21" t="s">
        <v>61</v>
      </c>
      <c r="G571" s="44">
        <v>90</v>
      </c>
      <c r="H571" s="42"/>
      <c r="I571" s="42" t="s">
        <v>1034</v>
      </c>
      <c r="J571" s="42" t="s">
        <v>1003</v>
      </c>
      <c r="K571" s="42"/>
      <c r="L571" s="42"/>
      <c r="M571" s="42"/>
      <c r="N571" t="str">
        <f>VLOOKUP(C571,CU_ARS_2025_WOF_F2!$A$2:$K$673,2,FALSE)</f>
        <v>CU_ARS_2025_WOF_F2_2_plant_34</v>
      </c>
      <c r="O571" t="str">
        <f>VLOOKUP(C571,CU_ARS_2025_WOF_F2!$A$2:$K$673,2,FALSE)</f>
        <v>CU_ARS_2025_WOF_F2_2_plant_34</v>
      </c>
      <c r="P571" t="str">
        <f>VLOOKUP(C571,CU_ARS_2025_WOF_F2!$A$2:$K$673,3,FALSE)</f>
        <v>CU_ARS_2025_WOF_F2_2</v>
      </c>
      <c r="Q571" t="str">
        <f>VLOOKUP(C571,CU_ARS_2025_WOF_F2!$A$2:$K$673,4,FALSE)</f>
        <v>CU_ARS_2025_WOF_cross_45</v>
      </c>
      <c r="R571">
        <f>VLOOKUP(C571,CU_ARS_2025_WOF_F2!$A$2:$K$673,5,FALSE)</f>
        <v>2</v>
      </c>
      <c r="S571">
        <f>VLOOKUP(C571,CU_ARS_2025_WOF_F2!$A$2:$K$673,6,FALSE)</f>
        <v>1</v>
      </c>
      <c r="T571">
        <f>VLOOKUP(C571,CU_ARS_2025_WOF_F2!$A$2:$K$673,7,FALSE)</f>
        <v>0</v>
      </c>
      <c r="U571">
        <f>VLOOKUP(C571,CU_ARS_2025_WOF_F2!$A$2:$K$673,8,FALSE)</f>
        <v>1</v>
      </c>
      <c r="V571">
        <f>VLOOKUP(C571,CU_ARS_2025_WOF_F2!$A$2:$K$673,9,FALSE)</f>
        <v>0</v>
      </c>
      <c r="W571">
        <f>VLOOKUP(C571,CU_ARS_2025_WOF_F2!$A$2:$K$673,10,FALSE)</f>
        <v>0</v>
      </c>
      <c r="X571">
        <f>VLOOKUP(C571,CU_ARS_2025_WOF_F2!$A$2:$K$673,11,FALSE)</f>
        <v>34</v>
      </c>
      <c r="Y571" t="str">
        <f>VLOOKUP(Q571,cross_pedigree!$A$2:$B$23,2,FALSE)</f>
        <v>NC20-4526/AURORA</v>
      </c>
    </row>
    <row r="572" spans="1:25" ht="18">
      <c r="A572" s="21" t="s">
        <v>15</v>
      </c>
      <c r="B572" s="21" t="s">
        <v>16</v>
      </c>
      <c r="C572" s="22">
        <v>753523</v>
      </c>
      <c r="D572" s="23">
        <v>6</v>
      </c>
      <c r="E572" s="24" t="str">
        <f t="shared" si="8"/>
        <v>CU_ARS_2025_WOF_F2_2_plant_35</v>
      </c>
      <c r="F572" s="21" t="s">
        <v>63</v>
      </c>
      <c r="G572" s="44">
        <v>91</v>
      </c>
      <c r="H572" s="42"/>
      <c r="I572" s="42" t="s">
        <v>1034</v>
      </c>
      <c r="J572" s="42" t="s">
        <v>1003</v>
      </c>
      <c r="K572" s="42"/>
      <c r="L572" s="42"/>
      <c r="M572" s="42"/>
      <c r="N572" t="str">
        <f>VLOOKUP(C572,CU_ARS_2025_WOF_F2!$A$2:$K$673,2,FALSE)</f>
        <v>CU_ARS_2025_WOF_F2_2_plant_35</v>
      </c>
      <c r="O572" t="str">
        <f>VLOOKUP(C572,CU_ARS_2025_WOF_F2!$A$2:$K$673,2,FALSE)</f>
        <v>CU_ARS_2025_WOF_F2_2_plant_35</v>
      </c>
      <c r="P572" t="str">
        <f>VLOOKUP(C572,CU_ARS_2025_WOF_F2!$A$2:$K$673,3,FALSE)</f>
        <v>CU_ARS_2025_WOF_F2_2</v>
      </c>
      <c r="Q572" t="str">
        <f>VLOOKUP(C572,CU_ARS_2025_WOF_F2!$A$2:$K$673,4,FALSE)</f>
        <v>CU_ARS_2025_WOF_cross_45</v>
      </c>
      <c r="R572">
        <f>VLOOKUP(C572,CU_ARS_2025_WOF_F2!$A$2:$K$673,5,FALSE)</f>
        <v>2</v>
      </c>
      <c r="S572">
        <f>VLOOKUP(C572,CU_ARS_2025_WOF_F2!$A$2:$K$673,6,FALSE)</f>
        <v>1</v>
      </c>
      <c r="T572">
        <f>VLOOKUP(C572,CU_ARS_2025_WOF_F2!$A$2:$K$673,7,FALSE)</f>
        <v>0</v>
      </c>
      <c r="U572">
        <f>VLOOKUP(C572,CU_ARS_2025_WOF_F2!$A$2:$K$673,8,FALSE)</f>
        <v>1</v>
      </c>
      <c r="V572">
        <f>VLOOKUP(C572,CU_ARS_2025_WOF_F2!$A$2:$K$673,9,FALSE)</f>
        <v>0</v>
      </c>
      <c r="W572">
        <f>VLOOKUP(C572,CU_ARS_2025_WOF_F2!$A$2:$K$673,10,FALSE)</f>
        <v>0</v>
      </c>
      <c r="X572">
        <f>VLOOKUP(C572,CU_ARS_2025_WOF_F2!$A$2:$K$673,11,FALSE)</f>
        <v>35</v>
      </c>
      <c r="Y572" t="str">
        <f>VLOOKUP(Q572,cross_pedigree!$A$2:$B$23,2,FALSE)</f>
        <v>NC20-4526/AURORA</v>
      </c>
    </row>
    <row r="573" spans="1:25" ht="18">
      <c r="A573" s="21" t="s">
        <v>15</v>
      </c>
      <c r="B573" s="21" t="s">
        <v>16</v>
      </c>
      <c r="C573" s="22">
        <v>753524</v>
      </c>
      <c r="D573" s="23">
        <v>6</v>
      </c>
      <c r="E573" s="24" t="str">
        <f t="shared" si="8"/>
        <v>CU_ARS_2025_WOF_F2_2_plant_36</v>
      </c>
      <c r="F573" s="21" t="s">
        <v>65</v>
      </c>
      <c r="G573" s="44">
        <v>92</v>
      </c>
      <c r="H573" s="42"/>
      <c r="I573" s="42" t="s">
        <v>1034</v>
      </c>
      <c r="J573" s="42" t="s">
        <v>1003</v>
      </c>
      <c r="K573" s="42"/>
      <c r="L573" s="42"/>
      <c r="M573" s="42"/>
      <c r="N573" t="str">
        <f>VLOOKUP(C573,CU_ARS_2025_WOF_F2!$A$2:$K$673,2,FALSE)</f>
        <v>CU_ARS_2025_WOF_F2_2_plant_36</v>
      </c>
      <c r="O573" t="str">
        <f>VLOOKUP(C573,CU_ARS_2025_WOF_F2!$A$2:$K$673,2,FALSE)</f>
        <v>CU_ARS_2025_WOF_F2_2_plant_36</v>
      </c>
      <c r="P573" t="str">
        <f>VLOOKUP(C573,CU_ARS_2025_WOF_F2!$A$2:$K$673,3,FALSE)</f>
        <v>CU_ARS_2025_WOF_F2_2</v>
      </c>
      <c r="Q573" t="str">
        <f>VLOOKUP(C573,CU_ARS_2025_WOF_F2!$A$2:$K$673,4,FALSE)</f>
        <v>CU_ARS_2025_WOF_cross_45</v>
      </c>
      <c r="R573">
        <f>VLOOKUP(C573,CU_ARS_2025_WOF_F2!$A$2:$K$673,5,FALSE)</f>
        <v>2</v>
      </c>
      <c r="S573">
        <f>VLOOKUP(C573,CU_ARS_2025_WOF_F2!$A$2:$K$673,6,FALSE)</f>
        <v>1</v>
      </c>
      <c r="T573">
        <f>VLOOKUP(C573,CU_ARS_2025_WOF_F2!$A$2:$K$673,7,FALSE)</f>
        <v>0</v>
      </c>
      <c r="U573">
        <f>VLOOKUP(C573,CU_ARS_2025_WOF_F2!$A$2:$K$673,8,FALSE)</f>
        <v>1</v>
      </c>
      <c r="V573">
        <f>VLOOKUP(C573,CU_ARS_2025_WOF_F2!$A$2:$K$673,9,FALSE)</f>
        <v>0</v>
      </c>
      <c r="W573">
        <f>VLOOKUP(C573,CU_ARS_2025_WOF_F2!$A$2:$K$673,10,FALSE)</f>
        <v>0</v>
      </c>
      <c r="X573">
        <f>VLOOKUP(C573,CU_ARS_2025_WOF_F2!$A$2:$K$673,11,FALSE)</f>
        <v>36</v>
      </c>
      <c r="Y573" t="str">
        <f>VLOOKUP(Q573,cross_pedigree!$A$2:$B$23,2,FALSE)</f>
        <v>NC20-4526/AURORA</v>
      </c>
    </row>
    <row r="574" spans="1:25" ht="18">
      <c r="A574" s="21" t="s">
        <v>15</v>
      </c>
      <c r="B574" s="21" t="s">
        <v>16</v>
      </c>
      <c r="C574" s="22">
        <v>753525</v>
      </c>
      <c r="D574" s="23">
        <v>6</v>
      </c>
      <c r="E574" s="24" t="str">
        <f t="shared" si="8"/>
        <v>CU_ARS_2025_WOF_F2_2_plant_37</v>
      </c>
      <c r="F574" s="21" t="s">
        <v>67</v>
      </c>
      <c r="G574" s="44">
        <v>93</v>
      </c>
      <c r="H574" s="42"/>
      <c r="I574" s="42" t="s">
        <v>1034</v>
      </c>
      <c r="J574" s="42" t="s">
        <v>1003</v>
      </c>
      <c r="K574" s="42"/>
      <c r="L574" s="42"/>
      <c r="M574" s="42"/>
      <c r="N574" t="str">
        <f>VLOOKUP(C574,CU_ARS_2025_WOF_F2!$A$2:$K$673,2,FALSE)</f>
        <v>CU_ARS_2025_WOF_F2_2_plant_37</v>
      </c>
      <c r="O574" t="str">
        <f>VLOOKUP(C574,CU_ARS_2025_WOF_F2!$A$2:$K$673,2,FALSE)</f>
        <v>CU_ARS_2025_WOF_F2_2_plant_37</v>
      </c>
      <c r="P574" t="str">
        <f>VLOOKUP(C574,CU_ARS_2025_WOF_F2!$A$2:$K$673,3,FALSE)</f>
        <v>CU_ARS_2025_WOF_F2_2</v>
      </c>
      <c r="Q574" t="str">
        <f>VLOOKUP(C574,CU_ARS_2025_WOF_F2!$A$2:$K$673,4,FALSE)</f>
        <v>CU_ARS_2025_WOF_cross_45</v>
      </c>
      <c r="R574">
        <f>VLOOKUP(C574,CU_ARS_2025_WOF_F2!$A$2:$K$673,5,FALSE)</f>
        <v>2</v>
      </c>
      <c r="S574">
        <f>VLOOKUP(C574,CU_ARS_2025_WOF_F2!$A$2:$K$673,6,FALSE)</f>
        <v>1</v>
      </c>
      <c r="T574">
        <f>VLOOKUP(C574,CU_ARS_2025_WOF_F2!$A$2:$K$673,7,FALSE)</f>
        <v>0</v>
      </c>
      <c r="U574">
        <f>VLOOKUP(C574,CU_ARS_2025_WOF_F2!$A$2:$K$673,8,FALSE)</f>
        <v>1</v>
      </c>
      <c r="V574">
        <f>VLOOKUP(C574,CU_ARS_2025_WOF_F2!$A$2:$K$673,9,FALSE)</f>
        <v>0</v>
      </c>
      <c r="W574">
        <f>VLOOKUP(C574,CU_ARS_2025_WOF_F2!$A$2:$K$673,10,FALSE)</f>
        <v>0</v>
      </c>
      <c r="X574">
        <f>VLOOKUP(C574,CU_ARS_2025_WOF_F2!$A$2:$K$673,11,FALSE)</f>
        <v>37</v>
      </c>
      <c r="Y574" t="str">
        <f>VLOOKUP(Q574,cross_pedigree!$A$2:$B$23,2,FALSE)</f>
        <v>NC20-4526/AURORA</v>
      </c>
    </row>
    <row r="575" spans="1:25" ht="18">
      <c r="A575" s="21" t="s">
        <v>15</v>
      </c>
      <c r="B575" s="21" t="s">
        <v>16</v>
      </c>
      <c r="C575" s="22">
        <v>753544</v>
      </c>
      <c r="D575" s="23">
        <v>6</v>
      </c>
      <c r="E575" s="24" t="str">
        <f t="shared" si="8"/>
        <v>CU_ARS_2025_WOF_F2_2_plant_56</v>
      </c>
      <c r="F575" s="21" t="s">
        <v>96</v>
      </c>
      <c r="G575" s="44">
        <v>94</v>
      </c>
      <c r="H575" s="42"/>
      <c r="I575" s="42" t="s">
        <v>1034</v>
      </c>
      <c r="J575" s="42" t="s">
        <v>1003</v>
      </c>
      <c r="K575" s="42"/>
      <c r="L575" s="42"/>
      <c r="M575" s="42"/>
      <c r="N575" t="str">
        <f>VLOOKUP(C575,CU_ARS_2025_WOF_F2!$A$2:$K$673,2,FALSE)</f>
        <v>CU_ARS_2025_WOF_F2_2_plant_56</v>
      </c>
      <c r="O575" t="str">
        <f>VLOOKUP(C575,CU_ARS_2025_WOF_F2!$A$2:$K$673,2,FALSE)</f>
        <v>CU_ARS_2025_WOF_F2_2_plant_56</v>
      </c>
      <c r="P575" t="str">
        <f>VLOOKUP(C575,CU_ARS_2025_WOF_F2!$A$2:$K$673,3,FALSE)</f>
        <v>CU_ARS_2025_WOF_F2_2</v>
      </c>
      <c r="Q575" t="str">
        <f>VLOOKUP(C575,CU_ARS_2025_WOF_F2!$A$2:$K$673,4,FALSE)</f>
        <v>CU_ARS_2025_WOF_cross_45</v>
      </c>
      <c r="R575">
        <f>VLOOKUP(C575,CU_ARS_2025_WOF_F2!$A$2:$K$673,5,FALSE)</f>
        <v>2</v>
      </c>
      <c r="S575">
        <f>VLOOKUP(C575,CU_ARS_2025_WOF_F2!$A$2:$K$673,6,FALSE)</f>
        <v>1</v>
      </c>
      <c r="T575">
        <f>VLOOKUP(C575,CU_ARS_2025_WOF_F2!$A$2:$K$673,7,FALSE)</f>
        <v>0</v>
      </c>
      <c r="U575">
        <f>VLOOKUP(C575,CU_ARS_2025_WOF_F2!$A$2:$K$673,8,FALSE)</f>
        <v>1</v>
      </c>
      <c r="V575">
        <f>VLOOKUP(C575,CU_ARS_2025_WOF_F2!$A$2:$K$673,9,FALSE)</f>
        <v>0</v>
      </c>
      <c r="W575">
        <f>VLOOKUP(C575,CU_ARS_2025_WOF_F2!$A$2:$K$673,10,FALSE)</f>
        <v>0</v>
      </c>
      <c r="X575">
        <f>VLOOKUP(C575,CU_ARS_2025_WOF_F2!$A$2:$K$673,11,FALSE)</f>
        <v>56</v>
      </c>
      <c r="Y575" t="str">
        <f>VLOOKUP(Q575,cross_pedigree!$A$2:$B$23,2,FALSE)</f>
        <v>NC20-4526/AURORA</v>
      </c>
    </row>
    <row r="576" spans="1:25" ht="18">
      <c r="A576" s="21" t="s">
        <v>15</v>
      </c>
      <c r="B576" s="21" t="s">
        <v>16</v>
      </c>
      <c r="C576" s="22">
        <v>753543</v>
      </c>
      <c r="D576" s="23">
        <v>6</v>
      </c>
      <c r="E576" s="24" t="str">
        <f t="shared" si="8"/>
        <v>CU_ARS_2025_WOF_F2_2_plant_55</v>
      </c>
      <c r="F576" s="21" t="s">
        <v>97</v>
      </c>
      <c r="G576" s="44">
        <v>95</v>
      </c>
      <c r="H576" s="42"/>
      <c r="I576" s="42" t="s">
        <v>1034</v>
      </c>
      <c r="J576" s="42" t="s">
        <v>1003</v>
      </c>
      <c r="K576" s="42"/>
      <c r="L576" s="42"/>
      <c r="M576" s="42"/>
      <c r="N576" t="str">
        <f>VLOOKUP(C576,CU_ARS_2025_WOF_F2!$A$2:$K$673,2,FALSE)</f>
        <v>CU_ARS_2025_WOF_F2_2_plant_55</v>
      </c>
      <c r="O576" t="str">
        <f>VLOOKUP(C576,CU_ARS_2025_WOF_F2!$A$2:$K$673,2,FALSE)</f>
        <v>CU_ARS_2025_WOF_F2_2_plant_55</v>
      </c>
      <c r="P576" t="str">
        <f>VLOOKUP(C576,CU_ARS_2025_WOF_F2!$A$2:$K$673,3,FALSE)</f>
        <v>CU_ARS_2025_WOF_F2_2</v>
      </c>
      <c r="Q576" t="str">
        <f>VLOOKUP(C576,CU_ARS_2025_WOF_F2!$A$2:$K$673,4,FALSE)</f>
        <v>CU_ARS_2025_WOF_cross_45</v>
      </c>
      <c r="R576">
        <f>VLOOKUP(C576,CU_ARS_2025_WOF_F2!$A$2:$K$673,5,FALSE)</f>
        <v>2</v>
      </c>
      <c r="S576">
        <f>VLOOKUP(C576,CU_ARS_2025_WOF_F2!$A$2:$K$673,6,FALSE)</f>
        <v>1</v>
      </c>
      <c r="T576">
        <f>VLOOKUP(C576,CU_ARS_2025_WOF_F2!$A$2:$K$673,7,FALSE)</f>
        <v>0</v>
      </c>
      <c r="U576">
        <f>VLOOKUP(C576,CU_ARS_2025_WOF_F2!$A$2:$K$673,8,FALSE)</f>
        <v>1</v>
      </c>
      <c r="V576">
        <f>VLOOKUP(C576,CU_ARS_2025_WOF_F2!$A$2:$K$673,9,FALSE)</f>
        <v>0</v>
      </c>
      <c r="W576">
        <f>VLOOKUP(C576,CU_ARS_2025_WOF_F2!$A$2:$K$673,10,FALSE)</f>
        <v>0</v>
      </c>
      <c r="X576">
        <f>VLOOKUP(C576,CU_ARS_2025_WOF_F2!$A$2:$K$673,11,FALSE)</f>
        <v>55</v>
      </c>
      <c r="Y576" t="str">
        <f>VLOOKUP(Q576,cross_pedigree!$A$2:$B$23,2,FALSE)</f>
        <v>NC20-4526/AURORA</v>
      </c>
    </row>
    <row r="577" spans="1:25" ht="18">
      <c r="A577" s="21" t="s">
        <v>15</v>
      </c>
      <c r="B577" s="21" t="s">
        <v>16</v>
      </c>
      <c r="C577" s="22">
        <v>753542</v>
      </c>
      <c r="D577" s="23">
        <v>6</v>
      </c>
      <c r="E577" s="24" t="str">
        <f t="shared" si="8"/>
        <v>CU_ARS_2025_WOF_F2_2_plant_54</v>
      </c>
      <c r="F577" s="21" t="s">
        <v>47</v>
      </c>
      <c r="G577" s="44">
        <v>96</v>
      </c>
      <c r="H577" s="42"/>
      <c r="I577" s="42" t="s">
        <v>1034</v>
      </c>
      <c r="J577" s="42" t="s">
        <v>1003</v>
      </c>
      <c r="K577" s="42"/>
      <c r="L577" s="42"/>
      <c r="M577" s="42"/>
      <c r="N577" t="str">
        <f>VLOOKUP(C577,CU_ARS_2025_WOF_F2!$A$2:$K$673,2,FALSE)</f>
        <v>CU_ARS_2025_WOF_F2_2_plant_54</v>
      </c>
      <c r="O577" t="str">
        <f>VLOOKUP(C577,CU_ARS_2025_WOF_F2!$A$2:$K$673,2,FALSE)</f>
        <v>CU_ARS_2025_WOF_F2_2_plant_54</v>
      </c>
      <c r="P577" t="str">
        <f>VLOOKUP(C577,CU_ARS_2025_WOF_F2!$A$2:$K$673,3,FALSE)</f>
        <v>CU_ARS_2025_WOF_F2_2</v>
      </c>
      <c r="Q577" t="str">
        <f>VLOOKUP(C577,CU_ARS_2025_WOF_F2!$A$2:$K$673,4,FALSE)</f>
        <v>CU_ARS_2025_WOF_cross_45</v>
      </c>
      <c r="R577">
        <f>VLOOKUP(C577,CU_ARS_2025_WOF_F2!$A$2:$K$673,5,FALSE)</f>
        <v>2</v>
      </c>
      <c r="S577">
        <f>VLOOKUP(C577,CU_ARS_2025_WOF_F2!$A$2:$K$673,6,FALSE)</f>
        <v>1</v>
      </c>
      <c r="T577">
        <f>VLOOKUP(C577,CU_ARS_2025_WOF_F2!$A$2:$K$673,7,FALSE)</f>
        <v>0</v>
      </c>
      <c r="U577">
        <f>VLOOKUP(C577,CU_ARS_2025_WOF_F2!$A$2:$K$673,8,FALSE)</f>
        <v>1</v>
      </c>
      <c r="V577">
        <f>VLOOKUP(C577,CU_ARS_2025_WOF_F2!$A$2:$K$673,9,FALSE)</f>
        <v>0</v>
      </c>
      <c r="W577">
        <f>VLOOKUP(C577,CU_ARS_2025_WOF_F2!$A$2:$K$673,10,FALSE)</f>
        <v>0</v>
      </c>
      <c r="X577">
        <f>VLOOKUP(C577,CU_ARS_2025_WOF_F2!$A$2:$K$673,11,FALSE)</f>
        <v>54</v>
      </c>
      <c r="Y577" t="str">
        <f>VLOOKUP(Q577,cross_pedigree!$A$2:$B$23,2,FALSE)</f>
        <v>NC20-4526/AURORA</v>
      </c>
    </row>
    <row r="578" spans="1:25" ht="18">
      <c r="A578" s="21" t="s">
        <v>15</v>
      </c>
      <c r="B578" s="21" t="s">
        <v>16</v>
      </c>
      <c r="C578" s="22">
        <v>753526</v>
      </c>
      <c r="D578" s="23">
        <v>7</v>
      </c>
      <c r="E578" s="24" t="str">
        <f t="shared" si="8"/>
        <v>CU_ARS_2025_WOF_F2_2_plant_38</v>
      </c>
      <c r="F578" s="21" t="s">
        <v>100</v>
      </c>
      <c r="G578" s="44" t="s">
        <v>215</v>
      </c>
      <c r="H578" s="42"/>
      <c r="I578" s="42" t="s">
        <v>1034</v>
      </c>
      <c r="J578" s="42" t="s">
        <v>1003</v>
      </c>
      <c r="K578" s="42"/>
      <c r="L578" s="42"/>
      <c r="M578" s="42"/>
      <c r="N578" t="str">
        <f>VLOOKUP(C578,CU_ARS_2025_WOF_F2!$A$2:$K$673,2,FALSE)</f>
        <v>CU_ARS_2025_WOF_F2_2_plant_38</v>
      </c>
      <c r="O578" t="str">
        <f>VLOOKUP(C578,CU_ARS_2025_WOF_F2!$A$2:$K$673,2,FALSE)</f>
        <v>CU_ARS_2025_WOF_F2_2_plant_38</v>
      </c>
      <c r="P578" t="str">
        <f>VLOOKUP(C578,CU_ARS_2025_WOF_F2!$A$2:$K$673,3,FALSE)</f>
        <v>CU_ARS_2025_WOF_F2_2</v>
      </c>
      <c r="Q578" t="str">
        <f>VLOOKUP(C578,CU_ARS_2025_WOF_F2!$A$2:$K$673,4,FALSE)</f>
        <v>CU_ARS_2025_WOF_cross_45</v>
      </c>
      <c r="R578">
        <f>VLOOKUP(C578,CU_ARS_2025_WOF_F2!$A$2:$K$673,5,FALSE)</f>
        <v>2</v>
      </c>
      <c r="S578">
        <f>VLOOKUP(C578,CU_ARS_2025_WOF_F2!$A$2:$K$673,6,FALSE)</f>
        <v>1</v>
      </c>
      <c r="T578">
        <f>VLOOKUP(C578,CU_ARS_2025_WOF_F2!$A$2:$K$673,7,FALSE)</f>
        <v>0</v>
      </c>
      <c r="U578">
        <f>VLOOKUP(C578,CU_ARS_2025_WOF_F2!$A$2:$K$673,8,FALSE)</f>
        <v>1</v>
      </c>
      <c r="V578">
        <f>VLOOKUP(C578,CU_ARS_2025_WOF_F2!$A$2:$K$673,9,FALSE)</f>
        <v>0</v>
      </c>
      <c r="W578">
        <f>VLOOKUP(C578,CU_ARS_2025_WOF_F2!$A$2:$K$673,10,FALSE)</f>
        <v>0</v>
      </c>
      <c r="X578">
        <f>VLOOKUP(C578,CU_ARS_2025_WOF_F2!$A$2:$K$673,11,FALSE)</f>
        <v>38</v>
      </c>
      <c r="Y578" t="str">
        <f>VLOOKUP(Q578,cross_pedigree!$A$2:$B$23,2,FALSE)</f>
        <v>NC20-4526/AURORA</v>
      </c>
    </row>
    <row r="579" spans="1:25" ht="18">
      <c r="A579" s="21" t="s">
        <v>15</v>
      </c>
      <c r="B579" s="21" t="s">
        <v>16</v>
      </c>
      <c r="C579" s="22">
        <v>753527</v>
      </c>
      <c r="D579" s="23">
        <v>7</v>
      </c>
      <c r="E579" s="24" t="str">
        <f t="shared" ref="E579:E642" si="9">O579</f>
        <v>CU_ARS_2025_WOF_F2_2_plant_39</v>
      </c>
      <c r="F579" s="21" t="s">
        <v>102</v>
      </c>
      <c r="G579" s="44" t="s">
        <v>216</v>
      </c>
      <c r="H579" s="42"/>
      <c r="I579" s="42" t="s">
        <v>1034</v>
      </c>
      <c r="J579" s="42" t="s">
        <v>1003</v>
      </c>
      <c r="K579" s="42"/>
      <c r="L579" s="42"/>
      <c r="M579" s="42"/>
      <c r="N579" t="str">
        <f>VLOOKUP(C579,CU_ARS_2025_WOF_F2!$A$2:$K$673,2,FALSE)</f>
        <v>CU_ARS_2025_WOF_F2_2_plant_39</v>
      </c>
      <c r="O579" t="str">
        <f>VLOOKUP(C579,CU_ARS_2025_WOF_F2!$A$2:$K$673,2,FALSE)</f>
        <v>CU_ARS_2025_WOF_F2_2_plant_39</v>
      </c>
      <c r="P579" t="str">
        <f>VLOOKUP(C579,CU_ARS_2025_WOF_F2!$A$2:$K$673,3,FALSE)</f>
        <v>CU_ARS_2025_WOF_F2_2</v>
      </c>
      <c r="Q579" t="str">
        <f>VLOOKUP(C579,CU_ARS_2025_WOF_F2!$A$2:$K$673,4,FALSE)</f>
        <v>CU_ARS_2025_WOF_cross_45</v>
      </c>
      <c r="R579">
        <f>VLOOKUP(C579,CU_ARS_2025_WOF_F2!$A$2:$K$673,5,FALSE)</f>
        <v>2</v>
      </c>
      <c r="S579">
        <f>VLOOKUP(C579,CU_ARS_2025_WOF_F2!$A$2:$K$673,6,FALSE)</f>
        <v>1</v>
      </c>
      <c r="T579">
        <f>VLOOKUP(C579,CU_ARS_2025_WOF_F2!$A$2:$K$673,7,FALSE)</f>
        <v>0</v>
      </c>
      <c r="U579">
        <f>VLOOKUP(C579,CU_ARS_2025_WOF_F2!$A$2:$K$673,8,FALSE)</f>
        <v>1</v>
      </c>
      <c r="V579">
        <f>VLOOKUP(C579,CU_ARS_2025_WOF_F2!$A$2:$K$673,9,FALSE)</f>
        <v>0</v>
      </c>
      <c r="W579">
        <f>VLOOKUP(C579,CU_ARS_2025_WOF_F2!$A$2:$K$673,10,FALSE)</f>
        <v>0</v>
      </c>
      <c r="X579">
        <f>VLOOKUP(C579,CU_ARS_2025_WOF_F2!$A$2:$K$673,11,FALSE)</f>
        <v>39</v>
      </c>
      <c r="Y579" t="str">
        <f>VLOOKUP(Q579,cross_pedigree!$A$2:$B$23,2,FALSE)</f>
        <v>NC20-4526/AURORA</v>
      </c>
    </row>
    <row r="580" spans="1:25" ht="18">
      <c r="A580" s="21" t="s">
        <v>15</v>
      </c>
      <c r="B580" s="21" t="s">
        <v>16</v>
      </c>
      <c r="C580" s="22">
        <v>753528</v>
      </c>
      <c r="D580" s="23">
        <v>7</v>
      </c>
      <c r="E580" s="24" t="str">
        <f t="shared" si="9"/>
        <v>CU_ARS_2025_WOF_F2_2_plant_40</v>
      </c>
      <c r="F580" s="21" t="s">
        <v>104</v>
      </c>
      <c r="G580" s="44" t="s">
        <v>217</v>
      </c>
      <c r="H580" s="42"/>
      <c r="I580" s="42" t="s">
        <v>1034</v>
      </c>
      <c r="J580" s="42" t="s">
        <v>1003</v>
      </c>
      <c r="K580" s="42"/>
      <c r="L580" s="42"/>
      <c r="M580" s="42"/>
      <c r="N580" t="str">
        <f>VLOOKUP(C580,CU_ARS_2025_WOF_F2!$A$2:$K$673,2,FALSE)</f>
        <v>CU_ARS_2025_WOF_F2_2_plant_40</v>
      </c>
      <c r="O580" t="str">
        <f>VLOOKUP(C580,CU_ARS_2025_WOF_F2!$A$2:$K$673,2,FALSE)</f>
        <v>CU_ARS_2025_WOF_F2_2_plant_40</v>
      </c>
      <c r="P580" t="str">
        <f>VLOOKUP(C580,CU_ARS_2025_WOF_F2!$A$2:$K$673,3,FALSE)</f>
        <v>CU_ARS_2025_WOF_F2_2</v>
      </c>
      <c r="Q580" t="str">
        <f>VLOOKUP(C580,CU_ARS_2025_WOF_F2!$A$2:$K$673,4,FALSE)</f>
        <v>CU_ARS_2025_WOF_cross_45</v>
      </c>
      <c r="R580">
        <f>VLOOKUP(C580,CU_ARS_2025_WOF_F2!$A$2:$K$673,5,FALSE)</f>
        <v>2</v>
      </c>
      <c r="S580">
        <f>VLOOKUP(C580,CU_ARS_2025_WOF_F2!$A$2:$K$673,6,FALSE)</f>
        <v>1</v>
      </c>
      <c r="T580">
        <f>VLOOKUP(C580,CU_ARS_2025_WOF_F2!$A$2:$K$673,7,FALSE)</f>
        <v>0</v>
      </c>
      <c r="U580">
        <f>VLOOKUP(C580,CU_ARS_2025_WOF_F2!$A$2:$K$673,8,FALSE)</f>
        <v>1</v>
      </c>
      <c r="V580">
        <f>VLOOKUP(C580,CU_ARS_2025_WOF_F2!$A$2:$K$673,9,FALSE)</f>
        <v>0</v>
      </c>
      <c r="W580">
        <f>VLOOKUP(C580,CU_ARS_2025_WOF_F2!$A$2:$K$673,10,FALSE)</f>
        <v>0</v>
      </c>
      <c r="X580">
        <f>VLOOKUP(C580,CU_ARS_2025_WOF_F2!$A$2:$K$673,11,FALSE)</f>
        <v>40</v>
      </c>
      <c r="Y580" t="str">
        <f>VLOOKUP(Q580,cross_pedigree!$A$2:$B$23,2,FALSE)</f>
        <v>NC20-4526/AURORA</v>
      </c>
    </row>
    <row r="581" spans="1:25" ht="18">
      <c r="A581" s="21" t="s">
        <v>15</v>
      </c>
      <c r="B581" s="21" t="s">
        <v>16</v>
      </c>
      <c r="C581" s="22">
        <v>753534</v>
      </c>
      <c r="D581" s="23">
        <v>7</v>
      </c>
      <c r="E581" s="24" t="str">
        <f t="shared" si="9"/>
        <v>CU_ARS_2025_WOF_F2_2_plant_46</v>
      </c>
      <c r="F581" s="21" t="s">
        <v>69</v>
      </c>
      <c r="G581" s="44" t="s">
        <v>70</v>
      </c>
      <c r="H581" s="42"/>
      <c r="I581" s="42" t="s">
        <v>1034</v>
      </c>
      <c r="J581" s="42" t="s">
        <v>1003</v>
      </c>
      <c r="K581" s="42"/>
      <c r="L581" s="42"/>
      <c r="M581" s="42"/>
      <c r="N581" t="str">
        <f>VLOOKUP(C581,CU_ARS_2025_WOF_F2!$A$2:$K$673,2,FALSE)</f>
        <v>CU_ARS_2025_WOF_F2_2_plant_46</v>
      </c>
      <c r="O581" t="str">
        <f>VLOOKUP(C581,CU_ARS_2025_WOF_F2!$A$2:$K$673,2,FALSE)</f>
        <v>CU_ARS_2025_WOF_F2_2_plant_46</v>
      </c>
      <c r="P581" t="str">
        <f>VLOOKUP(C581,CU_ARS_2025_WOF_F2!$A$2:$K$673,3,FALSE)</f>
        <v>CU_ARS_2025_WOF_F2_2</v>
      </c>
      <c r="Q581" t="str">
        <f>VLOOKUP(C581,CU_ARS_2025_WOF_F2!$A$2:$K$673,4,FALSE)</f>
        <v>CU_ARS_2025_WOF_cross_45</v>
      </c>
      <c r="R581">
        <f>VLOOKUP(C581,CU_ARS_2025_WOF_F2!$A$2:$K$673,5,FALSE)</f>
        <v>2</v>
      </c>
      <c r="S581">
        <f>VLOOKUP(C581,CU_ARS_2025_WOF_F2!$A$2:$K$673,6,FALSE)</f>
        <v>1</v>
      </c>
      <c r="T581">
        <f>VLOOKUP(C581,CU_ARS_2025_WOF_F2!$A$2:$K$673,7,FALSE)</f>
        <v>0</v>
      </c>
      <c r="U581">
        <f>VLOOKUP(C581,CU_ARS_2025_WOF_F2!$A$2:$K$673,8,FALSE)</f>
        <v>1</v>
      </c>
      <c r="V581">
        <f>VLOOKUP(C581,CU_ARS_2025_WOF_F2!$A$2:$K$673,9,FALSE)</f>
        <v>0</v>
      </c>
      <c r="W581">
        <f>VLOOKUP(C581,CU_ARS_2025_WOF_F2!$A$2:$K$673,10,FALSE)</f>
        <v>0</v>
      </c>
      <c r="X581">
        <f>VLOOKUP(C581,CU_ARS_2025_WOF_F2!$A$2:$K$673,11,FALSE)</f>
        <v>46</v>
      </c>
      <c r="Y581" t="str">
        <f>VLOOKUP(Q581,cross_pedigree!$A$2:$B$23,2,FALSE)</f>
        <v>NC20-4526/AURORA</v>
      </c>
    </row>
    <row r="582" spans="1:25" ht="18">
      <c r="A582" s="21" t="s">
        <v>15</v>
      </c>
      <c r="B582" s="21" t="s">
        <v>16</v>
      </c>
      <c r="C582" s="22">
        <v>753535</v>
      </c>
      <c r="D582" s="23">
        <v>7</v>
      </c>
      <c r="E582" s="24" t="str">
        <f t="shared" si="9"/>
        <v>CU_ARS_2025_WOF_F2_2_plant_47</v>
      </c>
      <c r="F582" s="21" t="s">
        <v>71</v>
      </c>
      <c r="G582" s="44" t="s">
        <v>72</v>
      </c>
      <c r="H582" s="42"/>
      <c r="I582" s="42" t="s">
        <v>1034</v>
      </c>
      <c r="J582" s="42" t="s">
        <v>1003</v>
      </c>
      <c r="K582" s="42"/>
      <c r="L582" s="42"/>
      <c r="M582" s="42"/>
      <c r="N582" t="str">
        <f>VLOOKUP(C582,CU_ARS_2025_WOF_F2!$A$2:$K$673,2,FALSE)</f>
        <v>CU_ARS_2025_WOF_F2_2_plant_47</v>
      </c>
      <c r="O582" t="str">
        <f>VLOOKUP(C582,CU_ARS_2025_WOF_F2!$A$2:$K$673,2,FALSE)</f>
        <v>CU_ARS_2025_WOF_F2_2_plant_47</v>
      </c>
      <c r="P582" t="str">
        <f>VLOOKUP(C582,CU_ARS_2025_WOF_F2!$A$2:$K$673,3,FALSE)</f>
        <v>CU_ARS_2025_WOF_F2_2</v>
      </c>
      <c r="Q582" t="str">
        <f>VLOOKUP(C582,CU_ARS_2025_WOF_F2!$A$2:$K$673,4,FALSE)</f>
        <v>CU_ARS_2025_WOF_cross_45</v>
      </c>
      <c r="R582">
        <f>VLOOKUP(C582,CU_ARS_2025_WOF_F2!$A$2:$K$673,5,FALSE)</f>
        <v>2</v>
      </c>
      <c r="S582">
        <f>VLOOKUP(C582,CU_ARS_2025_WOF_F2!$A$2:$K$673,6,FALSE)</f>
        <v>1</v>
      </c>
      <c r="T582">
        <f>VLOOKUP(C582,CU_ARS_2025_WOF_F2!$A$2:$K$673,7,FALSE)</f>
        <v>0</v>
      </c>
      <c r="U582">
        <f>VLOOKUP(C582,CU_ARS_2025_WOF_F2!$A$2:$K$673,8,FALSE)</f>
        <v>1</v>
      </c>
      <c r="V582">
        <f>VLOOKUP(C582,CU_ARS_2025_WOF_F2!$A$2:$K$673,9,FALSE)</f>
        <v>0</v>
      </c>
      <c r="W582">
        <f>VLOOKUP(C582,CU_ARS_2025_WOF_F2!$A$2:$K$673,10,FALSE)</f>
        <v>0</v>
      </c>
      <c r="X582">
        <f>VLOOKUP(C582,CU_ARS_2025_WOF_F2!$A$2:$K$673,11,FALSE)</f>
        <v>47</v>
      </c>
      <c r="Y582" t="str">
        <f>VLOOKUP(Q582,cross_pedigree!$A$2:$B$23,2,FALSE)</f>
        <v>NC20-4526/AURORA</v>
      </c>
    </row>
    <row r="583" spans="1:25" ht="18">
      <c r="A583" s="21" t="s">
        <v>15</v>
      </c>
      <c r="B583" s="21" t="s">
        <v>16</v>
      </c>
      <c r="C583" s="22">
        <v>753536</v>
      </c>
      <c r="D583" s="23">
        <v>7</v>
      </c>
      <c r="E583" s="24" t="str">
        <f t="shared" si="9"/>
        <v>CU_ARS_2025_WOF_F2_2_plant_48</v>
      </c>
      <c r="F583" s="21" t="s">
        <v>73</v>
      </c>
      <c r="G583" s="44" t="s">
        <v>74</v>
      </c>
      <c r="H583" s="42"/>
      <c r="I583" s="42" t="s">
        <v>1034</v>
      </c>
      <c r="J583" s="42" t="s">
        <v>1003</v>
      </c>
      <c r="K583" s="42"/>
      <c r="L583" s="42"/>
      <c r="M583" s="42"/>
      <c r="N583" t="str">
        <f>VLOOKUP(C583,CU_ARS_2025_WOF_F2!$A$2:$K$673,2,FALSE)</f>
        <v>CU_ARS_2025_WOF_F2_2_plant_48</v>
      </c>
      <c r="O583" t="str">
        <f>VLOOKUP(C583,CU_ARS_2025_WOF_F2!$A$2:$K$673,2,FALSE)</f>
        <v>CU_ARS_2025_WOF_F2_2_plant_48</v>
      </c>
      <c r="P583" t="str">
        <f>VLOOKUP(C583,CU_ARS_2025_WOF_F2!$A$2:$K$673,3,FALSE)</f>
        <v>CU_ARS_2025_WOF_F2_2</v>
      </c>
      <c r="Q583" t="str">
        <f>VLOOKUP(C583,CU_ARS_2025_WOF_F2!$A$2:$K$673,4,FALSE)</f>
        <v>CU_ARS_2025_WOF_cross_45</v>
      </c>
      <c r="R583">
        <f>VLOOKUP(C583,CU_ARS_2025_WOF_F2!$A$2:$K$673,5,FALSE)</f>
        <v>2</v>
      </c>
      <c r="S583">
        <f>VLOOKUP(C583,CU_ARS_2025_WOF_F2!$A$2:$K$673,6,FALSE)</f>
        <v>1</v>
      </c>
      <c r="T583">
        <f>VLOOKUP(C583,CU_ARS_2025_WOF_F2!$A$2:$K$673,7,FALSE)</f>
        <v>0</v>
      </c>
      <c r="U583">
        <f>VLOOKUP(C583,CU_ARS_2025_WOF_F2!$A$2:$K$673,8,FALSE)</f>
        <v>1</v>
      </c>
      <c r="V583">
        <f>VLOOKUP(C583,CU_ARS_2025_WOF_F2!$A$2:$K$673,9,FALSE)</f>
        <v>0</v>
      </c>
      <c r="W583">
        <f>VLOOKUP(C583,CU_ARS_2025_WOF_F2!$A$2:$K$673,10,FALSE)</f>
        <v>0</v>
      </c>
      <c r="X583">
        <f>VLOOKUP(C583,CU_ARS_2025_WOF_F2!$A$2:$K$673,11,FALSE)</f>
        <v>48</v>
      </c>
      <c r="Y583" t="str">
        <f>VLOOKUP(Q583,cross_pedigree!$A$2:$B$23,2,FALSE)</f>
        <v>NC20-4526/AURORA</v>
      </c>
    </row>
    <row r="584" spans="1:25" ht="18">
      <c r="A584" s="21" t="s">
        <v>15</v>
      </c>
      <c r="B584" s="21" t="s">
        <v>16</v>
      </c>
      <c r="C584" s="22">
        <v>753537</v>
      </c>
      <c r="D584" s="23">
        <v>7</v>
      </c>
      <c r="E584" s="24" t="str">
        <f t="shared" si="9"/>
        <v>CU_ARS_2025_WOF_F2_2_plant_49</v>
      </c>
      <c r="F584" s="21" t="s">
        <v>75</v>
      </c>
      <c r="G584" s="44" t="s">
        <v>76</v>
      </c>
      <c r="H584" s="42"/>
      <c r="I584" s="42" t="s">
        <v>1034</v>
      </c>
      <c r="J584" s="42" t="s">
        <v>1003</v>
      </c>
      <c r="K584" s="42"/>
      <c r="L584" s="42"/>
      <c r="M584" s="42"/>
      <c r="N584" t="str">
        <f>VLOOKUP(C584,CU_ARS_2025_WOF_F2!$A$2:$K$673,2,FALSE)</f>
        <v>CU_ARS_2025_WOF_F2_2_plant_49</v>
      </c>
      <c r="O584" t="str">
        <f>VLOOKUP(C584,CU_ARS_2025_WOF_F2!$A$2:$K$673,2,FALSE)</f>
        <v>CU_ARS_2025_WOF_F2_2_plant_49</v>
      </c>
      <c r="P584" t="str">
        <f>VLOOKUP(C584,CU_ARS_2025_WOF_F2!$A$2:$K$673,3,FALSE)</f>
        <v>CU_ARS_2025_WOF_F2_2</v>
      </c>
      <c r="Q584" t="str">
        <f>VLOOKUP(C584,CU_ARS_2025_WOF_F2!$A$2:$K$673,4,FALSE)</f>
        <v>CU_ARS_2025_WOF_cross_45</v>
      </c>
      <c r="R584">
        <f>VLOOKUP(C584,CU_ARS_2025_WOF_F2!$A$2:$K$673,5,FALSE)</f>
        <v>2</v>
      </c>
      <c r="S584">
        <f>VLOOKUP(C584,CU_ARS_2025_WOF_F2!$A$2:$K$673,6,FALSE)</f>
        <v>1</v>
      </c>
      <c r="T584">
        <f>VLOOKUP(C584,CU_ARS_2025_WOF_F2!$A$2:$K$673,7,FALSE)</f>
        <v>0</v>
      </c>
      <c r="U584">
        <f>VLOOKUP(C584,CU_ARS_2025_WOF_F2!$A$2:$K$673,8,FALSE)</f>
        <v>1</v>
      </c>
      <c r="V584">
        <f>VLOOKUP(C584,CU_ARS_2025_WOF_F2!$A$2:$K$673,9,FALSE)</f>
        <v>0</v>
      </c>
      <c r="W584">
        <f>VLOOKUP(C584,CU_ARS_2025_WOF_F2!$A$2:$K$673,10,FALSE)</f>
        <v>0</v>
      </c>
      <c r="X584">
        <f>VLOOKUP(C584,CU_ARS_2025_WOF_F2!$A$2:$K$673,11,FALSE)</f>
        <v>49</v>
      </c>
      <c r="Y584" t="str">
        <f>VLOOKUP(Q584,cross_pedigree!$A$2:$B$23,2,FALSE)</f>
        <v>NC20-4526/AURORA</v>
      </c>
    </row>
    <row r="585" spans="1:25" ht="18">
      <c r="A585" s="21" t="s">
        <v>15</v>
      </c>
      <c r="B585" s="21" t="s">
        <v>16</v>
      </c>
      <c r="C585" s="22">
        <v>753538</v>
      </c>
      <c r="D585" s="23">
        <v>7</v>
      </c>
      <c r="E585" s="24" t="str">
        <f t="shared" si="9"/>
        <v>CU_ARS_2025_WOF_F2_2_plant_50</v>
      </c>
      <c r="F585" s="21" t="s">
        <v>77</v>
      </c>
      <c r="G585" s="44" t="s">
        <v>78</v>
      </c>
      <c r="H585" s="42"/>
      <c r="I585" s="42" t="s">
        <v>1034</v>
      </c>
      <c r="J585" s="42" t="s">
        <v>1003</v>
      </c>
      <c r="K585" s="42"/>
      <c r="L585" s="42"/>
      <c r="M585" s="42"/>
      <c r="N585" t="str">
        <f>VLOOKUP(C585,CU_ARS_2025_WOF_F2!$A$2:$K$673,2,FALSE)</f>
        <v>CU_ARS_2025_WOF_F2_2_plant_50</v>
      </c>
      <c r="O585" t="str">
        <f>VLOOKUP(C585,CU_ARS_2025_WOF_F2!$A$2:$K$673,2,FALSE)</f>
        <v>CU_ARS_2025_WOF_F2_2_plant_50</v>
      </c>
      <c r="P585" t="str">
        <f>VLOOKUP(C585,CU_ARS_2025_WOF_F2!$A$2:$K$673,3,FALSE)</f>
        <v>CU_ARS_2025_WOF_F2_2</v>
      </c>
      <c r="Q585" t="str">
        <f>VLOOKUP(C585,CU_ARS_2025_WOF_F2!$A$2:$K$673,4,FALSE)</f>
        <v>CU_ARS_2025_WOF_cross_45</v>
      </c>
      <c r="R585">
        <f>VLOOKUP(C585,CU_ARS_2025_WOF_F2!$A$2:$K$673,5,FALSE)</f>
        <v>2</v>
      </c>
      <c r="S585">
        <f>VLOOKUP(C585,CU_ARS_2025_WOF_F2!$A$2:$K$673,6,FALSE)</f>
        <v>1</v>
      </c>
      <c r="T585">
        <f>VLOOKUP(C585,CU_ARS_2025_WOF_F2!$A$2:$K$673,7,FALSE)</f>
        <v>0</v>
      </c>
      <c r="U585">
        <f>VLOOKUP(C585,CU_ARS_2025_WOF_F2!$A$2:$K$673,8,FALSE)</f>
        <v>1</v>
      </c>
      <c r="V585">
        <f>VLOOKUP(C585,CU_ARS_2025_WOF_F2!$A$2:$K$673,9,FALSE)</f>
        <v>0</v>
      </c>
      <c r="W585">
        <f>VLOOKUP(C585,CU_ARS_2025_WOF_F2!$A$2:$K$673,10,FALSE)</f>
        <v>0</v>
      </c>
      <c r="X585">
        <f>VLOOKUP(C585,CU_ARS_2025_WOF_F2!$A$2:$K$673,11,FALSE)</f>
        <v>50</v>
      </c>
      <c r="Y585" t="str">
        <f>VLOOKUP(Q585,cross_pedigree!$A$2:$B$23,2,FALSE)</f>
        <v>NC20-4526/AURORA</v>
      </c>
    </row>
    <row r="586" spans="1:25" ht="18">
      <c r="A586" s="21" t="s">
        <v>15</v>
      </c>
      <c r="B586" s="21" t="s">
        <v>16</v>
      </c>
      <c r="C586" s="22">
        <v>753539</v>
      </c>
      <c r="D586" s="23">
        <v>7</v>
      </c>
      <c r="E586" s="24" t="str">
        <f t="shared" si="9"/>
        <v>CU_ARS_2025_WOF_F2_2_plant_51</v>
      </c>
      <c r="F586" s="21" t="s">
        <v>79</v>
      </c>
      <c r="G586" s="44" t="s">
        <v>80</v>
      </c>
      <c r="H586" s="42"/>
      <c r="I586" s="42" t="s">
        <v>1034</v>
      </c>
      <c r="J586" s="42" t="s">
        <v>1003</v>
      </c>
      <c r="K586" s="42"/>
      <c r="L586" s="42"/>
      <c r="M586" s="42"/>
      <c r="N586" t="str">
        <f>VLOOKUP(C586,CU_ARS_2025_WOF_F2!$A$2:$K$673,2,FALSE)</f>
        <v>CU_ARS_2025_WOF_F2_2_plant_51</v>
      </c>
      <c r="O586" t="str">
        <f>VLOOKUP(C586,CU_ARS_2025_WOF_F2!$A$2:$K$673,2,FALSE)</f>
        <v>CU_ARS_2025_WOF_F2_2_plant_51</v>
      </c>
      <c r="P586" t="str">
        <f>VLOOKUP(C586,CU_ARS_2025_WOF_F2!$A$2:$K$673,3,FALSE)</f>
        <v>CU_ARS_2025_WOF_F2_2</v>
      </c>
      <c r="Q586" t="str">
        <f>VLOOKUP(C586,CU_ARS_2025_WOF_F2!$A$2:$K$673,4,FALSE)</f>
        <v>CU_ARS_2025_WOF_cross_45</v>
      </c>
      <c r="R586">
        <f>VLOOKUP(C586,CU_ARS_2025_WOF_F2!$A$2:$K$673,5,FALSE)</f>
        <v>2</v>
      </c>
      <c r="S586">
        <f>VLOOKUP(C586,CU_ARS_2025_WOF_F2!$A$2:$K$673,6,FALSE)</f>
        <v>1</v>
      </c>
      <c r="T586">
        <f>VLOOKUP(C586,CU_ARS_2025_WOF_F2!$A$2:$K$673,7,FALSE)</f>
        <v>0</v>
      </c>
      <c r="U586">
        <f>VLOOKUP(C586,CU_ARS_2025_WOF_F2!$A$2:$K$673,8,FALSE)</f>
        <v>1</v>
      </c>
      <c r="V586">
        <f>VLOOKUP(C586,CU_ARS_2025_WOF_F2!$A$2:$K$673,9,FALSE)</f>
        <v>0</v>
      </c>
      <c r="W586">
        <f>VLOOKUP(C586,CU_ARS_2025_WOF_F2!$A$2:$K$673,10,FALSE)</f>
        <v>0</v>
      </c>
      <c r="X586">
        <f>VLOOKUP(C586,CU_ARS_2025_WOF_F2!$A$2:$K$673,11,FALSE)</f>
        <v>51</v>
      </c>
      <c r="Y586" t="str">
        <f>VLOOKUP(Q586,cross_pedigree!$A$2:$B$23,2,FALSE)</f>
        <v>NC20-4526/AURORA</v>
      </c>
    </row>
    <row r="587" spans="1:25" ht="18">
      <c r="A587" s="21" t="s">
        <v>15</v>
      </c>
      <c r="B587" s="21" t="s">
        <v>16</v>
      </c>
      <c r="C587" s="22">
        <v>753540</v>
      </c>
      <c r="D587" s="23">
        <v>7</v>
      </c>
      <c r="E587" s="24" t="str">
        <f t="shared" si="9"/>
        <v>CU_ARS_2025_WOF_F2_2_plant_52</v>
      </c>
      <c r="F587" s="21" t="s">
        <v>81</v>
      </c>
      <c r="G587" s="44">
        <v>10</v>
      </c>
      <c r="H587" s="42"/>
      <c r="I587" s="42" t="s">
        <v>1034</v>
      </c>
      <c r="J587" s="42" t="s">
        <v>1003</v>
      </c>
      <c r="K587" s="42"/>
      <c r="L587" s="42"/>
      <c r="M587" s="42"/>
      <c r="N587" t="str">
        <f>VLOOKUP(C587,CU_ARS_2025_WOF_F2!$A$2:$K$673,2,FALSE)</f>
        <v>CU_ARS_2025_WOF_F2_2_plant_52</v>
      </c>
      <c r="O587" t="str">
        <f>VLOOKUP(C587,CU_ARS_2025_WOF_F2!$A$2:$K$673,2,FALSE)</f>
        <v>CU_ARS_2025_WOF_F2_2_plant_52</v>
      </c>
      <c r="P587" t="str">
        <f>VLOOKUP(C587,CU_ARS_2025_WOF_F2!$A$2:$K$673,3,FALSE)</f>
        <v>CU_ARS_2025_WOF_F2_2</v>
      </c>
      <c r="Q587" t="str">
        <f>VLOOKUP(C587,CU_ARS_2025_WOF_F2!$A$2:$K$673,4,FALSE)</f>
        <v>CU_ARS_2025_WOF_cross_45</v>
      </c>
      <c r="R587">
        <f>VLOOKUP(C587,CU_ARS_2025_WOF_F2!$A$2:$K$673,5,FALSE)</f>
        <v>2</v>
      </c>
      <c r="S587">
        <f>VLOOKUP(C587,CU_ARS_2025_WOF_F2!$A$2:$K$673,6,FALSE)</f>
        <v>1</v>
      </c>
      <c r="T587">
        <f>VLOOKUP(C587,CU_ARS_2025_WOF_F2!$A$2:$K$673,7,FALSE)</f>
        <v>0</v>
      </c>
      <c r="U587">
        <f>VLOOKUP(C587,CU_ARS_2025_WOF_F2!$A$2:$K$673,8,FALSE)</f>
        <v>1</v>
      </c>
      <c r="V587">
        <f>VLOOKUP(C587,CU_ARS_2025_WOF_F2!$A$2:$K$673,9,FALSE)</f>
        <v>0</v>
      </c>
      <c r="W587">
        <f>VLOOKUP(C587,CU_ARS_2025_WOF_F2!$A$2:$K$673,10,FALSE)</f>
        <v>0</v>
      </c>
      <c r="X587">
        <f>VLOOKUP(C587,CU_ARS_2025_WOF_F2!$A$2:$K$673,11,FALSE)</f>
        <v>52</v>
      </c>
      <c r="Y587" t="str">
        <f>VLOOKUP(Q587,cross_pedigree!$A$2:$B$23,2,FALSE)</f>
        <v>NC20-4526/AURORA</v>
      </c>
    </row>
    <row r="588" spans="1:25" ht="18">
      <c r="A588" s="21" t="s">
        <v>15</v>
      </c>
      <c r="B588" s="21" t="s">
        <v>16</v>
      </c>
      <c r="C588" s="22">
        <v>753541</v>
      </c>
      <c r="D588" s="23">
        <v>7</v>
      </c>
      <c r="E588" s="24" t="str">
        <f t="shared" si="9"/>
        <v>CU_ARS_2025_WOF_F2_2_plant_53</v>
      </c>
      <c r="F588" s="21" t="s">
        <v>82</v>
      </c>
      <c r="G588" s="44">
        <v>11</v>
      </c>
      <c r="H588" s="42"/>
      <c r="I588" s="42" t="s">
        <v>1034</v>
      </c>
      <c r="J588" s="42" t="s">
        <v>1003</v>
      </c>
      <c r="K588" s="42"/>
      <c r="L588" s="42"/>
      <c r="M588" s="42"/>
      <c r="N588" t="str">
        <f>VLOOKUP(C588,CU_ARS_2025_WOF_F2!$A$2:$K$673,2,FALSE)</f>
        <v>CU_ARS_2025_WOF_F2_2_plant_53</v>
      </c>
      <c r="O588" t="str">
        <f>VLOOKUP(C588,CU_ARS_2025_WOF_F2!$A$2:$K$673,2,FALSE)</f>
        <v>CU_ARS_2025_WOF_F2_2_plant_53</v>
      </c>
      <c r="P588" t="str">
        <f>VLOOKUP(C588,CU_ARS_2025_WOF_F2!$A$2:$K$673,3,FALSE)</f>
        <v>CU_ARS_2025_WOF_F2_2</v>
      </c>
      <c r="Q588" t="str">
        <f>VLOOKUP(C588,CU_ARS_2025_WOF_F2!$A$2:$K$673,4,FALSE)</f>
        <v>CU_ARS_2025_WOF_cross_45</v>
      </c>
      <c r="R588">
        <f>VLOOKUP(C588,CU_ARS_2025_WOF_F2!$A$2:$K$673,5,FALSE)</f>
        <v>2</v>
      </c>
      <c r="S588">
        <f>VLOOKUP(C588,CU_ARS_2025_WOF_F2!$A$2:$K$673,6,FALSE)</f>
        <v>1</v>
      </c>
      <c r="T588">
        <f>VLOOKUP(C588,CU_ARS_2025_WOF_F2!$A$2:$K$673,7,FALSE)</f>
        <v>0</v>
      </c>
      <c r="U588">
        <f>VLOOKUP(C588,CU_ARS_2025_WOF_F2!$A$2:$K$673,8,FALSE)</f>
        <v>1</v>
      </c>
      <c r="V588">
        <f>VLOOKUP(C588,CU_ARS_2025_WOF_F2!$A$2:$K$673,9,FALSE)</f>
        <v>0</v>
      </c>
      <c r="W588">
        <f>VLOOKUP(C588,CU_ARS_2025_WOF_F2!$A$2:$K$673,10,FALSE)</f>
        <v>0</v>
      </c>
      <c r="X588">
        <f>VLOOKUP(C588,CU_ARS_2025_WOF_F2!$A$2:$K$673,11,FALSE)</f>
        <v>53</v>
      </c>
      <c r="Y588" t="str">
        <f>VLOOKUP(Q588,cross_pedigree!$A$2:$B$23,2,FALSE)</f>
        <v>NC20-4526/AURORA</v>
      </c>
    </row>
    <row r="589" spans="1:25" ht="18">
      <c r="A589" s="21" t="s">
        <v>15</v>
      </c>
      <c r="B589" s="21" t="s">
        <v>16</v>
      </c>
      <c r="C589" s="22">
        <v>753549</v>
      </c>
      <c r="D589" s="23">
        <v>7</v>
      </c>
      <c r="E589" s="24" t="str">
        <f t="shared" si="9"/>
        <v>CU_ARS_2025_WOF_F2_2_plant_61</v>
      </c>
      <c r="F589" s="21" t="s">
        <v>83</v>
      </c>
      <c r="G589" s="44">
        <v>12</v>
      </c>
      <c r="H589" s="42"/>
      <c r="I589" s="42" t="s">
        <v>1034</v>
      </c>
      <c r="J589" s="42" t="s">
        <v>1003</v>
      </c>
      <c r="K589" s="42"/>
      <c r="L589" s="42"/>
      <c r="M589" s="42"/>
      <c r="N589" t="str">
        <f>VLOOKUP(C589,CU_ARS_2025_WOF_F2!$A$2:$K$673,2,FALSE)</f>
        <v>CU_ARS_2025_WOF_F2_2_plant_61</v>
      </c>
      <c r="O589" t="str">
        <f>VLOOKUP(C589,CU_ARS_2025_WOF_F2!$A$2:$K$673,2,FALSE)</f>
        <v>CU_ARS_2025_WOF_F2_2_plant_61</v>
      </c>
      <c r="P589" t="str">
        <f>VLOOKUP(C589,CU_ARS_2025_WOF_F2!$A$2:$K$673,3,FALSE)</f>
        <v>CU_ARS_2025_WOF_F2_2</v>
      </c>
      <c r="Q589" t="str">
        <f>VLOOKUP(C589,CU_ARS_2025_WOF_F2!$A$2:$K$673,4,FALSE)</f>
        <v>CU_ARS_2025_WOF_cross_45</v>
      </c>
      <c r="R589">
        <f>VLOOKUP(C589,CU_ARS_2025_WOF_F2!$A$2:$K$673,5,FALSE)</f>
        <v>2</v>
      </c>
      <c r="S589">
        <f>VLOOKUP(C589,CU_ARS_2025_WOF_F2!$A$2:$K$673,6,FALSE)</f>
        <v>1</v>
      </c>
      <c r="T589">
        <f>VLOOKUP(C589,CU_ARS_2025_WOF_F2!$A$2:$K$673,7,FALSE)</f>
        <v>0</v>
      </c>
      <c r="U589">
        <f>VLOOKUP(C589,CU_ARS_2025_WOF_F2!$A$2:$K$673,8,FALSE)</f>
        <v>1</v>
      </c>
      <c r="V589">
        <f>VLOOKUP(C589,CU_ARS_2025_WOF_F2!$A$2:$K$673,9,FALSE)</f>
        <v>0</v>
      </c>
      <c r="W589">
        <f>VLOOKUP(C589,CU_ARS_2025_WOF_F2!$A$2:$K$673,10,FALSE)</f>
        <v>0</v>
      </c>
      <c r="X589">
        <f>VLOOKUP(C589,CU_ARS_2025_WOF_F2!$A$2:$K$673,11,FALSE)</f>
        <v>61</v>
      </c>
      <c r="Y589" t="str">
        <f>VLOOKUP(Q589,cross_pedigree!$A$2:$B$23,2,FALSE)</f>
        <v>NC20-4526/AURORA</v>
      </c>
    </row>
    <row r="590" spans="1:25" ht="18">
      <c r="A590" s="21" t="s">
        <v>15</v>
      </c>
      <c r="B590" s="21" t="s">
        <v>16</v>
      </c>
      <c r="C590" s="22">
        <v>753548</v>
      </c>
      <c r="D590" s="23">
        <v>7</v>
      </c>
      <c r="E590" s="24" t="str">
        <f t="shared" si="9"/>
        <v>CU_ARS_2025_WOF_F2_2_plant_60</v>
      </c>
      <c r="F590" s="21" t="s">
        <v>84</v>
      </c>
      <c r="G590" s="44">
        <v>13</v>
      </c>
      <c r="H590" s="42"/>
      <c r="I590" s="42" t="s">
        <v>1034</v>
      </c>
      <c r="J590" s="42" t="s">
        <v>1003</v>
      </c>
      <c r="K590" s="42"/>
      <c r="L590" s="42"/>
      <c r="M590" s="42"/>
      <c r="N590" t="str">
        <f>VLOOKUP(C590,CU_ARS_2025_WOF_F2!$A$2:$K$673,2,FALSE)</f>
        <v>CU_ARS_2025_WOF_F2_2_plant_60</v>
      </c>
      <c r="O590" t="str">
        <f>VLOOKUP(C590,CU_ARS_2025_WOF_F2!$A$2:$K$673,2,FALSE)</f>
        <v>CU_ARS_2025_WOF_F2_2_plant_60</v>
      </c>
      <c r="P590" t="str">
        <f>VLOOKUP(C590,CU_ARS_2025_WOF_F2!$A$2:$K$673,3,FALSE)</f>
        <v>CU_ARS_2025_WOF_F2_2</v>
      </c>
      <c r="Q590" t="str">
        <f>VLOOKUP(C590,CU_ARS_2025_WOF_F2!$A$2:$K$673,4,FALSE)</f>
        <v>CU_ARS_2025_WOF_cross_45</v>
      </c>
      <c r="R590">
        <f>VLOOKUP(C590,CU_ARS_2025_WOF_F2!$A$2:$K$673,5,FALSE)</f>
        <v>2</v>
      </c>
      <c r="S590">
        <f>VLOOKUP(C590,CU_ARS_2025_WOF_F2!$A$2:$K$673,6,FALSE)</f>
        <v>1</v>
      </c>
      <c r="T590">
        <f>VLOOKUP(C590,CU_ARS_2025_WOF_F2!$A$2:$K$673,7,FALSE)</f>
        <v>0</v>
      </c>
      <c r="U590">
        <f>VLOOKUP(C590,CU_ARS_2025_WOF_F2!$A$2:$K$673,8,FALSE)</f>
        <v>1</v>
      </c>
      <c r="V590">
        <f>VLOOKUP(C590,CU_ARS_2025_WOF_F2!$A$2:$K$673,9,FALSE)</f>
        <v>0</v>
      </c>
      <c r="W590">
        <f>VLOOKUP(C590,CU_ARS_2025_WOF_F2!$A$2:$K$673,10,FALSE)</f>
        <v>0</v>
      </c>
      <c r="X590">
        <f>VLOOKUP(C590,CU_ARS_2025_WOF_F2!$A$2:$K$673,11,FALSE)</f>
        <v>60</v>
      </c>
      <c r="Y590" t="str">
        <f>VLOOKUP(Q590,cross_pedigree!$A$2:$B$23,2,FALSE)</f>
        <v>NC20-4526/AURORA</v>
      </c>
    </row>
    <row r="591" spans="1:25" ht="18">
      <c r="A591" s="21" t="s">
        <v>15</v>
      </c>
      <c r="B591" s="21" t="s">
        <v>16</v>
      </c>
      <c r="C591" s="22">
        <v>753547</v>
      </c>
      <c r="D591" s="23">
        <v>7</v>
      </c>
      <c r="E591" s="24" t="str">
        <f t="shared" si="9"/>
        <v>CU_ARS_2025_WOF_F2_2_plant_59</v>
      </c>
      <c r="F591" s="21" t="s">
        <v>85</v>
      </c>
      <c r="G591" s="44">
        <v>14</v>
      </c>
      <c r="H591" s="42"/>
      <c r="I591" s="42" t="s">
        <v>1034</v>
      </c>
      <c r="J591" s="42" t="s">
        <v>1003</v>
      </c>
      <c r="K591" s="42"/>
      <c r="L591" s="42"/>
      <c r="M591" s="42"/>
      <c r="N591" t="str">
        <f>VLOOKUP(C591,CU_ARS_2025_WOF_F2!$A$2:$K$673,2,FALSE)</f>
        <v>CU_ARS_2025_WOF_F2_2_plant_59</v>
      </c>
      <c r="O591" t="str">
        <f>VLOOKUP(C591,CU_ARS_2025_WOF_F2!$A$2:$K$673,2,FALSE)</f>
        <v>CU_ARS_2025_WOF_F2_2_plant_59</v>
      </c>
      <c r="P591" t="str">
        <f>VLOOKUP(C591,CU_ARS_2025_WOF_F2!$A$2:$K$673,3,FALSE)</f>
        <v>CU_ARS_2025_WOF_F2_2</v>
      </c>
      <c r="Q591" t="str">
        <f>VLOOKUP(C591,CU_ARS_2025_WOF_F2!$A$2:$K$673,4,FALSE)</f>
        <v>CU_ARS_2025_WOF_cross_45</v>
      </c>
      <c r="R591">
        <f>VLOOKUP(C591,CU_ARS_2025_WOF_F2!$A$2:$K$673,5,FALSE)</f>
        <v>2</v>
      </c>
      <c r="S591">
        <f>VLOOKUP(C591,CU_ARS_2025_WOF_F2!$A$2:$K$673,6,FALSE)</f>
        <v>1</v>
      </c>
      <c r="T591">
        <f>VLOOKUP(C591,CU_ARS_2025_WOF_F2!$A$2:$K$673,7,FALSE)</f>
        <v>0</v>
      </c>
      <c r="U591">
        <f>VLOOKUP(C591,CU_ARS_2025_WOF_F2!$A$2:$K$673,8,FALSE)</f>
        <v>1</v>
      </c>
      <c r="V591">
        <f>VLOOKUP(C591,CU_ARS_2025_WOF_F2!$A$2:$K$673,9,FALSE)</f>
        <v>0</v>
      </c>
      <c r="W591">
        <f>VLOOKUP(C591,CU_ARS_2025_WOF_F2!$A$2:$K$673,10,FALSE)</f>
        <v>0</v>
      </c>
      <c r="X591">
        <f>VLOOKUP(C591,CU_ARS_2025_WOF_F2!$A$2:$K$673,11,FALSE)</f>
        <v>59</v>
      </c>
      <c r="Y591" t="str">
        <f>VLOOKUP(Q591,cross_pedigree!$A$2:$B$23,2,FALSE)</f>
        <v>NC20-4526/AURORA</v>
      </c>
    </row>
    <row r="592" spans="1:25" ht="18">
      <c r="A592" s="21" t="s">
        <v>15</v>
      </c>
      <c r="B592" s="21" t="s">
        <v>16</v>
      </c>
      <c r="C592" s="22">
        <v>753546</v>
      </c>
      <c r="D592" s="23">
        <v>7</v>
      </c>
      <c r="E592" s="24" t="str">
        <f t="shared" si="9"/>
        <v>CU_ARS_2025_WOF_F2_2_plant_58</v>
      </c>
      <c r="F592" s="21" t="s">
        <v>117</v>
      </c>
      <c r="G592" s="44">
        <v>15</v>
      </c>
      <c r="H592" s="42"/>
      <c r="I592" s="42" t="s">
        <v>1034</v>
      </c>
      <c r="J592" s="42" t="s">
        <v>1003</v>
      </c>
      <c r="K592" s="42"/>
      <c r="L592" s="42"/>
      <c r="M592" s="42"/>
      <c r="N592" t="str">
        <f>VLOOKUP(C592,CU_ARS_2025_WOF_F2!$A$2:$K$673,2,FALSE)</f>
        <v>CU_ARS_2025_WOF_F2_2_plant_58</v>
      </c>
      <c r="O592" t="str">
        <f>VLOOKUP(C592,CU_ARS_2025_WOF_F2!$A$2:$K$673,2,FALSE)</f>
        <v>CU_ARS_2025_WOF_F2_2_plant_58</v>
      </c>
      <c r="P592" t="str">
        <f>VLOOKUP(C592,CU_ARS_2025_WOF_F2!$A$2:$K$673,3,FALSE)</f>
        <v>CU_ARS_2025_WOF_F2_2</v>
      </c>
      <c r="Q592" t="str">
        <f>VLOOKUP(C592,CU_ARS_2025_WOF_F2!$A$2:$K$673,4,FALSE)</f>
        <v>CU_ARS_2025_WOF_cross_45</v>
      </c>
      <c r="R592">
        <f>VLOOKUP(C592,CU_ARS_2025_WOF_F2!$A$2:$K$673,5,FALSE)</f>
        <v>2</v>
      </c>
      <c r="S592">
        <f>VLOOKUP(C592,CU_ARS_2025_WOF_F2!$A$2:$K$673,6,FALSE)</f>
        <v>1</v>
      </c>
      <c r="T592">
        <f>VLOOKUP(C592,CU_ARS_2025_WOF_F2!$A$2:$K$673,7,FALSE)</f>
        <v>0</v>
      </c>
      <c r="U592">
        <f>VLOOKUP(C592,CU_ARS_2025_WOF_F2!$A$2:$K$673,8,FALSE)</f>
        <v>1</v>
      </c>
      <c r="V592">
        <f>VLOOKUP(C592,CU_ARS_2025_WOF_F2!$A$2:$K$673,9,FALSE)</f>
        <v>0</v>
      </c>
      <c r="W592">
        <f>VLOOKUP(C592,CU_ARS_2025_WOF_F2!$A$2:$K$673,10,FALSE)</f>
        <v>0</v>
      </c>
      <c r="X592">
        <f>VLOOKUP(C592,CU_ARS_2025_WOF_F2!$A$2:$K$673,11,FALSE)</f>
        <v>58</v>
      </c>
      <c r="Y592" t="str">
        <f>VLOOKUP(Q592,cross_pedigree!$A$2:$B$23,2,FALSE)</f>
        <v>NC20-4526/AURORA</v>
      </c>
    </row>
    <row r="593" spans="1:25" ht="18">
      <c r="A593" s="21" t="s">
        <v>15</v>
      </c>
      <c r="B593" s="21" t="s">
        <v>16</v>
      </c>
      <c r="C593" s="22">
        <v>753545</v>
      </c>
      <c r="D593" s="23">
        <v>7</v>
      </c>
      <c r="E593" s="24" t="str">
        <f t="shared" si="9"/>
        <v>CU_ARS_2025_WOF_F2_2_plant_57</v>
      </c>
      <c r="F593" s="21" t="s">
        <v>119</v>
      </c>
      <c r="G593" s="44">
        <v>16</v>
      </c>
      <c r="H593" s="42"/>
      <c r="I593" s="42" t="s">
        <v>1034</v>
      </c>
      <c r="J593" s="42" t="s">
        <v>1003</v>
      </c>
      <c r="K593" s="42"/>
      <c r="L593" s="42"/>
      <c r="M593" s="42"/>
      <c r="N593" t="str">
        <f>VLOOKUP(C593,CU_ARS_2025_WOF_F2!$A$2:$K$673,2,FALSE)</f>
        <v>CU_ARS_2025_WOF_F2_2_plant_57</v>
      </c>
      <c r="O593" t="str">
        <f>VLOOKUP(C593,CU_ARS_2025_WOF_F2!$A$2:$K$673,2,FALSE)</f>
        <v>CU_ARS_2025_WOF_F2_2_plant_57</v>
      </c>
      <c r="P593" t="str">
        <f>VLOOKUP(C593,CU_ARS_2025_WOF_F2!$A$2:$K$673,3,FALSE)</f>
        <v>CU_ARS_2025_WOF_F2_2</v>
      </c>
      <c r="Q593" t="str">
        <f>VLOOKUP(C593,CU_ARS_2025_WOF_F2!$A$2:$K$673,4,FALSE)</f>
        <v>CU_ARS_2025_WOF_cross_45</v>
      </c>
      <c r="R593">
        <f>VLOOKUP(C593,CU_ARS_2025_WOF_F2!$A$2:$K$673,5,FALSE)</f>
        <v>2</v>
      </c>
      <c r="S593">
        <f>VLOOKUP(C593,CU_ARS_2025_WOF_F2!$A$2:$K$673,6,FALSE)</f>
        <v>1</v>
      </c>
      <c r="T593">
        <f>VLOOKUP(C593,CU_ARS_2025_WOF_F2!$A$2:$K$673,7,FALSE)</f>
        <v>0</v>
      </c>
      <c r="U593">
        <f>VLOOKUP(C593,CU_ARS_2025_WOF_F2!$A$2:$K$673,8,FALSE)</f>
        <v>1</v>
      </c>
      <c r="V593">
        <f>VLOOKUP(C593,CU_ARS_2025_WOF_F2!$A$2:$K$673,9,FALSE)</f>
        <v>0</v>
      </c>
      <c r="W593">
        <f>VLOOKUP(C593,CU_ARS_2025_WOF_F2!$A$2:$K$673,10,FALSE)</f>
        <v>0</v>
      </c>
      <c r="X593">
        <f>VLOOKUP(C593,CU_ARS_2025_WOF_F2!$A$2:$K$673,11,FALSE)</f>
        <v>57</v>
      </c>
      <c r="Y593" t="str">
        <f>VLOOKUP(Q593,cross_pedigree!$A$2:$B$23,2,FALSE)</f>
        <v>NC20-4526/AURORA</v>
      </c>
    </row>
    <row r="594" spans="1:25" ht="18">
      <c r="A594" s="21" t="s">
        <v>15</v>
      </c>
      <c r="B594" s="21" t="s">
        <v>16</v>
      </c>
      <c r="C594" s="22">
        <v>753550</v>
      </c>
      <c r="D594" s="23">
        <v>7</v>
      </c>
      <c r="E594" s="24" t="str">
        <f t="shared" si="9"/>
        <v>CU_ARS_2025_WOF_F2_2_plant_62</v>
      </c>
      <c r="F594" s="21" t="s">
        <v>121</v>
      </c>
      <c r="G594" s="44">
        <v>17</v>
      </c>
      <c r="H594" s="42"/>
      <c r="I594" s="42" t="s">
        <v>1034</v>
      </c>
      <c r="J594" s="42" t="s">
        <v>1003</v>
      </c>
      <c r="K594" s="42"/>
      <c r="L594" s="42"/>
      <c r="M594" s="42"/>
      <c r="N594" t="str">
        <f>VLOOKUP(C594,CU_ARS_2025_WOF_F2!$A$2:$K$673,2,FALSE)</f>
        <v>CU_ARS_2025_WOF_F2_2_plant_62</v>
      </c>
      <c r="O594" t="str">
        <f>VLOOKUP(C594,CU_ARS_2025_WOF_F2!$A$2:$K$673,2,FALSE)</f>
        <v>CU_ARS_2025_WOF_F2_2_plant_62</v>
      </c>
      <c r="P594" t="str">
        <f>VLOOKUP(C594,CU_ARS_2025_WOF_F2!$A$2:$K$673,3,FALSE)</f>
        <v>CU_ARS_2025_WOF_F2_2</v>
      </c>
      <c r="Q594" t="str">
        <f>VLOOKUP(C594,CU_ARS_2025_WOF_F2!$A$2:$K$673,4,FALSE)</f>
        <v>CU_ARS_2025_WOF_cross_45</v>
      </c>
      <c r="R594">
        <f>VLOOKUP(C594,CU_ARS_2025_WOF_F2!$A$2:$K$673,5,FALSE)</f>
        <v>2</v>
      </c>
      <c r="S594">
        <f>VLOOKUP(C594,CU_ARS_2025_WOF_F2!$A$2:$K$673,6,FALSE)</f>
        <v>1</v>
      </c>
      <c r="T594">
        <f>VLOOKUP(C594,CU_ARS_2025_WOF_F2!$A$2:$K$673,7,FALSE)</f>
        <v>0</v>
      </c>
      <c r="U594">
        <f>VLOOKUP(C594,CU_ARS_2025_WOF_F2!$A$2:$K$673,8,FALSE)</f>
        <v>1</v>
      </c>
      <c r="V594">
        <f>VLOOKUP(C594,CU_ARS_2025_WOF_F2!$A$2:$K$673,9,FALSE)</f>
        <v>0</v>
      </c>
      <c r="W594">
        <f>VLOOKUP(C594,CU_ARS_2025_WOF_F2!$A$2:$K$673,10,FALSE)</f>
        <v>0</v>
      </c>
      <c r="X594">
        <f>VLOOKUP(C594,CU_ARS_2025_WOF_F2!$A$2:$K$673,11,FALSE)</f>
        <v>62</v>
      </c>
      <c r="Y594" t="str">
        <f>VLOOKUP(Q594,cross_pedigree!$A$2:$B$23,2,FALSE)</f>
        <v>NC20-4526/AURORA</v>
      </c>
    </row>
    <row r="595" spans="1:25" ht="18">
      <c r="A595" s="21" t="s">
        <v>15</v>
      </c>
      <c r="B595" s="21" t="s">
        <v>16</v>
      </c>
      <c r="C595" s="22">
        <v>753551</v>
      </c>
      <c r="D595" s="23">
        <v>7</v>
      </c>
      <c r="E595" s="24" t="str">
        <f t="shared" si="9"/>
        <v>CU_ARS_2025_WOF_F2_2_plant_63</v>
      </c>
      <c r="F595" s="21" t="s">
        <v>123</v>
      </c>
      <c r="G595" s="44">
        <v>18</v>
      </c>
      <c r="H595" s="42"/>
      <c r="I595" s="42" t="s">
        <v>1034</v>
      </c>
      <c r="J595" s="42" t="s">
        <v>1003</v>
      </c>
      <c r="K595" s="42"/>
      <c r="L595" s="42"/>
      <c r="M595" s="42"/>
      <c r="N595" t="str">
        <f>VLOOKUP(C595,CU_ARS_2025_WOF_F2!$A$2:$K$673,2,FALSE)</f>
        <v>CU_ARS_2025_WOF_F2_2_plant_63</v>
      </c>
      <c r="O595" t="str">
        <f>VLOOKUP(C595,CU_ARS_2025_WOF_F2!$A$2:$K$673,2,FALSE)</f>
        <v>CU_ARS_2025_WOF_F2_2_plant_63</v>
      </c>
      <c r="P595" t="str">
        <f>VLOOKUP(C595,CU_ARS_2025_WOF_F2!$A$2:$K$673,3,FALSE)</f>
        <v>CU_ARS_2025_WOF_F2_2</v>
      </c>
      <c r="Q595" t="str">
        <f>VLOOKUP(C595,CU_ARS_2025_WOF_F2!$A$2:$K$673,4,FALSE)</f>
        <v>CU_ARS_2025_WOF_cross_45</v>
      </c>
      <c r="R595">
        <f>VLOOKUP(C595,CU_ARS_2025_WOF_F2!$A$2:$K$673,5,FALSE)</f>
        <v>2</v>
      </c>
      <c r="S595">
        <f>VLOOKUP(C595,CU_ARS_2025_WOF_F2!$A$2:$K$673,6,FALSE)</f>
        <v>1</v>
      </c>
      <c r="T595">
        <f>VLOOKUP(C595,CU_ARS_2025_WOF_F2!$A$2:$K$673,7,FALSE)</f>
        <v>0</v>
      </c>
      <c r="U595">
        <f>VLOOKUP(C595,CU_ARS_2025_WOF_F2!$A$2:$K$673,8,FALSE)</f>
        <v>1</v>
      </c>
      <c r="V595">
        <f>VLOOKUP(C595,CU_ARS_2025_WOF_F2!$A$2:$K$673,9,FALSE)</f>
        <v>0</v>
      </c>
      <c r="W595">
        <f>VLOOKUP(C595,CU_ARS_2025_WOF_F2!$A$2:$K$673,10,FALSE)</f>
        <v>0</v>
      </c>
      <c r="X595">
        <f>VLOOKUP(C595,CU_ARS_2025_WOF_F2!$A$2:$K$673,11,FALSE)</f>
        <v>63</v>
      </c>
      <c r="Y595" t="str">
        <f>VLOOKUP(Q595,cross_pedigree!$A$2:$B$23,2,FALSE)</f>
        <v>NC20-4526/AURORA</v>
      </c>
    </row>
    <row r="596" spans="1:25" ht="18">
      <c r="A596" s="21" t="s">
        <v>15</v>
      </c>
      <c r="B596" s="21" t="s">
        <v>16</v>
      </c>
      <c r="C596" s="22">
        <v>753552</v>
      </c>
      <c r="D596" s="23">
        <v>7</v>
      </c>
      <c r="E596" s="24" t="str">
        <f t="shared" si="9"/>
        <v>CU_ARS_2025_WOF_F2_2_plant_64</v>
      </c>
      <c r="F596" s="21" t="s">
        <v>125</v>
      </c>
      <c r="G596" s="44">
        <v>19</v>
      </c>
      <c r="H596" s="42"/>
      <c r="I596" s="42" t="s">
        <v>1034</v>
      </c>
      <c r="J596" s="42" t="s">
        <v>1003</v>
      </c>
      <c r="K596" s="42"/>
      <c r="L596" s="42"/>
      <c r="M596" s="42"/>
      <c r="N596" t="str">
        <f>VLOOKUP(C596,CU_ARS_2025_WOF_F2!$A$2:$K$673,2,FALSE)</f>
        <v>CU_ARS_2025_WOF_F2_2_plant_64</v>
      </c>
      <c r="O596" t="str">
        <f>VLOOKUP(C596,CU_ARS_2025_WOF_F2!$A$2:$K$673,2,FALSE)</f>
        <v>CU_ARS_2025_WOF_F2_2_plant_64</v>
      </c>
      <c r="P596" t="str">
        <f>VLOOKUP(C596,CU_ARS_2025_WOF_F2!$A$2:$K$673,3,FALSE)</f>
        <v>CU_ARS_2025_WOF_F2_2</v>
      </c>
      <c r="Q596" t="str">
        <f>VLOOKUP(C596,CU_ARS_2025_WOF_F2!$A$2:$K$673,4,FALSE)</f>
        <v>CU_ARS_2025_WOF_cross_45</v>
      </c>
      <c r="R596">
        <f>VLOOKUP(C596,CU_ARS_2025_WOF_F2!$A$2:$K$673,5,FALSE)</f>
        <v>2</v>
      </c>
      <c r="S596">
        <f>VLOOKUP(C596,CU_ARS_2025_WOF_F2!$A$2:$K$673,6,FALSE)</f>
        <v>1</v>
      </c>
      <c r="T596">
        <f>VLOOKUP(C596,CU_ARS_2025_WOF_F2!$A$2:$K$673,7,FALSE)</f>
        <v>0</v>
      </c>
      <c r="U596">
        <f>VLOOKUP(C596,CU_ARS_2025_WOF_F2!$A$2:$K$673,8,FALSE)</f>
        <v>1</v>
      </c>
      <c r="V596">
        <f>VLOOKUP(C596,CU_ARS_2025_WOF_F2!$A$2:$K$673,9,FALSE)</f>
        <v>0</v>
      </c>
      <c r="W596">
        <f>VLOOKUP(C596,CU_ARS_2025_WOF_F2!$A$2:$K$673,10,FALSE)</f>
        <v>0</v>
      </c>
      <c r="X596">
        <f>VLOOKUP(C596,CU_ARS_2025_WOF_F2!$A$2:$K$673,11,FALSE)</f>
        <v>64</v>
      </c>
      <c r="Y596" t="str">
        <f>VLOOKUP(Q596,cross_pedigree!$A$2:$B$23,2,FALSE)</f>
        <v>NC20-4526/AURORA</v>
      </c>
    </row>
    <row r="597" spans="1:25" ht="18">
      <c r="A597" s="21" t="s">
        <v>15</v>
      </c>
      <c r="B597" s="21" t="s">
        <v>16</v>
      </c>
      <c r="C597" s="22">
        <v>753560</v>
      </c>
      <c r="D597" s="23">
        <v>7</v>
      </c>
      <c r="E597" s="24" t="str">
        <f t="shared" si="9"/>
        <v>CU_ARS_2025_WOF_F2_2_plant_72</v>
      </c>
      <c r="F597" s="21" t="s">
        <v>86</v>
      </c>
      <c r="G597" s="44">
        <v>20</v>
      </c>
      <c r="H597" s="42"/>
      <c r="I597" s="42" t="s">
        <v>1034</v>
      </c>
      <c r="J597" s="42" t="s">
        <v>1003</v>
      </c>
      <c r="K597" s="42"/>
      <c r="L597" s="42"/>
      <c r="M597" s="42"/>
      <c r="N597" t="str">
        <f>VLOOKUP(C597,CU_ARS_2025_WOF_F2!$A$2:$K$673,2,FALSE)</f>
        <v>CU_ARS_2025_WOF_F2_2_plant_72</v>
      </c>
      <c r="O597" t="str">
        <f>VLOOKUP(C597,CU_ARS_2025_WOF_F2!$A$2:$K$673,2,FALSE)</f>
        <v>CU_ARS_2025_WOF_F2_2_plant_72</v>
      </c>
      <c r="P597" t="str">
        <f>VLOOKUP(C597,CU_ARS_2025_WOF_F2!$A$2:$K$673,3,FALSE)</f>
        <v>CU_ARS_2025_WOF_F2_2</v>
      </c>
      <c r="Q597" t="str">
        <f>VLOOKUP(C597,CU_ARS_2025_WOF_F2!$A$2:$K$673,4,FALSE)</f>
        <v>CU_ARS_2025_WOF_cross_45</v>
      </c>
      <c r="R597">
        <f>VLOOKUP(C597,CU_ARS_2025_WOF_F2!$A$2:$K$673,5,FALSE)</f>
        <v>2</v>
      </c>
      <c r="S597">
        <f>VLOOKUP(C597,CU_ARS_2025_WOF_F2!$A$2:$K$673,6,FALSE)</f>
        <v>1</v>
      </c>
      <c r="T597">
        <f>VLOOKUP(C597,CU_ARS_2025_WOF_F2!$A$2:$K$673,7,FALSE)</f>
        <v>0</v>
      </c>
      <c r="U597">
        <f>VLOOKUP(C597,CU_ARS_2025_WOF_F2!$A$2:$K$673,8,FALSE)</f>
        <v>1</v>
      </c>
      <c r="V597">
        <f>VLOOKUP(C597,CU_ARS_2025_WOF_F2!$A$2:$K$673,9,FALSE)</f>
        <v>0</v>
      </c>
      <c r="W597">
        <f>VLOOKUP(C597,CU_ARS_2025_WOF_F2!$A$2:$K$673,10,FALSE)</f>
        <v>0</v>
      </c>
      <c r="X597">
        <f>VLOOKUP(C597,CU_ARS_2025_WOF_F2!$A$2:$K$673,11,FALSE)</f>
        <v>72</v>
      </c>
      <c r="Y597" t="str">
        <f>VLOOKUP(Q597,cross_pedigree!$A$2:$B$23,2,FALSE)</f>
        <v>NC20-4526/AURORA</v>
      </c>
    </row>
    <row r="598" spans="1:25" ht="18">
      <c r="A598" s="21" t="s">
        <v>15</v>
      </c>
      <c r="B598" s="21" t="s">
        <v>16</v>
      </c>
      <c r="C598" s="22">
        <v>753559</v>
      </c>
      <c r="D598" s="23">
        <v>7</v>
      </c>
      <c r="E598" s="24" t="str">
        <f t="shared" si="9"/>
        <v>CU_ARS_2025_WOF_F2_2_plant_71</v>
      </c>
      <c r="F598" s="21" t="s">
        <v>87</v>
      </c>
      <c r="G598" s="44">
        <v>21</v>
      </c>
      <c r="H598" s="42"/>
      <c r="I598" s="42" t="s">
        <v>1034</v>
      </c>
      <c r="J598" s="42" t="s">
        <v>1003</v>
      </c>
      <c r="K598" s="42"/>
      <c r="L598" s="42"/>
      <c r="M598" s="42"/>
      <c r="N598" t="str">
        <f>VLOOKUP(C598,CU_ARS_2025_WOF_F2!$A$2:$K$673,2,FALSE)</f>
        <v>CU_ARS_2025_WOF_F2_2_plant_71</v>
      </c>
      <c r="O598" t="str">
        <f>VLOOKUP(C598,CU_ARS_2025_WOF_F2!$A$2:$K$673,2,FALSE)</f>
        <v>CU_ARS_2025_WOF_F2_2_plant_71</v>
      </c>
      <c r="P598" t="str">
        <f>VLOOKUP(C598,CU_ARS_2025_WOF_F2!$A$2:$K$673,3,FALSE)</f>
        <v>CU_ARS_2025_WOF_F2_2</v>
      </c>
      <c r="Q598" t="str">
        <f>VLOOKUP(C598,CU_ARS_2025_WOF_F2!$A$2:$K$673,4,FALSE)</f>
        <v>CU_ARS_2025_WOF_cross_45</v>
      </c>
      <c r="R598">
        <f>VLOOKUP(C598,CU_ARS_2025_WOF_F2!$A$2:$K$673,5,FALSE)</f>
        <v>2</v>
      </c>
      <c r="S598">
        <f>VLOOKUP(C598,CU_ARS_2025_WOF_F2!$A$2:$K$673,6,FALSE)</f>
        <v>1</v>
      </c>
      <c r="T598">
        <f>VLOOKUP(C598,CU_ARS_2025_WOF_F2!$A$2:$K$673,7,FALSE)</f>
        <v>0</v>
      </c>
      <c r="U598">
        <f>VLOOKUP(C598,CU_ARS_2025_WOF_F2!$A$2:$K$673,8,FALSE)</f>
        <v>1</v>
      </c>
      <c r="V598">
        <f>VLOOKUP(C598,CU_ARS_2025_WOF_F2!$A$2:$K$673,9,FALSE)</f>
        <v>0</v>
      </c>
      <c r="W598">
        <f>VLOOKUP(C598,CU_ARS_2025_WOF_F2!$A$2:$K$673,10,FALSE)</f>
        <v>0</v>
      </c>
      <c r="X598">
        <f>VLOOKUP(C598,CU_ARS_2025_WOF_F2!$A$2:$K$673,11,FALSE)</f>
        <v>71</v>
      </c>
      <c r="Y598" t="str">
        <f>VLOOKUP(Q598,cross_pedigree!$A$2:$B$23,2,FALSE)</f>
        <v>NC20-4526/AURORA</v>
      </c>
    </row>
    <row r="599" spans="1:25" ht="18">
      <c r="A599" s="21" t="s">
        <v>15</v>
      </c>
      <c r="B599" s="21" t="s">
        <v>16</v>
      </c>
      <c r="C599" s="22">
        <v>753558</v>
      </c>
      <c r="D599" s="23">
        <v>7</v>
      </c>
      <c r="E599" s="24" t="str">
        <f t="shared" si="9"/>
        <v>CU_ARS_2025_WOF_F2_2_plant_70</v>
      </c>
      <c r="F599" s="21" t="s">
        <v>88</v>
      </c>
      <c r="G599" s="44">
        <v>22</v>
      </c>
      <c r="H599" s="42"/>
      <c r="I599" s="42" t="s">
        <v>1034</v>
      </c>
      <c r="J599" s="42" t="s">
        <v>1003</v>
      </c>
      <c r="K599" s="42"/>
      <c r="L599" s="42"/>
      <c r="M599" s="42"/>
      <c r="N599" t="str">
        <f>VLOOKUP(C599,CU_ARS_2025_WOF_F2!$A$2:$K$673,2,FALSE)</f>
        <v>CU_ARS_2025_WOF_F2_2_plant_70</v>
      </c>
      <c r="O599" t="str">
        <f>VLOOKUP(C599,CU_ARS_2025_WOF_F2!$A$2:$K$673,2,FALSE)</f>
        <v>CU_ARS_2025_WOF_F2_2_plant_70</v>
      </c>
      <c r="P599" t="str">
        <f>VLOOKUP(C599,CU_ARS_2025_WOF_F2!$A$2:$K$673,3,FALSE)</f>
        <v>CU_ARS_2025_WOF_F2_2</v>
      </c>
      <c r="Q599" t="str">
        <f>VLOOKUP(C599,CU_ARS_2025_WOF_F2!$A$2:$K$673,4,FALSE)</f>
        <v>CU_ARS_2025_WOF_cross_45</v>
      </c>
      <c r="R599">
        <f>VLOOKUP(C599,CU_ARS_2025_WOF_F2!$A$2:$K$673,5,FALSE)</f>
        <v>2</v>
      </c>
      <c r="S599">
        <f>VLOOKUP(C599,CU_ARS_2025_WOF_F2!$A$2:$K$673,6,FALSE)</f>
        <v>1</v>
      </c>
      <c r="T599">
        <f>VLOOKUP(C599,CU_ARS_2025_WOF_F2!$A$2:$K$673,7,FALSE)</f>
        <v>0</v>
      </c>
      <c r="U599">
        <f>VLOOKUP(C599,CU_ARS_2025_WOF_F2!$A$2:$K$673,8,FALSE)</f>
        <v>1</v>
      </c>
      <c r="V599">
        <f>VLOOKUP(C599,CU_ARS_2025_WOF_F2!$A$2:$K$673,9,FALSE)</f>
        <v>0</v>
      </c>
      <c r="W599">
        <f>VLOOKUP(C599,CU_ARS_2025_WOF_F2!$A$2:$K$673,10,FALSE)</f>
        <v>0</v>
      </c>
      <c r="X599">
        <f>VLOOKUP(C599,CU_ARS_2025_WOF_F2!$A$2:$K$673,11,FALSE)</f>
        <v>70</v>
      </c>
      <c r="Y599" t="str">
        <f>VLOOKUP(Q599,cross_pedigree!$A$2:$B$23,2,FALSE)</f>
        <v>NC20-4526/AURORA</v>
      </c>
    </row>
    <row r="600" spans="1:25" ht="18">
      <c r="A600" s="21" t="s">
        <v>15</v>
      </c>
      <c r="B600" s="21" t="s">
        <v>16</v>
      </c>
      <c r="C600" s="22">
        <v>753553</v>
      </c>
      <c r="D600" s="23">
        <v>7</v>
      </c>
      <c r="E600" s="24" t="str">
        <f t="shared" si="9"/>
        <v>CU_ARS_2025_WOF_F2_2_plant_65</v>
      </c>
      <c r="F600" s="21" t="s">
        <v>89</v>
      </c>
      <c r="G600" s="44">
        <v>23</v>
      </c>
      <c r="H600" s="42"/>
      <c r="I600" s="42" t="s">
        <v>1034</v>
      </c>
      <c r="J600" s="42" t="s">
        <v>1003</v>
      </c>
      <c r="K600" s="42"/>
      <c r="L600" s="42"/>
      <c r="M600" s="42"/>
      <c r="N600" t="str">
        <f>VLOOKUP(C600,CU_ARS_2025_WOF_F2!$A$2:$K$673,2,FALSE)</f>
        <v>CU_ARS_2025_WOF_F2_2_plant_65</v>
      </c>
      <c r="O600" t="str">
        <f>VLOOKUP(C600,CU_ARS_2025_WOF_F2!$A$2:$K$673,2,FALSE)</f>
        <v>CU_ARS_2025_WOF_F2_2_plant_65</v>
      </c>
      <c r="P600" t="str">
        <f>VLOOKUP(C600,CU_ARS_2025_WOF_F2!$A$2:$K$673,3,FALSE)</f>
        <v>CU_ARS_2025_WOF_F2_2</v>
      </c>
      <c r="Q600" t="str">
        <f>VLOOKUP(C600,CU_ARS_2025_WOF_F2!$A$2:$K$673,4,FALSE)</f>
        <v>CU_ARS_2025_WOF_cross_45</v>
      </c>
      <c r="R600">
        <f>VLOOKUP(C600,CU_ARS_2025_WOF_F2!$A$2:$K$673,5,FALSE)</f>
        <v>2</v>
      </c>
      <c r="S600">
        <f>VLOOKUP(C600,CU_ARS_2025_WOF_F2!$A$2:$K$673,6,FALSE)</f>
        <v>1</v>
      </c>
      <c r="T600">
        <f>VLOOKUP(C600,CU_ARS_2025_WOF_F2!$A$2:$K$673,7,FALSE)</f>
        <v>0</v>
      </c>
      <c r="U600">
        <f>VLOOKUP(C600,CU_ARS_2025_WOF_F2!$A$2:$K$673,8,FALSE)</f>
        <v>1</v>
      </c>
      <c r="V600">
        <f>VLOOKUP(C600,CU_ARS_2025_WOF_F2!$A$2:$K$673,9,FALSE)</f>
        <v>0</v>
      </c>
      <c r="W600">
        <f>VLOOKUP(C600,CU_ARS_2025_WOF_F2!$A$2:$K$673,10,FALSE)</f>
        <v>0</v>
      </c>
      <c r="X600">
        <f>VLOOKUP(C600,CU_ARS_2025_WOF_F2!$A$2:$K$673,11,FALSE)</f>
        <v>65</v>
      </c>
      <c r="Y600" t="str">
        <f>VLOOKUP(Q600,cross_pedigree!$A$2:$B$23,2,FALSE)</f>
        <v>NC20-4526/AURORA</v>
      </c>
    </row>
    <row r="601" spans="1:25" ht="18">
      <c r="A601" s="21" t="s">
        <v>15</v>
      </c>
      <c r="B601" s="21" t="s">
        <v>16</v>
      </c>
      <c r="C601" s="22">
        <v>753554</v>
      </c>
      <c r="D601" s="23">
        <v>7</v>
      </c>
      <c r="E601" s="24" t="str">
        <f t="shared" si="9"/>
        <v>CU_ARS_2025_WOF_F2_2_plant_66</v>
      </c>
      <c r="F601" s="21" t="s">
        <v>90</v>
      </c>
      <c r="G601" s="44">
        <v>24</v>
      </c>
      <c r="H601" s="42"/>
      <c r="I601" s="42" t="s">
        <v>1034</v>
      </c>
      <c r="J601" s="42" t="s">
        <v>1003</v>
      </c>
      <c r="K601" s="42"/>
      <c r="L601" s="42"/>
      <c r="M601" s="42"/>
      <c r="N601" t="str">
        <f>VLOOKUP(C601,CU_ARS_2025_WOF_F2!$A$2:$K$673,2,FALSE)</f>
        <v>CU_ARS_2025_WOF_F2_2_plant_66</v>
      </c>
      <c r="O601" t="str">
        <f>VLOOKUP(C601,CU_ARS_2025_WOF_F2!$A$2:$K$673,2,FALSE)</f>
        <v>CU_ARS_2025_WOF_F2_2_plant_66</v>
      </c>
      <c r="P601" t="str">
        <f>VLOOKUP(C601,CU_ARS_2025_WOF_F2!$A$2:$K$673,3,FALSE)</f>
        <v>CU_ARS_2025_WOF_F2_2</v>
      </c>
      <c r="Q601" t="str">
        <f>VLOOKUP(C601,CU_ARS_2025_WOF_F2!$A$2:$K$673,4,FALSE)</f>
        <v>CU_ARS_2025_WOF_cross_45</v>
      </c>
      <c r="R601">
        <f>VLOOKUP(C601,CU_ARS_2025_WOF_F2!$A$2:$K$673,5,FALSE)</f>
        <v>2</v>
      </c>
      <c r="S601">
        <f>VLOOKUP(C601,CU_ARS_2025_WOF_F2!$A$2:$K$673,6,FALSE)</f>
        <v>1</v>
      </c>
      <c r="T601">
        <f>VLOOKUP(C601,CU_ARS_2025_WOF_F2!$A$2:$K$673,7,FALSE)</f>
        <v>0</v>
      </c>
      <c r="U601">
        <f>VLOOKUP(C601,CU_ARS_2025_WOF_F2!$A$2:$K$673,8,FALSE)</f>
        <v>1</v>
      </c>
      <c r="V601">
        <f>VLOOKUP(C601,CU_ARS_2025_WOF_F2!$A$2:$K$673,9,FALSE)</f>
        <v>0</v>
      </c>
      <c r="W601">
        <f>VLOOKUP(C601,CU_ARS_2025_WOF_F2!$A$2:$K$673,10,FALSE)</f>
        <v>0</v>
      </c>
      <c r="X601">
        <f>VLOOKUP(C601,CU_ARS_2025_WOF_F2!$A$2:$K$673,11,FALSE)</f>
        <v>66</v>
      </c>
      <c r="Y601" t="str">
        <f>VLOOKUP(Q601,cross_pedigree!$A$2:$B$23,2,FALSE)</f>
        <v>NC20-4526/AURORA</v>
      </c>
    </row>
    <row r="602" spans="1:25" ht="18">
      <c r="A602" s="21" t="s">
        <v>15</v>
      </c>
      <c r="B602" s="21" t="s">
        <v>16</v>
      </c>
      <c r="C602" s="22">
        <v>753555</v>
      </c>
      <c r="D602" s="23">
        <v>7</v>
      </c>
      <c r="E602" s="24" t="str">
        <f t="shared" si="9"/>
        <v>CU_ARS_2025_WOF_F2_2_plant_67</v>
      </c>
      <c r="F602" s="21" t="s">
        <v>132</v>
      </c>
      <c r="G602" s="44">
        <v>25</v>
      </c>
      <c r="H602" s="42"/>
      <c r="I602" s="42" t="s">
        <v>1034</v>
      </c>
      <c r="J602" s="42" t="s">
        <v>1003</v>
      </c>
      <c r="K602" s="42"/>
      <c r="L602" s="42"/>
      <c r="M602" s="42"/>
      <c r="N602" t="str">
        <f>VLOOKUP(C602,CU_ARS_2025_WOF_F2!$A$2:$K$673,2,FALSE)</f>
        <v>CU_ARS_2025_WOF_F2_2_plant_67</v>
      </c>
      <c r="O602" t="str">
        <f>VLOOKUP(C602,CU_ARS_2025_WOF_F2!$A$2:$K$673,2,FALSE)</f>
        <v>CU_ARS_2025_WOF_F2_2_plant_67</v>
      </c>
      <c r="P602" t="str">
        <f>VLOOKUP(C602,CU_ARS_2025_WOF_F2!$A$2:$K$673,3,FALSE)</f>
        <v>CU_ARS_2025_WOF_F2_2</v>
      </c>
      <c r="Q602" t="str">
        <f>VLOOKUP(C602,CU_ARS_2025_WOF_F2!$A$2:$K$673,4,FALSE)</f>
        <v>CU_ARS_2025_WOF_cross_45</v>
      </c>
      <c r="R602">
        <f>VLOOKUP(C602,CU_ARS_2025_WOF_F2!$A$2:$K$673,5,FALSE)</f>
        <v>2</v>
      </c>
      <c r="S602">
        <f>VLOOKUP(C602,CU_ARS_2025_WOF_F2!$A$2:$K$673,6,FALSE)</f>
        <v>1</v>
      </c>
      <c r="T602">
        <f>VLOOKUP(C602,CU_ARS_2025_WOF_F2!$A$2:$K$673,7,FALSE)</f>
        <v>0</v>
      </c>
      <c r="U602">
        <f>VLOOKUP(C602,CU_ARS_2025_WOF_F2!$A$2:$K$673,8,FALSE)</f>
        <v>1</v>
      </c>
      <c r="V602">
        <f>VLOOKUP(C602,CU_ARS_2025_WOF_F2!$A$2:$K$673,9,FALSE)</f>
        <v>0</v>
      </c>
      <c r="W602">
        <f>VLOOKUP(C602,CU_ARS_2025_WOF_F2!$A$2:$K$673,10,FALSE)</f>
        <v>0</v>
      </c>
      <c r="X602">
        <f>VLOOKUP(C602,CU_ARS_2025_WOF_F2!$A$2:$K$673,11,FALSE)</f>
        <v>67</v>
      </c>
      <c r="Y602" t="str">
        <f>VLOOKUP(Q602,cross_pedigree!$A$2:$B$23,2,FALSE)</f>
        <v>NC20-4526/AURORA</v>
      </c>
    </row>
    <row r="603" spans="1:25" ht="18">
      <c r="A603" s="21" t="s">
        <v>15</v>
      </c>
      <c r="B603" s="21" t="s">
        <v>16</v>
      </c>
      <c r="C603" s="22">
        <v>753556</v>
      </c>
      <c r="D603" s="23">
        <v>7</v>
      </c>
      <c r="E603" s="24" t="str">
        <f t="shared" si="9"/>
        <v>CU_ARS_2025_WOF_F2_2_plant_68</v>
      </c>
      <c r="F603" s="21" t="s">
        <v>134</v>
      </c>
      <c r="G603" s="44">
        <v>26</v>
      </c>
      <c r="H603" s="42"/>
      <c r="I603" s="42" t="s">
        <v>1034</v>
      </c>
      <c r="J603" s="42" t="s">
        <v>1003</v>
      </c>
      <c r="K603" s="42"/>
      <c r="L603" s="42"/>
      <c r="M603" s="42"/>
      <c r="N603" t="str">
        <f>VLOOKUP(C603,CU_ARS_2025_WOF_F2!$A$2:$K$673,2,FALSE)</f>
        <v>CU_ARS_2025_WOF_F2_2_plant_68</v>
      </c>
      <c r="O603" t="str">
        <f>VLOOKUP(C603,CU_ARS_2025_WOF_F2!$A$2:$K$673,2,FALSE)</f>
        <v>CU_ARS_2025_WOF_F2_2_plant_68</v>
      </c>
      <c r="P603" t="str">
        <f>VLOOKUP(C603,CU_ARS_2025_WOF_F2!$A$2:$K$673,3,FALSE)</f>
        <v>CU_ARS_2025_WOF_F2_2</v>
      </c>
      <c r="Q603" t="str">
        <f>VLOOKUP(C603,CU_ARS_2025_WOF_F2!$A$2:$K$673,4,FALSE)</f>
        <v>CU_ARS_2025_WOF_cross_45</v>
      </c>
      <c r="R603">
        <f>VLOOKUP(C603,CU_ARS_2025_WOF_F2!$A$2:$K$673,5,FALSE)</f>
        <v>2</v>
      </c>
      <c r="S603">
        <f>VLOOKUP(C603,CU_ARS_2025_WOF_F2!$A$2:$K$673,6,FALSE)</f>
        <v>1</v>
      </c>
      <c r="T603">
        <f>VLOOKUP(C603,CU_ARS_2025_WOF_F2!$A$2:$K$673,7,FALSE)</f>
        <v>0</v>
      </c>
      <c r="U603">
        <f>VLOOKUP(C603,CU_ARS_2025_WOF_F2!$A$2:$K$673,8,FALSE)</f>
        <v>1</v>
      </c>
      <c r="V603">
        <f>VLOOKUP(C603,CU_ARS_2025_WOF_F2!$A$2:$K$673,9,FALSE)</f>
        <v>0</v>
      </c>
      <c r="W603">
        <f>VLOOKUP(C603,CU_ARS_2025_WOF_F2!$A$2:$K$673,10,FALSE)</f>
        <v>0</v>
      </c>
      <c r="X603">
        <f>VLOOKUP(C603,CU_ARS_2025_WOF_F2!$A$2:$K$673,11,FALSE)</f>
        <v>68</v>
      </c>
      <c r="Y603" t="str">
        <f>VLOOKUP(Q603,cross_pedigree!$A$2:$B$23,2,FALSE)</f>
        <v>NC20-4526/AURORA</v>
      </c>
    </row>
    <row r="604" spans="1:25" ht="18">
      <c r="A604" s="21" t="s">
        <v>15</v>
      </c>
      <c r="B604" s="21" t="s">
        <v>16</v>
      </c>
      <c r="C604" s="22">
        <v>753557</v>
      </c>
      <c r="D604" s="23">
        <v>7</v>
      </c>
      <c r="E604" s="24" t="str">
        <f t="shared" si="9"/>
        <v>CU_ARS_2025_WOF_F2_2_plant_69</v>
      </c>
      <c r="F604" s="21" t="s">
        <v>136</v>
      </c>
      <c r="G604" s="44">
        <v>27</v>
      </c>
      <c r="H604" s="42"/>
      <c r="I604" s="42" t="s">
        <v>1034</v>
      </c>
      <c r="J604" s="42" t="s">
        <v>1003</v>
      </c>
      <c r="K604" s="42"/>
      <c r="L604" s="42"/>
      <c r="M604" s="42"/>
      <c r="N604" t="str">
        <f>VLOOKUP(C604,CU_ARS_2025_WOF_F2!$A$2:$K$673,2,FALSE)</f>
        <v>CU_ARS_2025_WOF_F2_2_plant_69</v>
      </c>
      <c r="O604" t="str">
        <f>VLOOKUP(C604,CU_ARS_2025_WOF_F2!$A$2:$K$673,2,FALSE)</f>
        <v>CU_ARS_2025_WOF_F2_2_plant_69</v>
      </c>
      <c r="P604" t="str">
        <f>VLOOKUP(C604,CU_ARS_2025_WOF_F2!$A$2:$K$673,3,FALSE)</f>
        <v>CU_ARS_2025_WOF_F2_2</v>
      </c>
      <c r="Q604" t="str">
        <f>VLOOKUP(C604,CU_ARS_2025_WOF_F2!$A$2:$K$673,4,FALSE)</f>
        <v>CU_ARS_2025_WOF_cross_45</v>
      </c>
      <c r="R604">
        <f>VLOOKUP(C604,CU_ARS_2025_WOF_F2!$A$2:$K$673,5,FALSE)</f>
        <v>2</v>
      </c>
      <c r="S604">
        <f>VLOOKUP(C604,CU_ARS_2025_WOF_F2!$A$2:$K$673,6,FALSE)</f>
        <v>1</v>
      </c>
      <c r="T604">
        <f>VLOOKUP(C604,CU_ARS_2025_WOF_F2!$A$2:$K$673,7,FALSE)</f>
        <v>0</v>
      </c>
      <c r="U604">
        <f>VLOOKUP(C604,CU_ARS_2025_WOF_F2!$A$2:$K$673,8,FALSE)</f>
        <v>1</v>
      </c>
      <c r="V604">
        <f>VLOOKUP(C604,CU_ARS_2025_WOF_F2!$A$2:$K$673,9,FALSE)</f>
        <v>0</v>
      </c>
      <c r="W604">
        <f>VLOOKUP(C604,CU_ARS_2025_WOF_F2!$A$2:$K$673,10,FALSE)</f>
        <v>0</v>
      </c>
      <c r="X604">
        <f>VLOOKUP(C604,CU_ARS_2025_WOF_F2!$A$2:$K$673,11,FALSE)</f>
        <v>69</v>
      </c>
      <c r="Y604" t="str">
        <f>VLOOKUP(Q604,cross_pedigree!$A$2:$B$23,2,FALSE)</f>
        <v>NC20-4526/AURORA</v>
      </c>
    </row>
    <row r="605" spans="1:25" ht="18">
      <c r="A605" s="21" t="s">
        <v>15</v>
      </c>
      <c r="B605" s="21" t="s">
        <v>16</v>
      </c>
      <c r="C605" s="22">
        <v>753447</v>
      </c>
      <c r="D605" s="23">
        <v>7</v>
      </c>
      <c r="E605" s="24" t="str">
        <f t="shared" si="9"/>
        <v>CU_ARS_2025_WOF_F2_4_plant_33</v>
      </c>
      <c r="F605" s="21" t="s">
        <v>138</v>
      </c>
      <c r="G605" s="44">
        <v>28</v>
      </c>
      <c r="H605" s="42"/>
      <c r="I605" s="42" t="s">
        <v>1016</v>
      </c>
      <c r="J605" s="42" t="s">
        <v>1003</v>
      </c>
      <c r="K605" s="42"/>
      <c r="L605" s="42"/>
      <c r="M605" s="42"/>
      <c r="N605" t="str">
        <f>VLOOKUP(C605,CU_ARS_2025_WOF_F2!$A$2:$K$673,2,FALSE)</f>
        <v>CU_ARS_2025_WOF_F2_4_plant_33</v>
      </c>
      <c r="O605" t="str">
        <f>VLOOKUP(C605,CU_ARS_2025_WOF_F2!$A$2:$K$673,2,FALSE)</f>
        <v>CU_ARS_2025_WOF_F2_4_plant_33</v>
      </c>
      <c r="P605" t="str">
        <f>VLOOKUP(C605,CU_ARS_2025_WOF_F2!$A$2:$K$673,3,FALSE)</f>
        <v>CU_ARS_2025_WOF_F2_4</v>
      </c>
      <c r="Q605" t="str">
        <f>VLOOKUP(C605,CU_ARS_2025_WOF_F2!$A$2:$K$673,4,FALSE)</f>
        <v>CU_ARS_2025_WOF_cross_19</v>
      </c>
      <c r="R605">
        <f>VLOOKUP(C605,CU_ARS_2025_WOF_F2!$A$2:$K$673,5,FALSE)</f>
        <v>4</v>
      </c>
      <c r="S605">
        <f>VLOOKUP(C605,CU_ARS_2025_WOF_F2!$A$2:$K$673,6,FALSE)</f>
        <v>1</v>
      </c>
      <c r="T605">
        <f>VLOOKUP(C605,CU_ARS_2025_WOF_F2!$A$2:$K$673,7,FALSE)</f>
        <v>0</v>
      </c>
      <c r="U605">
        <f>VLOOKUP(C605,CU_ARS_2025_WOF_F2!$A$2:$K$673,8,FALSE)</f>
        <v>1</v>
      </c>
      <c r="V605">
        <f>VLOOKUP(C605,CU_ARS_2025_WOF_F2!$A$2:$K$673,9,FALSE)</f>
        <v>0</v>
      </c>
      <c r="W605">
        <f>VLOOKUP(C605,CU_ARS_2025_WOF_F2!$A$2:$K$673,10,FALSE)</f>
        <v>0</v>
      </c>
      <c r="X605">
        <f>VLOOKUP(C605,CU_ARS_2025_WOF_F2!$A$2:$K$673,11,FALSE)</f>
        <v>33</v>
      </c>
      <c r="Y605" t="str">
        <f>VLOOKUP(Q605,cross_pedigree!$A$2:$B$23,2,FALSE)</f>
        <v>Gerard 227/AURORA</v>
      </c>
    </row>
    <row r="606" spans="1:25" ht="18">
      <c r="A606" s="21" t="s">
        <v>15</v>
      </c>
      <c r="B606" s="21" t="s">
        <v>16</v>
      </c>
      <c r="C606" s="22">
        <v>753448</v>
      </c>
      <c r="D606" s="23">
        <v>7</v>
      </c>
      <c r="E606" s="24" t="str">
        <f t="shared" si="9"/>
        <v>CU_ARS_2025_WOF_F2_4_plant_34</v>
      </c>
      <c r="F606" s="21" t="s">
        <v>140</v>
      </c>
      <c r="G606" s="44">
        <v>29</v>
      </c>
      <c r="H606" s="42"/>
      <c r="I606" s="42" t="s">
        <v>1016</v>
      </c>
      <c r="J606" s="42" t="s">
        <v>1003</v>
      </c>
      <c r="K606" s="42"/>
      <c r="L606" s="42"/>
      <c r="M606" s="42"/>
      <c r="N606" t="str">
        <f>VLOOKUP(C606,CU_ARS_2025_WOF_F2!$A$2:$K$673,2,FALSE)</f>
        <v>CU_ARS_2025_WOF_F2_4_plant_34</v>
      </c>
      <c r="O606" t="str">
        <f>VLOOKUP(C606,CU_ARS_2025_WOF_F2!$A$2:$K$673,2,FALSE)</f>
        <v>CU_ARS_2025_WOF_F2_4_plant_34</v>
      </c>
      <c r="P606" t="str">
        <f>VLOOKUP(C606,CU_ARS_2025_WOF_F2!$A$2:$K$673,3,FALSE)</f>
        <v>CU_ARS_2025_WOF_F2_4</v>
      </c>
      <c r="Q606" t="str">
        <f>VLOOKUP(C606,CU_ARS_2025_WOF_F2!$A$2:$K$673,4,FALSE)</f>
        <v>CU_ARS_2025_WOF_cross_19</v>
      </c>
      <c r="R606">
        <f>VLOOKUP(C606,CU_ARS_2025_WOF_F2!$A$2:$K$673,5,FALSE)</f>
        <v>4</v>
      </c>
      <c r="S606">
        <f>VLOOKUP(C606,CU_ARS_2025_WOF_F2!$A$2:$K$673,6,FALSE)</f>
        <v>1</v>
      </c>
      <c r="T606">
        <f>VLOOKUP(C606,CU_ARS_2025_WOF_F2!$A$2:$K$673,7,FALSE)</f>
        <v>0</v>
      </c>
      <c r="U606">
        <f>VLOOKUP(C606,CU_ARS_2025_WOF_F2!$A$2:$K$673,8,FALSE)</f>
        <v>1</v>
      </c>
      <c r="V606">
        <f>VLOOKUP(C606,CU_ARS_2025_WOF_F2!$A$2:$K$673,9,FALSE)</f>
        <v>0</v>
      </c>
      <c r="W606">
        <f>VLOOKUP(C606,CU_ARS_2025_WOF_F2!$A$2:$K$673,10,FALSE)</f>
        <v>0</v>
      </c>
      <c r="X606">
        <f>VLOOKUP(C606,CU_ARS_2025_WOF_F2!$A$2:$K$673,11,FALSE)</f>
        <v>34</v>
      </c>
      <c r="Y606" t="str">
        <f>VLOOKUP(Q606,cross_pedigree!$A$2:$B$23,2,FALSE)</f>
        <v>Gerard 227/AURORA</v>
      </c>
    </row>
    <row r="607" spans="1:25" ht="18">
      <c r="A607" s="21" t="s">
        <v>15</v>
      </c>
      <c r="B607" s="21" t="s">
        <v>16</v>
      </c>
      <c r="C607" s="22">
        <v>753449</v>
      </c>
      <c r="D607" s="23">
        <v>7</v>
      </c>
      <c r="E607" s="24" t="str">
        <f t="shared" si="9"/>
        <v>CU_ARS_2025_WOF_F2_4_plant_35</v>
      </c>
      <c r="F607" s="21" t="s">
        <v>142</v>
      </c>
      <c r="G607" s="44">
        <v>30</v>
      </c>
      <c r="H607" s="42"/>
      <c r="I607" s="42" t="s">
        <v>1016</v>
      </c>
      <c r="J607" s="42" t="s">
        <v>1003</v>
      </c>
      <c r="K607" s="42"/>
      <c r="L607" s="42"/>
      <c r="M607" s="42"/>
      <c r="N607" t="str">
        <f>VLOOKUP(C607,CU_ARS_2025_WOF_F2!$A$2:$K$673,2,FALSE)</f>
        <v>CU_ARS_2025_WOF_F2_4_plant_35</v>
      </c>
      <c r="O607" t="str">
        <f>VLOOKUP(C607,CU_ARS_2025_WOF_F2!$A$2:$K$673,2,FALSE)</f>
        <v>CU_ARS_2025_WOF_F2_4_plant_35</v>
      </c>
      <c r="P607" t="str">
        <f>VLOOKUP(C607,CU_ARS_2025_WOF_F2!$A$2:$K$673,3,FALSE)</f>
        <v>CU_ARS_2025_WOF_F2_4</v>
      </c>
      <c r="Q607" t="str">
        <f>VLOOKUP(C607,CU_ARS_2025_WOF_F2!$A$2:$K$673,4,FALSE)</f>
        <v>CU_ARS_2025_WOF_cross_19</v>
      </c>
      <c r="R607">
        <f>VLOOKUP(C607,CU_ARS_2025_WOF_F2!$A$2:$K$673,5,FALSE)</f>
        <v>4</v>
      </c>
      <c r="S607">
        <f>VLOOKUP(C607,CU_ARS_2025_WOF_F2!$A$2:$K$673,6,FALSE)</f>
        <v>1</v>
      </c>
      <c r="T607">
        <f>VLOOKUP(C607,CU_ARS_2025_WOF_F2!$A$2:$K$673,7,FALSE)</f>
        <v>0</v>
      </c>
      <c r="U607">
        <f>VLOOKUP(C607,CU_ARS_2025_WOF_F2!$A$2:$K$673,8,FALSE)</f>
        <v>1</v>
      </c>
      <c r="V607">
        <f>VLOOKUP(C607,CU_ARS_2025_WOF_F2!$A$2:$K$673,9,FALSE)</f>
        <v>0</v>
      </c>
      <c r="W607">
        <f>VLOOKUP(C607,CU_ARS_2025_WOF_F2!$A$2:$K$673,10,FALSE)</f>
        <v>0</v>
      </c>
      <c r="X607">
        <f>VLOOKUP(C607,CU_ARS_2025_WOF_F2!$A$2:$K$673,11,FALSE)</f>
        <v>35</v>
      </c>
      <c r="Y607" t="str">
        <f>VLOOKUP(Q607,cross_pedigree!$A$2:$B$23,2,FALSE)</f>
        <v>Gerard 227/AURORA</v>
      </c>
    </row>
    <row r="608" spans="1:25" ht="18">
      <c r="A608" s="21" t="s">
        <v>15</v>
      </c>
      <c r="B608" s="21" t="s">
        <v>16</v>
      </c>
      <c r="C608" s="22">
        <v>753450</v>
      </c>
      <c r="D608" s="23">
        <v>7</v>
      </c>
      <c r="E608" s="24" t="str">
        <f t="shared" si="9"/>
        <v>CU_ARS_2025_WOF_F2_4_plant_36</v>
      </c>
      <c r="F608" s="21" t="s">
        <v>144</v>
      </c>
      <c r="G608" s="44">
        <v>31</v>
      </c>
      <c r="H608" s="42"/>
      <c r="I608" s="42" t="s">
        <v>1016</v>
      </c>
      <c r="J608" s="42" t="s">
        <v>1003</v>
      </c>
      <c r="K608" s="42"/>
      <c r="L608" s="42"/>
      <c r="M608" s="42"/>
      <c r="N608" t="str">
        <f>VLOOKUP(C608,CU_ARS_2025_WOF_F2!$A$2:$K$673,2,FALSE)</f>
        <v>CU_ARS_2025_WOF_F2_4_plant_36</v>
      </c>
      <c r="O608" t="str">
        <f>VLOOKUP(C608,CU_ARS_2025_WOF_F2!$A$2:$K$673,2,FALSE)</f>
        <v>CU_ARS_2025_WOF_F2_4_plant_36</v>
      </c>
      <c r="P608" t="str">
        <f>VLOOKUP(C608,CU_ARS_2025_WOF_F2!$A$2:$K$673,3,FALSE)</f>
        <v>CU_ARS_2025_WOF_F2_4</v>
      </c>
      <c r="Q608" t="str">
        <f>VLOOKUP(C608,CU_ARS_2025_WOF_F2!$A$2:$K$673,4,FALSE)</f>
        <v>CU_ARS_2025_WOF_cross_19</v>
      </c>
      <c r="R608">
        <f>VLOOKUP(C608,CU_ARS_2025_WOF_F2!$A$2:$K$673,5,FALSE)</f>
        <v>4</v>
      </c>
      <c r="S608">
        <f>VLOOKUP(C608,CU_ARS_2025_WOF_F2!$A$2:$K$673,6,FALSE)</f>
        <v>1</v>
      </c>
      <c r="T608">
        <f>VLOOKUP(C608,CU_ARS_2025_WOF_F2!$A$2:$K$673,7,FALSE)</f>
        <v>0</v>
      </c>
      <c r="U608">
        <f>VLOOKUP(C608,CU_ARS_2025_WOF_F2!$A$2:$K$673,8,FALSE)</f>
        <v>1</v>
      </c>
      <c r="V608">
        <f>VLOOKUP(C608,CU_ARS_2025_WOF_F2!$A$2:$K$673,9,FALSE)</f>
        <v>0</v>
      </c>
      <c r="W608">
        <f>VLOOKUP(C608,CU_ARS_2025_WOF_F2!$A$2:$K$673,10,FALSE)</f>
        <v>0</v>
      </c>
      <c r="X608">
        <f>VLOOKUP(C608,CU_ARS_2025_WOF_F2!$A$2:$K$673,11,FALSE)</f>
        <v>36</v>
      </c>
      <c r="Y608" t="str">
        <f>VLOOKUP(Q608,cross_pedigree!$A$2:$B$23,2,FALSE)</f>
        <v>Gerard 227/AURORA</v>
      </c>
    </row>
    <row r="609" spans="1:25" ht="18">
      <c r="A609" s="21" t="s">
        <v>15</v>
      </c>
      <c r="B609" s="21" t="s">
        <v>16</v>
      </c>
      <c r="C609" s="22">
        <v>753451</v>
      </c>
      <c r="D609" s="23">
        <v>7</v>
      </c>
      <c r="E609" s="24" t="str">
        <f t="shared" si="9"/>
        <v>CU_ARS_2025_WOF_F2_4_plant_37</v>
      </c>
      <c r="F609" s="21" t="s">
        <v>146</v>
      </c>
      <c r="G609" s="44">
        <v>32</v>
      </c>
      <c r="H609" s="42"/>
      <c r="I609" s="42" t="s">
        <v>1016</v>
      </c>
      <c r="J609" s="42" t="s">
        <v>1003</v>
      </c>
      <c r="K609" s="42"/>
      <c r="L609" s="42"/>
      <c r="M609" s="42"/>
      <c r="N609" t="str">
        <f>VLOOKUP(C609,CU_ARS_2025_WOF_F2!$A$2:$K$673,2,FALSE)</f>
        <v>CU_ARS_2025_WOF_F2_4_plant_37</v>
      </c>
      <c r="O609" t="str">
        <f>VLOOKUP(C609,CU_ARS_2025_WOF_F2!$A$2:$K$673,2,FALSE)</f>
        <v>CU_ARS_2025_WOF_F2_4_plant_37</v>
      </c>
      <c r="P609" t="str">
        <f>VLOOKUP(C609,CU_ARS_2025_WOF_F2!$A$2:$K$673,3,FALSE)</f>
        <v>CU_ARS_2025_WOF_F2_4</v>
      </c>
      <c r="Q609" t="str">
        <f>VLOOKUP(C609,CU_ARS_2025_WOF_F2!$A$2:$K$673,4,FALSE)</f>
        <v>CU_ARS_2025_WOF_cross_19</v>
      </c>
      <c r="R609">
        <f>VLOOKUP(C609,CU_ARS_2025_WOF_F2!$A$2:$K$673,5,FALSE)</f>
        <v>4</v>
      </c>
      <c r="S609">
        <f>VLOOKUP(C609,CU_ARS_2025_WOF_F2!$A$2:$K$673,6,FALSE)</f>
        <v>1</v>
      </c>
      <c r="T609">
        <f>VLOOKUP(C609,CU_ARS_2025_WOF_F2!$A$2:$K$673,7,FALSE)</f>
        <v>0</v>
      </c>
      <c r="U609">
        <f>VLOOKUP(C609,CU_ARS_2025_WOF_F2!$A$2:$K$673,8,FALSE)</f>
        <v>1</v>
      </c>
      <c r="V609">
        <f>VLOOKUP(C609,CU_ARS_2025_WOF_F2!$A$2:$K$673,9,FALSE)</f>
        <v>0</v>
      </c>
      <c r="W609">
        <f>VLOOKUP(C609,CU_ARS_2025_WOF_F2!$A$2:$K$673,10,FALSE)</f>
        <v>0</v>
      </c>
      <c r="X609">
        <f>VLOOKUP(C609,CU_ARS_2025_WOF_F2!$A$2:$K$673,11,FALSE)</f>
        <v>37</v>
      </c>
      <c r="Y609" t="str">
        <f>VLOOKUP(Q609,cross_pedigree!$A$2:$B$23,2,FALSE)</f>
        <v>Gerard 227/AURORA</v>
      </c>
    </row>
    <row r="610" spans="1:25" ht="18">
      <c r="A610" s="21" t="s">
        <v>15</v>
      </c>
      <c r="B610" s="21" t="s">
        <v>16</v>
      </c>
      <c r="C610" s="22">
        <v>753459</v>
      </c>
      <c r="D610" s="23">
        <v>7</v>
      </c>
      <c r="E610" s="24" t="str">
        <f t="shared" si="9"/>
        <v>CU_ARS_2025_WOF_F2_4_plant_45</v>
      </c>
      <c r="F610" s="21" t="s">
        <v>148</v>
      </c>
      <c r="G610" s="44">
        <v>33</v>
      </c>
      <c r="H610" s="42"/>
      <c r="I610" s="42" t="s">
        <v>1016</v>
      </c>
      <c r="J610" s="42" t="s">
        <v>1003</v>
      </c>
      <c r="K610" s="42"/>
      <c r="L610" s="42"/>
      <c r="M610" s="42"/>
      <c r="N610" t="str">
        <f>VLOOKUP(C610,CU_ARS_2025_WOF_F2!$A$2:$K$673,2,FALSE)</f>
        <v>CU_ARS_2025_WOF_F2_4_plant_45</v>
      </c>
      <c r="O610" t="str">
        <f>VLOOKUP(C610,CU_ARS_2025_WOF_F2!$A$2:$K$673,2,FALSE)</f>
        <v>CU_ARS_2025_WOF_F2_4_plant_45</v>
      </c>
      <c r="P610" t="str">
        <f>VLOOKUP(C610,CU_ARS_2025_WOF_F2!$A$2:$K$673,3,FALSE)</f>
        <v>CU_ARS_2025_WOF_F2_4</v>
      </c>
      <c r="Q610" t="str">
        <f>VLOOKUP(C610,CU_ARS_2025_WOF_F2!$A$2:$K$673,4,FALSE)</f>
        <v>CU_ARS_2025_WOF_cross_19</v>
      </c>
      <c r="R610">
        <f>VLOOKUP(C610,CU_ARS_2025_WOF_F2!$A$2:$K$673,5,FALSE)</f>
        <v>4</v>
      </c>
      <c r="S610">
        <f>VLOOKUP(C610,CU_ARS_2025_WOF_F2!$A$2:$K$673,6,FALSE)</f>
        <v>1</v>
      </c>
      <c r="T610">
        <f>VLOOKUP(C610,CU_ARS_2025_WOF_F2!$A$2:$K$673,7,FALSE)</f>
        <v>0</v>
      </c>
      <c r="U610">
        <f>VLOOKUP(C610,CU_ARS_2025_WOF_F2!$A$2:$K$673,8,FALSE)</f>
        <v>1</v>
      </c>
      <c r="V610">
        <f>VLOOKUP(C610,CU_ARS_2025_WOF_F2!$A$2:$K$673,9,FALSE)</f>
        <v>0</v>
      </c>
      <c r="W610">
        <f>VLOOKUP(C610,CU_ARS_2025_WOF_F2!$A$2:$K$673,10,FALSE)</f>
        <v>0</v>
      </c>
      <c r="X610">
        <f>VLOOKUP(C610,CU_ARS_2025_WOF_F2!$A$2:$K$673,11,FALSE)</f>
        <v>45</v>
      </c>
      <c r="Y610" t="str">
        <f>VLOOKUP(Q610,cross_pedigree!$A$2:$B$23,2,FALSE)</f>
        <v>Gerard 227/AURORA</v>
      </c>
    </row>
    <row r="611" spans="1:25" ht="18">
      <c r="A611" s="21" t="s">
        <v>15</v>
      </c>
      <c r="B611" s="21" t="s">
        <v>16</v>
      </c>
      <c r="C611" s="22">
        <v>753458</v>
      </c>
      <c r="D611" s="23">
        <v>7</v>
      </c>
      <c r="E611" s="24" t="str">
        <f t="shared" si="9"/>
        <v>CU_ARS_2025_WOF_F2_4_plant_44</v>
      </c>
      <c r="F611" s="21" t="s">
        <v>150</v>
      </c>
      <c r="G611" s="44">
        <v>34</v>
      </c>
      <c r="H611" s="42"/>
      <c r="I611" s="42" t="s">
        <v>1016</v>
      </c>
      <c r="J611" s="42" t="s">
        <v>1003</v>
      </c>
      <c r="K611" s="42"/>
      <c r="L611" s="42"/>
      <c r="M611" s="42"/>
      <c r="N611" t="str">
        <f>VLOOKUP(C611,CU_ARS_2025_WOF_F2!$A$2:$K$673,2,FALSE)</f>
        <v>CU_ARS_2025_WOF_F2_4_plant_44</v>
      </c>
      <c r="O611" t="str">
        <f>VLOOKUP(C611,CU_ARS_2025_WOF_F2!$A$2:$K$673,2,FALSE)</f>
        <v>CU_ARS_2025_WOF_F2_4_plant_44</v>
      </c>
      <c r="P611" t="str">
        <f>VLOOKUP(C611,CU_ARS_2025_WOF_F2!$A$2:$K$673,3,FALSE)</f>
        <v>CU_ARS_2025_WOF_F2_4</v>
      </c>
      <c r="Q611" t="str">
        <f>VLOOKUP(C611,CU_ARS_2025_WOF_F2!$A$2:$K$673,4,FALSE)</f>
        <v>CU_ARS_2025_WOF_cross_19</v>
      </c>
      <c r="R611">
        <f>VLOOKUP(C611,CU_ARS_2025_WOF_F2!$A$2:$K$673,5,FALSE)</f>
        <v>4</v>
      </c>
      <c r="S611">
        <f>VLOOKUP(C611,CU_ARS_2025_WOF_F2!$A$2:$K$673,6,FALSE)</f>
        <v>1</v>
      </c>
      <c r="T611">
        <f>VLOOKUP(C611,CU_ARS_2025_WOF_F2!$A$2:$K$673,7,FALSE)</f>
        <v>0</v>
      </c>
      <c r="U611">
        <f>VLOOKUP(C611,CU_ARS_2025_WOF_F2!$A$2:$K$673,8,FALSE)</f>
        <v>1</v>
      </c>
      <c r="V611">
        <f>VLOOKUP(C611,CU_ARS_2025_WOF_F2!$A$2:$K$673,9,FALSE)</f>
        <v>0</v>
      </c>
      <c r="W611">
        <f>VLOOKUP(C611,CU_ARS_2025_WOF_F2!$A$2:$K$673,10,FALSE)</f>
        <v>0</v>
      </c>
      <c r="X611">
        <f>VLOOKUP(C611,CU_ARS_2025_WOF_F2!$A$2:$K$673,11,FALSE)</f>
        <v>44</v>
      </c>
      <c r="Y611" t="str">
        <f>VLOOKUP(Q611,cross_pedigree!$A$2:$B$23,2,FALSE)</f>
        <v>Gerard 227/AURORA</v>
      </c>
    </row>
    <row r="612" spans="1:25" ht="18">
      <c r="A612" s="21" t="s">
        <v>15</v>
      </c>
      <c r="B612" s="21" t="s">
        <v>16</v>
      </c>
      <c r="C612" s="22">
        <v>753457</v>
      </c>
      <c r="D612" s="23">
        <v>7</v>
      </c>
      <c r="E612" s="24" t="str">
        <f t="shared" si="9"/>
        <v>CU_ARS_2025_WOF_F2_4_plant_43</v>
      </c>
      <c r="F612" s="21" t="s">
        <v>13</v>
      </c>
      <c r="G612" s="44">
        <v>35</v>
      </c>
      <c r="H612" s="42"/>
      <c r="I612" s="42" t="s">
        <v>1016</v>
      </c>
      <c r="J612" s="42" t="s">
        <v>1003</v>
      </c>
      <c r="K612" s="42"/>
      <c r="L612" s="42"/>
      <c r="M612" s="42"/>
      <c r="N612" t="str">
        <f>VLOOKUP(C612,CU_ARS_2025_WOF_F2!$A$2:$K$673,2,FALSE)</f>
        <v>CU_ARS_2025_WOF_F2_4_plant_43</v>
      </c>
      <c r="O612" t="str">
        <f>VLOOKUP(C612,CU_ARS_2025_WOF_F2!$A$2:$K$673,2,FALSE)</f>
        <v>CU_ARS_2025_WOF_F2_4_plant_43</v>
      </c>
      <c r="P612" t="str">
        <f>VLOOKUP(C612,CU_ARS_2025_WOF_F2!$A$2:$K$673,3,FALSE)</f>
        <v>CU_ARS_2025_WOF_F2_4</v>
      </c>
      <c r="Q612" t="str">
        <f>VLOOKUP(C612,CU_ARS_2025_WOF_F2!$A$2:$K$673,4,FALSE)</f>
        <v>CU_ARS_2025_WOF_cross_19</v>
      </c>
      <c r="R612">
        <f>VLOOKUP(C612,CU_ARS_2025_WOF_F2!$A$2:$K$673,5,FALSE)</f>
        <v>4</v>
      </c>
      <c r="S612">
        <f>VLOOKUP(C612,CU_ARS_2025_WOF_F2!$A$2:$K$673,6,FALSE)</f>
        <v>1</v>
      </c>
      <c r="T612">
        <f>VLOOKUP(C612,CU_ARS_2025_WOF_F2!$A$2:$K$673,7,FALSE)</f>
        <v>0</v>
      </c>
      <c r="U612">
        <f>VLOOKUP(C612,CU_ARS_2025_WOF_F2!$A$2:$K$673,8,FALSE)</f>
        <v>1</v>
      </c>
      <c r="V612">
        <f>VLOOKUP(C612,CU_ARS_2025_WOF_F2!$A$2:$K$673,9,FALSE)</f>
        <v>0</v>
      </c>
      <c r="W612">
        <f>VLOOKUP(C612,CU_ARS_2025_WOF_F2!$A$2:$K$673,10,FALSE)</f>
        <v>0</v>
      </c>
      <c r="X612">
        <f>VLOOKUP(C612,CU_ARS_2025_WOF_F2!$A$2:$K$673,11,FALSE)</f>
        <v>43</v>
      </c>
      <c r="Y612" t="str">
        <f>VLOOKUP(Q612,cross_pedigree!$A$2:$B$23,2,FALSE)</f>
        <v>Gerard 227/AURORA</v>
      </c>
    </row>
    <row r="613" spans="1:25" ht="18">
      <c r="A613" s="21" t="s">
        <v>15</v>
      </c>
      <c r="B613" s="21" t="s">
        <v>16</v>
      </c>
      <c r="C613" s="22">
        <v>753456</v>
      </c>
      <c r="D613" s="23">
        <v>7</v>
      </c>
      <c r="E613" s="24" t="str">
        <f t="shared" si="9"/>
        <v>CU_ARS_2025_WOF_F2_4_plant_42</v>
      </c>
      <c r="F613" s="21" t="s">
        <v>17</v>
      </c>
      <c r="G613" s="44">
        <v>36</v>
      </c>
      <c r="H613" s="42"/>
      <c r="I613" s="42" t="s">
        <v>1016</v>
      </c>
      <c r="J613" s="42" t="s">
        <v>1003</v>
      </c>
      <c r="K613" s="42"/>
      <c r="L613" s="42"/>
      <c r="M613" s="42"/>
      <c r="N613" t="str">
        <f>VLOOKUP(C613,CU_ARS_2025_WOF_F2!$A$2:$K$673,2,FALSE)</f>
        <v>CU_ARS_2025_WOF_F2_4_plant_42</v>
      </c>
      <c r="O613" t="str">
        <f>VLOOKUP(C613,CU_ARS_2025_WOF_F2!$A$2:$K$673,2,FALSE)</f>
        <v>CU_ARS_2025_WOF_F2_4_plant_42</v>
      </c>
      <c r="P613" t="str">
        <f>VLOOKUP(C613,CU_ARS_2025_WOF_F2!$A$2:$K$673,3,FALSE)</f>
        <v>CU_ARS_2025_WOF_F2_4</v>
      </c>
      <c r="Q613" t="str">
        <f>VLOOKUP(C613,CU_ARS_2025_WOF_F2!$A$2:$K$673,4,FALSE)</f>
        <v>CU_ARS_2025_WOF_cross_19</v>
      </c>
      <c r="R613">
        <f>VLOOKUP(C613,CU_ARS_2025_WOF_F2!$A$2:$K$673,5,FALSE)</f>
        <v>4</v>
      </c>
      <c r="S613">
        <f>VLOOKUP(C613,CU_ARS_2025_WOF_F2!$A$2:$K$673,6,FALSE)</f>
        <v>1</v>
      </c>
      <c r="T613">
        <f>VLOOKUP(C613,CU_ARS_2025_WOF_F2!$A$2:$K$673,7,FALSE)</f>
        <v>0</v>
      </c>
      <c r="U613">
        <f>VLOOKUP(C613,CU_ARS_2025_WOF_F2!$A$2:$K$673,8,FALSE)</f>
        <v>1</v>
      </c>
      <c r="V613">
        <f>VLOOKUP(C613,CU_ARS_2025_WOF_F2!$A$2:$K$673,9,FALSE)</f>
        <v>0</v>
      </c>
      <c r="W613">
        <f>VLOOKUP(C613,CU_ARS_2025_WOF_F2!$A$2:$K$673,10,FALSE)</f>
        <v>0</v>
      </c>
      <c r="X613">
        <f>VLOOKUP(C613,CU_ARS_2025_WOF_F2!$A$2:$K$673,11,FALSE)</f>
        <v>42</v>
      </c>
      <c r="Y613" t="str">
        <f>VLOOKUP(Q613,cross_pedigree!$A$2:$B$23,2,FALSE)</f>
        <v>Gerard 227/AURORA</v>
      </c>
    </row>
    <row r="614" spans="1:25" ht="18">
      <c r="A614" s="21" t="s">
        <v>15</v>
      </c>
      <c r="B614" s="21" t="s">
        <v>16</v>
      </c>
      <c r="C614" s="22">
        <v>753455</v>
      </c>
      <c r="D614" s="23">
        <v>7</v>
      </c>
      <c r="E614" s="24" t="str">
        <f t="shared" si="9"/>
        <v>CU_ARS_2025_WOF_F2_4_plant_41</v>
      </c>
      <c r="F614" s="21" t="s">
        <v>19</v>
      </c>
      <c r="G614" s="44">
        <v>37</v>
      </c>
      <c r="H614" s="42"/>
      <c r="I614" s="42" t="s">
        <v>1016</v>
      </c>
      <c r="J614" s="42" t="s">
        <v>1003</v>
      </c>
      <c r="K614" s="42"/>
      <c r="L614" s="42"/>
      <c r="M614" s="42"/>
      <c r="N614" t="str">
        <f>VLOOKUP(C614,CU_ARS_2025_WOF_F2!$A$2:$K$673,2,FALSE)</f>
        <v>CU_ARS_2025_WOF_F2_4_plant_41</v>
      </c>
      <c r="O614" t="str">
        <f>VLOOKUP(C614,CU_ARS_2025_WOF_F2!$A$2:$K$673,2,FALSE)</f>
        <v>CU_ARS_2025_WOF_F2_4_plant_41</v>
      </c>
      <c r="P614" t="str">
        <f>VLOOKUP(C614,CU_ARS_2025_WOF_F2!$A$2:$K$673,3,FALSE)</f>
        <v>CU_ARS_2025_WOF_F2_4</v>
      </c>
      <c r="Q614" t="str">
        <f>VLOOKUP(C614,CU_ARS_2025_WOF_F2!$A$2:$K$673,4,FALSE)</f>
        <v>CU_ARS_2025_WOF_cross_19</v>
      </c>
      <c r="R614">
        <f>VLOOKUP(C614,CU_ARS_2025_WOF_F2!$A$2:$K$673,5,FALSE)</f>
        <v>4</v>
      </c>
      <c r="S614">
        <f>VLOOKUP(C614,CU_ARS_2025_WOF_F2!$A$2:$K$673,6,FALSE)</f>
        <v>1</v>
      </c>
      <c r="T614">
        <f>VLOOKUP(C614,CU_ARS_2025_WOF_F2!$A$2:$K$673,7,FALSE)</f>
        <v>0</v>
      </c>
      <c r="U614">
        <f>VLOOKUP(C614,CU_ARS_2025_WOF_F2!$A$2:$K$673,8,FALSE)</f>
        <v>1</v>
      </c>
      <c r="V614">
        <f>VLOOKUP(C614,CU_ARS_2025_WOF_F2!$A$2:$K$673,9,FALSE)</f>
        <v>0</v>
      </c>
      <c r="W614">
        <f>VLOOKUP(C614,CU_ARS_2025_WOF_F2!$A$2:$K$673,10,FALSE)</f>
        <v>0</v>
      </c>
      <c r="X614">
        <f>VLOOKUP(C614,CU_ARS_2025_WOF_F2!$A$2:$K$673,11,FALSE)</f>
        <v>41</v>
      </c>
      <c r="Y614" t="str">
        <f>VLOOKUP(Q614,cross_pedigree!$A$2:$B$23,2,FALSE)</f>
        <v>Gerard 227/AURORA</v>
      </c>
    </row>
    <row r="615" spans="1:25" ht="18">
      <c r="A615" s="21" t="s">
        <v>15</v>
      </c>
      <c r="B615" s="21" t="s">
        <v>16</v>
      </c>
      <c r="C615" s="22">
        <v>753470</v>
      </c>
      <c r="D615" s="23">
        <v>7</v>
      </c>
      <c r="E615" s="24" t="str">
        <f t="shared" si="9"/>
        <v>CU_ARS_2025_WOF_F2_4_plant_56</v>
      </c>
      <c r="F615" s="21" t="s">
        <v>21</v>
      </c>
      <c r="G615" s="44">
        <v>38</v>
      </c>
      <c r="H615" s="42"/>
      <c r="I615" s="42" t="s">
        <v>1016</v>
      </c>
      <c r="J615" s="42" t="s">
        <v>1003</v>
      </c>
      <c r="K615" s="42"/>
      <c r="L615" s="42"/>
      <c r="M615" s="42"/>
      <c r="N615" t="str">
        <f>VLOOKUP(C615,CU_ARS_2025_WOF_F2!$A$2:$K$673,2,FALSE)</f>
        <v>CU_ARS_2025_WOF_F2_4_plant_56</v>
      </c>
      <c r="O615" t="str">
        <f>VLOOKUP(C615,CU_ARS_2025_WOF_F2!$A$2:$K$673,2,FALSE)</f>
        <v>CU_ARS_2025_WOF_F2_4_plant_56</v>
      </c>
      <c r="P615" t="str">
        <f>VLOOKUP(C615,CU_ARS_2025_WOF_F2!$A$2:$K$673,3,FALSE)</f>
        <v>CU_ARS_2025_WOF_F2_4</v>
      </c>
      <c r="Q615" t="str">
        <f>VLOOKUP(C615,CU_ARS_2025_WOF_F2!$A$2:$K$673,4,FALSE)</f>
        <v>CU_ARS_2025_WOF_cross_19</v>
      </c>
      <c r="R615">
        <f>VLOOKUP(C615,CU_ARS_2025_WOF_F2!$A$2:$K$673,5,FALSE)</f>
        <v>4</v>
      </c>
      <c r="S615">
        <f>VLOOKUP(C615,CU_ARS_2025_WOF_F2!$A$2:$K$673,6,FALSE)</f>
        <v>1</v>
      </c>
      <c r="T615">
        <f>VLOOKUP(C615,CU_ARS_2025_WOF_F2!$A$2:$K$673,7,FALSE)</f>
        <v>0</v>
      </c>
      <c r="U615">
        <f>VLOOKUP(C615,CU_ARS_2025_WOF_F2!$A$2:$K$673,8,FALSE)</f>
        <v>1</v>
      </c>
      <c r="V615">
        <f>VLOOKUP(C615,CU_ARS_2025_WOF_F2!$A$2:$K$673,9,FALSE)</f>
        <v>0</v>
      </c>
      <c r="W615">
        <f>VLOOKUP(C615,CU_ARS_2025_WOF_F2!$A$2:$K$673,10,FALSE)</f>
        <v>0</v>
      </c>
      <c r="X615">
        <f>VLOOKUP(C615,CU_ARS_2025_WOF_F2!$A$2:$K$673,11,FALSE)</f>
        <v>56</v>
      </c>
      <c r="Y615" t="str">
        <f>VLOOKUP(Q615,cross_pedigree!$A$2:$B$23,2,FALSE)</f>
        <v>Gerard 227/AURORA</v>
      </c>
    </row>
    <row r="616" spans="1:25" ht="18">
      <c r="A616" s="21" t="s">
        <v>15</v>
      </c>
      <c r="B616" s="21" t="s">
        <v>16</v>
      </c>
      <c r="C616" s="22">
        <v>753469</v>
      </c>
      <c r="D616" s="23">
        <v>7</v>
      </c>
      <c r="E616" s="24" t="str">
        <f t="shared" si="9"/>
        <v>CU_ARS_2025_WOF_F2_4_plant_55</v>
      </c>
      <c r="F616" s="21" t="s">
        <v>152</v>
      </c>
      <c r="G616" s="44">
        <v>39</v>
      </c>
      <c r="H616" s="42"/>
      <c r="I616" s="42" t="s">
        <v>1016</v>
      </c>
      <c r="J616" s="42" t="s">
        <v>1003</v>
      </c>
      <c r="K616" s="42"/>
      <c r="L616" s="42"/>
      <c r="M616" s="42"/>
      <c r="N616" t="str">
        <f>VLOOKUP(C616,CU_ARS_2025_WOF_F2!$A$2:$K$673,2,FALSE)</f>
        <v>CU_ARS_2025_WOF_F2_4_plant_55</v>
      </c>
      <c r="O616" t="str">
        <f>VLOOKUP(C616,CU_ARS_2025_WOF_F2!$A$2:$K$673,2,FALSE)</f>
        <v>CU_ARS_2025_WOF_F2_4_plant_55</v>
      </c>
      <c r="P616" t="str">
        <f>VLOOKUP(C616,CU_ARS_2025_WOF_F2!$A$2:$K$673,3,FALSE)</f>
        <v>CU_ARS_2025_WOF_F2_4</v>
      </c>
      <c r="Q616" t="str">
        <f>VLOOKUP(C616,CU_ARS_2025_WOF_F2!$A$2:$K$673,4,FALSE)</f>
        <v>CU_ARS_2025_WOF_cross_19</v>
      </c>
      <c r="R616">
        <f>VLOOKUP(C616,CU_ARS_2025_WOF_F2!$A$2:$K$673,5,FALSE)</f>
        <v>4</v>
      </c>
      <c r="S616">
        <f>VLOOKUP(C616,CU_ARS_2025_WOF_F2!$A$2:$K$673,6,FALSE)</f>
        <v>1</v>
      </c>
      <c r="T616">
        <f>VLOOKUP(C616,CU_ARS_2025_WOF_F2!$A$2:$K$673,7,FALSE)</f>
        <v>0</v>
      </c>
      <c r="U616">
        <f>VLOOKUP(C616,CU_ARS_2025_WOF_F2!$A$2:$K$673,8,FALSE)</f>
        <v>1</v>
      </c>
      <c r="V616">
        <f>VLOOKUP(C616,CU_ARS_2025_WOF_F2!$A$2:$K$673,9,FALSE)</f>
        <v>0</v>
      </c>
      <c r="W616">
        <f>VLOOKUP(C616,CU_ARS_2025_WOF_F2!$A$2:$K$673,10,FALSE)</f>
        <v>0</v>
      </c>
      <c r="X616">
        <f>VLOOKUP(C616,CU_ARS_2025_WOF_F2!$A$2:$K$673,11,FALSE)</f>
        <v>55</v>
      </c>
      <c r="Y616" t="str">
        <f>VLOOKUP(Q616,cross_pedigree!$A$2:$B$23,2,FALSE)</f>
        <v>Gerard 227/AURORA</v>
      </c>
    </row>
    <row r="617" spans="1:25" ht="18">
      <c r="A617" s="21" t="s">
        <v>15</v>
      </c>
      <c r="B617" s="21" t="s">
        <v>16</v>
      </c>
      <c r="C617" s="22">
        <v>753468</v>
      </c>
      <c r="D617" s="23">
        <v>7</v>
      </c>
      <c r="E617" s="24" t="str">
        <f t="shared" si="9"/>
        <v>CU_ARS_2025_WOF_F2_4_plant_54</v>
      </c>
      <c r="F617" s="21" t="s">
        <v>154</v>
      </c>
      <c r="G617" s="44">
        <v>40</v>
      </c>
      <c r="H617" s="42"/>
      <c r="I617" s="42" t="s">
        <v>1016</v>
      </c>
      <c r="J617" s="42" t="s">
        <v>1003</v>
      </c>
      <c r="K617" s="42"/>
      <c r="L617" s="42"/>
      <c r="M617" s="42"/>
      <c r="N617" t="str">
        <f>VLOOKUP(C617,CU_ARS_2025_WOF_F2!$A$2:$K$673,2,FALSE)</f>
        <v>CU_ARS_2025_WOF_F2_4_plant_54</v>
      </c>
      <c r="O617" t="str">
        <f>VLOOKUP(C617,CU_ARS_2025_WOF_F2!$A$2:$K$673,2,FALSE)</f>
        <v>CU_ARS_2025_WOF_F2_4_plant_54</v>
      </c>
      <c r="P617" t="str">
        <f>VLOOKUP(C617,CU_ARS_2025_WOF_F2!$A$2:$K$673,3,FALSE)</f>
        <v>CU_ARS_2025_WOF_F2_4</v>
      </c>
      <c r="Q617" t="str">
        <f>VLOOKUP(C617,CU_ARS_2025_WOF_F2!$A$2:$K$673,4,FALSE)</f>
        <v>CU_ARS_2025_WOF_cross_19</v>
      </c>
      <c r="R617">
        <f>VLOOKUP(C617,CU_ARS_2025_WOF_F2!$A$2:$K$673,5,FALSE)</f>
        <v>4</v>
      </c>
      <c r="S617">
        <f>VLOOKUP(C617,CU_ARS_2025_WOF_F2!$A$2:$K$673,6,FALSE)</f>
        <v>1</v>
      </c>
      <c r="T617">
        <f>VLOOKUP(C617,CU_ARS_2025_WOF_F2!$A$2:$K$673,7,FALSE)</f>
        <v>0</v>
      </c>
      <c r="U617">
        <f>VLOOKUP(C617,CU_ARS_2025_WOF_F2!$A$2:$K$673,8,FALSE)</f>
        <v>1</v>
      </c>
      <c r="V617">
        <f>VLOOKUP(C617,CU_ARS_2025_WOF_F2!$A$2:$K$673,9,FALSE)</f>
        <v>0</v>
      </c>
      <c r="W617">
        <f>VLOOKUP(C617,CU_ARS_2025_WOF_F2!$A$2:$K$673,10,FALSE)</f>
        <v>0</v>
      </c>
      <c r="X617">
        <f>VLOOKUP(C617,CU_ARS_2025_WOF_F2!$A$2:$K$673,11,FALSE)</f>
        <v>54</v>
      </c>
      <c r="Y617" t="str">
        <f>VLOOKUP(Q617,cross_pedigree!$A$2:$B$23,2,FALSE)</f>
        <v>Gerard 227/AURORA</v>
      </c>
    </row>
    <row r="618" spans="1:25" ht="18">
      <c r="A618" s="21" t="s">
        <v>15</v>
      </c>
      <c r="B618" s="21" t="s">
        <v>16</v>
      </c>
      <c r="C618" s="22">
        <v>753452</v>
      </c>
      <c r="D618" s="23">
        <v>7</v>
      </c>
      <c r="E618" s="24" t="str">
        <f t="shared" si="9"/>
        <v>CU_ARS_2025_WOF_F2_4_plant_38</v>
      </c>
      <c r="F618" s="21" t="s">
        <v>156</v>
      </c>
      <c r="G618" s="44">
        <v>41</v>
      </c>
      <c r="H618" s="42"/>
      <c r="I618" s="42" t="s">
        <v>1016</v>
      </c>
      <c r="J618" s="42" t="s">
        <v>1003</v>
      </c>
      <c r="K618" s="42"/>
      <c r="L618" s="42"/>
      <c r="M618" s="42"/>
      <c r="N618" t="str">
        <f>VLOOKUP(C618,CU_ARS_2025_WOF_F2!$A$2:$K$673,2,FALSE)</f>
        <v>CU_ARS_2025_WOF_F2_4_plant_38</v>
      </c>
      <c r="O618" t="str">
        <f>VLOOKUP(C618,CU_ARS_2025_WOF_F2!$A$2:$K$673,2,FALSE)</f>
        <v>CU_ARS_2025_WOF_F2_4_plant_38</v>
      </c>
      <c r="P618" t="str">
        <f>VLOOKUP(C618,CU_ARS_2025_WOF_F2!$A$2:$K$673,3,FALSE)</f>
        <v>CU_ARS_2025_WOF_F2_4</v>
      </c>
      <c r="Q618" t="str">
        <f>VLOOKUP(C618,CU_ARS_2025_WOF_F2!$A$2:$K$673,4,FALSE)</f>
        <v>CU_ARS_2025_WOF_cross_19</v>
      </c>
      <c r="R618">
        <f>VLOOKUP(C618,CU_ARS_2025_WOF_F2!$A$2:$K$673,5,FALSE)</f>
        <v>4</v>
      </c>
      <c r="S618">
        <f>VLOOKUP(C618,CU_ARS_2025_WOF_F2!$A$2:$K$673,6,FALSE)</f>
        <v>1</v>
      </c>
      <c r="T618">
        <f>VLOOKUP(C618,CU_ARS_2025_WOF_F2!$A$2:$K$673,7,FALSE)</f>
        <v>0</v>
      </c>
      <c r="U618">
        <f>VLOOKUP(C618,CU_ARS_2025_WOF_F2!$A$2:$K$673,8,FALSE)</f>
        <v>1</v>
      </c>
      <c r="V618">
        <f>VLOOKUP(C618,CU_ARS_2025_WOF_F2!$A$2:$K$673,9,FALSE)</f>
        <v>0</v>
      </c>
      <c r="W618">
        <f>VLOOKUP(C618,CU_ARS_2025_WOF_F2!$A$2:$K$673,10,FALSE)</f>
        <v>0</v>
      </c>
      <c r="X618">
        <f>VLOOKUP(C618,CU_ARS_2025_WOF_F2!$A$2:$K$673,11,FALSE)</f>
        <v>38</v>
      </c>
      <c r="Y618" t="str">
        <f>VLOOKUP(Q618,cross_pedigree!$A$2:$B$23,2,FALSE)</f>
        <v>Gerard 227/AURORA</v>
      </c>
    </row>
    <row r="619" spans="1:25" ht="18">
      <c r="A619" s="21" t="s">
        <v>15</v>
      </c>
      <c r="B619" s="21" t="s">
        <v>16</v>
      </c>
      <c r="C619" s="22">
        <v>753453</v>
      </c>
      <c r="D619" s="23">
        <v>7</v>
      </c>
      <c r="E619" s="24" t="str">
        <f t="shared" si="9"/>
        <v>CU_ARS_2025_WOF_F2_4_plant_39</v>
      </c>
      <c r="F619" s="21" t="s">
        <v>158</v>
      </c>
      <c r="G619" s="44">
        <v>42</v>
      </c>
      <c r="H619" s="42"/>
      <c r="I619" s="42" t="s">
        <v>1016</v>
      </c>
      <c r="J619" s="42" t="s">
        <v>1003</v>
      </c>
      <c r="K619" s="42"/>
      <c r="L619" s="42"/>
      <c r="M619" s="42"/>
      <c r="N619" t="str">
        <f>VLOOKUP(C619,CU_ARS_2025_WOF_F2!$A$2:$K$673,2,FALSE)</f>
        <v>CU_ARS_2025_WOF_F2_4_plant_39</v>
      </c>
      <c r="O619" t="str">
        <f>VLOOKUP(C619,CU_ARS_2025_WOF_F2!$A$2:$K$673,2,FALSE)</f>
        <v>CU_ARS_2025_WOF_F2_4_plant_39</v>
      </c>
      <c r="P619" t="str">
        <f>VLOOKUP(C619,CU_ARS_2025_WOF_F2!$A$2:$K$673,3,FALSE)</f>
        <v>CU_ARS_2025_WOF_F2_4</v>
      </c>
      <c r="Q619" t="str">
        <f>VLOOKUP(C619,CU_ARS_2025_WOF_F2!$A$2:$K$673,4,FALSE)</f>
        <v>CU_ARS_2025_WOF_cross_19</v>
      </c>
      <c r="R619">
        <f>VLOOKUP(C619,CU_ARS_2025_WOF_F2!$A$2:$K$673,5,FALSE)</f>
        <v>4</v>
      </c>
      <c r="S619">
        <f>VLOOKUP(C619,CU_ARS_2025_WOF_F2!$A$2:$K$673,6,FALSE)</f>
        <v>1</v>
      </c>
      <c r="T619">
        <f>VLOOKUP(C619,CU_ARS_2025_WOF_F2!$A$2:$K$673,7,FALSE)</f>
        <v>0</v>
      </c>
      <c r="U619">
        <f>VLOOKUP(C619,CU_ARS_2025_WOF_F2!$A$2:$K$673,8,FALSE)</f>
        <v>1</v>
      </c>
      <c r="V619">
        <f>VLOOKUP(C619,CU_ARS_2025_WOF_F2!$A$2:$K$673,9,FALSE)</f>
        <v>0</v>
      </c>
      <c r="W619">
        <f>VLOOKUP(C619,CU_ARS_2025_WOF_F2!$A$2:$K$673,10,FALSE)</f>
        <v>0</v>
      </c>
      <c r="X619">
        <f>VLOOKUP(C619,CU_ARS_2025_WOF_F2!$A$2:$K$673,11,FALSE)</f>
        <v>39</v>
      </c>
      <c r="Y619" t="str">
        <f>VLOOKUP(Q619,cross_pedigree!$A$2:$B$23,2,FALSE)</f>
        <v>Gerard 227/AURORA</v>
      </c>
    </row>
    <row r="620" spans="1:25" ht="18">
      <c r="A620" s="21" t="s">
        <v>15</v>
      </c>
      <c r="B620" s="21" t="s">
        <v>16</v>
      </c>
      <c r="C620" s="22">
        <v>753454</v>
      </c>
      <c r="D620" s="23">
        <v>7</v>
      </c>
      <c r="E620" s="24" t="str">
        <f t="shared" si="9"/>
        <v>CU_ARS_2025_WOF_F2_4_plant_40</v>
      </c>
      <c r="F620" s="21" t="s">
        <v>160</v>
      </c>
      <c r="G620" s="44">
        <v>43</v>
      </c>
      <c r="H620" s="42"/>
      <c r="I620" s="42" t="s">
        <v>1016</v>
      </c>
      <c r="J620" s="42" t="s">
        <v>1003</v>
      </c>
      <c r="K620" s="42"/>
      <c r="L620" s="42"/>
      <c r="M620" s="42"/>
      <c r="N620" t="str">
        <f>VLOOKUP(C620,CU_ARS_2025_WOF_F2!$A$2:$K$673,2,FALSE)</f>
        <v>CU_ARS_2025_WOF_F2_4_plant_40</v>
      </c>
      <c r="O620" t="str">
        <f>VLOOKUP(C620,CU_ARS_2025_WOF_F2!$A$2:$K$673,2,FALSE)</f>
        <v>CU_ARS_2025_WOF_F2_4_plant_40</v>
      </c>
      <c r="P620" t="str">
        <f>VLOOKUP(C620,CU_ARS_2025_WOF_F2!$A$2:$K$673,3,FALSE)</f>
        <v>CU_ARS_2025_WOF_F2_4</v>
      </c>
      <c r="Q620" t="str">
        <f>VLOOKUP(C620,CU_ARS_2025_WOF_F2!$A$2:$K$673,4,FALSE)</f>
        <v>CU_ARS_2025_WOF_cross_19</v>
      </c>
      <c r="R620">
        <f>VLOOKUP(C620,CU_ARS_2025_WOF_F2!$A$2:$K$673,5,FALSE)</f>
        <v>4</v>
      </c>
      <c r="S620">
        <f>VLOOKUP(C620,CU_ARS_2025_WOF_F2!$A$2:$K$673,6,FALSE)</f>
        <v>1</v>
      </c>
      <c r="T620">
        <f>VLOOKUP(C620,CU_ARS_2025_WOF_F2!$A$2:$K$673,7,FALSE)</f>
        <v>0</v>
      </c>
      <c r="U620">
        <f>VLOOKUP(C620,CU_ARS_2025_WOF_F2!$A$2:$K$673,8,FALSE)</f>
        <v>1</v>
      </c>
      <c r="V620">
        <f>VLOOKUP(C620,CU_ARS_2025_WOF_F2!$A$2:$K$673,9,FALSE)</f>
        <v>0</v>
      </c>
      <c r="W620">
        <f>VLOOKUP(C620,CU_ARS_2025_WOF_F2!$A$2:$K$673,10,FALSE)</f>
        <v>0</v>
      </c>
      <c r="X620">
        <f>VLOOKUP(C620,CU_ARS_2025_WOF_F2!$A$2:$K$673,11,FALSE)</f>
        <v>40</v>
      </c>
      <c r="Y620" t="str">
        <f>VLOOKUP(Q620,cross_pedigree!$A$2:$B$23,2,FALSE)</f>
        <v>Gerard 227/AURORA</v>
      </c>
    </row>
    <row r="621" spans="1:25" ht="18">
      <c r="A621" s="21" t="s">
        <v>15</v>
      </c>
      <c r="B621" s="21" t="s">
        <v>16</v>
      </c>
      <c r="C621" s="22">
        <v>753460</v>
      </c>
      <c r="D621" s="23">
        <v>7</v>
      </c>
      <c r="E621" s="24" t="str">
        <f t="shared" si="9"/>
        <v>CU_ARS_2025_WOF_F2_4_plant_46</v>
      </c>
      <c r="F621" s="21" t="s">
        <v>23</v>
      </c>
      <c r="G621" s="44">
        <v>44</v>
      </c>
      <c r="H621" s="42"/>
      <c r="I621" s="42" t="s">
        <v>1016</v>
      </c>
      <c r="J621" s="42" t="s">
        <v>1003</v>
      </c>
      <c r="K621" s="42"/>
      <c r="L621" s="42"/>
      <c r="M621" s="42"/>
      <c r="N621" t="str">
        <f>VLOOKUP(C621,CU_ARS_2025_WOF_F2!$A$2:$K$673,2,FALSE)</f>
        <v>CU_ARS_2025_WOF_F2_4_plant_46</v>
      </c>
      <c r="O621" t="str">
        <f>VLOOKUP(C621,CU_ARS_2025_WOF_F2!$A$2:$K$673,2,FALSE)</f>
        <v>CU_ARS_2025_WOF_F2_4_plant_46</v>
      </c>
      <c r="P621" t="str">
        <f>VLOOKUP(C621,CU_ARS_2025_WOF_F2!$A$2:$K$673,3,FALSE)</f>
        <v>CU_ARS_2025_WOF_F2_4</v>
      </c>
      <c r="Q621" t="str">
        <f>VLOOKUP(C621,CU_ARS_2025_WOF_F2!$A$2:$K$673,4,FALSE)</f>
        <v>CU_ARS_2025_WOF_cross_19</v>
      </c>
      <c r="R621">
        <f>VLOOKUP(C621,CU_ARS_2025_WOF_F2!$A$2:$K$673,5,FALSE)</f>
        <v>4</v>
      </c>
      <c r="S621">
        <f>VLOOKUP(C621,CU_ARS_2025_WOF_F2!$A$2:$K$673,6,FALSE)</f>
        <v>1</v>
      </c>
      <c r="T621">
        <f>VLOOKUP(C621,CU_ARS_2025_WOF_F2!$A$2:$K$673,7,FALSE)</f>
        <v>0</v>
      </c>
      <c r="U621">
        <f>VLOOKUP(C621,CU_ARS_2025_WOF_F2!$A$2:$K$673,8,FALSE)</f>
        <v>1</v>
      </c>
      <c r="V621">
        <f>VLOOKUP(C621,CU_ARS_2025_WOF_F2!$A$2:$K$673,9,FALSE)</f>
        <v>0</v>
      </c>
      <c r="W621">
        <f>VLOOKUP(C621,CU_ARS_2025_WOF_F2!$A$2:$K$673,10,FALSE)</f>
        <v>0</v>
      </c>
      <c r="X621">
        <f>VLOOKUP(C621,CU_ARS_2025_WOF_F2!$A$2:$K$673,11,FALSE)</f>
        <v>46</v>
      </c>
      <c r="Y621" t="str">
        <f>VLOOKUP(Q621,cross_pedigree!$A$2:$B$23,2,FALSE)</f>
        <v>Gerard 227/AURORA</v>
      </c>
    </row>
    <row r="622" spans="1:25" ht="18">
      <c r="A622" s="21" t="s">
        <v>15</v>
      </c>
      <c r="B622" s="21" t="s">
        <v>16</v>
      </c>
      <c r="C622" s="22">
        <v>753461</v>
      </c>
      <c r="D622" s="23">
        <v>7</v>
      </c>
      <c r="E622" s="24" t="str">
        <f t="shared" si="9"/>
        <v>CU_ARS_2025_WOF_F2_4_plant_47</v>
      </c>
      <c r="F622" s="21" t="s">
        <v>25</v>
      </c>
      <c r="G622" s="44">
        <v>45</v>
      </c>
      <c r="H622" s="42"/>
      <c r="I622" s="42" t="s">
        <v>1016</v>
      </c>
      <c r="J622" s="42" t="s">
        <v>1003</v>
      </c>
      <c r="K622" s="42"/>
      <c r="L622" s="42"/>
      <c r="M622" s="42"/>
      <c r="N622" t="str">
        <f>VLOOKUP(C622,CU_ARS_2025_WOF_F2!$A$2:$K$673,2,FALSE)</f>
        <v>CU_ARS_2025_WOF_F2_4_plant_47</v>
      </c>
      <c r="O622" t="str">
        <f>VLOOKUP(C622,CU_ARS_2025_WOF_F2!$A$2:$K$673,2,FALSE)</f>
        <v>CU_ARS_2025_WOF_F2_4_plant_47</v>
      </c>
      <c r="P622" t="str">
        <f>VLOOKUP(C622,CU_ARS_2025_WOF_F2!$A$2:$K$673,3,FALSE)</f>
        <v>CU_ARS_2025_WOF_F2_4</v>
      </c>
      <c r="Q622" t="str">
        <f>VLOOKUP(C622,CU_ARS_2025_WOF_F2!$A$2:$K$673,4,FALSE)</f>
        <v>CU_ARS_2025_WOF_cross_19</v>
      </c>
      <c r="R622">
        <f>VLOOKUP(C622,CU_ARS_2025_WOF_F2!$A$2:$K$673,5,FALSE)</f>
        <v>4</v>
      </c>
      <c r="S622">
        <f>VLOOKUP(C622,CU_ARS_2025_WOF_F2!$A$2:$K$673,6,FALSE)</f>
        <v>1</v>
      </c>
      <c r="T622">
        <f>VLOOKUP(C622,CU_ARS_2025_WOF_F2!$A$2:$K$673,7,FALSE)</f>
        <v>0</v>
      </c>
      <c r="U622">
        <f>VLOOKUP(C622,CU_ARS_2025_WOF_F2!$A$2:$K$673,8,FALSE)</f>
        <v>1</v>
      </c>
      <c r="V622">
        <f>VLOOKUP(C622,CU_ARS_2025_WOF_F2!$A$2:$K$673,9,FALSE)</f>
        <v>0</v>
      </c>
      <c r="W622">
        <f>VLOOKUP(C622,CU_ARS_2025_WOF_F2!$A$2:$K$673,10,FALSE)</f>
        <v>0</v>
      </c>
      <c r="X622">
        <f>VLOOKUP(C622,CU_ARS_2025_WOF_F2!$A$2:$K$673,11,FALSE)</f>
        <v>47</v>
      </c>
      <c r="Y622" t="str">
        <f>VLOOKUP(Q622,cross_pedigree!$A$2:$B$23,2,FALSE)</f>
        <v>Gerard 227/AURORA</v>
      </c>
    </row>
    <row r="623" spans="1:25" ht="18">
      <c r="A623" s="21" t="s">
        <v>15</v>
      </c>
      <c r="B623" s="21" t="s">
        <v>16</v>
      </c>
      <c r="C623" s="22">
        <v>753462</v>
      </c>
      <c r="D623" s="23">
        <v>7</v>
      </c>
      <c r="E623" s="24" t="str">
        <f t="shared" si="9"/>
        <v>CU_ARS_2025_WOF_F2_4_plant_48</v>
      </c>
      <c r="F623" s="21" t="s">
        <v>27</v>
      </c>
      <c r="G623" s="44">
        <v>46</v>
      </c>
      <c r="H623" s="42"/>
      <c r="I623" s="42" t="s">
        <v>1016</v>
      </c>
      <c r="J623" s="42" t="s">
        <v>1003</v>
      </c>
      <c r="K623" s="42"/>
      <c r="L623" s="42"/>
      <c r="M623" s="42"/>
      <c r="N623" t="str">
        <f>VLOOKUP(C623,CU_ARS_2025_WOF_F2!$A$2:$K$673,2,FALSE)</f>
        <v>CU_ARS_2025_WOF_F2_4_plant_48</v>
      </c>
      <c r="O623" t="str">
        <f>VLOOKUP(C623,CU_ARS_2025_WOF_F2!$A$2:$K$673,2,FALSE)</f>
        <v>CU_ARS_2025_WOF_F2_4_plant_48</v>
      </c>
      <c r="P623" t="str">
        <f>VLOOKUP(C623,CU_ARS_2025_WOF_F2!$A$2:$K$673,3,FALSE)</f>
        <v>CU_ARS_2025_WOF_F2_4</v>
      </c>
      <c r="Q623" t="str">
        <f>VLOOKUP(C623,CU_ARS_2025_WOF_F2!$A$2:$K$673,4,FALSE)</f>
        <v>CU_ARS_2025_WOF_cross_19</v>
      </c>
      <c r="R623">
        <f>VLOOKUP(C623,CU_ARS_2025_WOF_F2!$A$2:$K$673,5,FALSE)</f>
        <v>4</v>
      </c>
      <c r="S623">
        <f>VLOOKUP(C623,CU_ARS_2025_WOF_F2!$A$2:$K$673,6,FALSE)</f>
        <v>1</v>
      </c>
      <c r="T623">
        <f>VLOOKUP(C623,CU_ARS_2025_WOF_F2!$A$2:$K$673,7,FALSE)</f>
        <v>0</v>
      </c>
      <c r="U623">
        <f>VLOOKUP(C623,CU_ARS_2025_WOF_F2!$A$2:$K$673,8,FALSE)</f>
        <v>1</v>
      </c>
      <c r="V623">
        <f>VLOOKUP(C623,CU_ARS_2025_WOF_F2!$A$2:$K$673,9,FALSE)</f>
        <v>0</v>
      </c>
      <c r="W623">
        <f>VLOOKUP(C623,CU_ARS_2025_WOF_F2!$A$2:$K$673,10,FALSE)</f>
        <v>0</v>
      </c>
      <c r="X623">
        <f>VLOOKUP(C623,CU_ARS_2025_WOF_F2!$A$2:$K$673,11,FALSE)</f>
        <v>48</v>
      </c>
      <c r="Y623" t="str">
        <f>VLOOKUP(Q623,cross_pedigree!$A$2:$B$23,2,FALSE)</f>
        <v>Gerard 227/AURORA</v>
      </c>
    </row>
    <row r="624" spans="1:25" ht="18">
      <c r="A624" s="21" t="s">
        <v>15</v>
      </c>
      <c r="B624" s="21" t="s">
        <v>16</v>
      </c>
      <c r="C624" s="22">
        <v>753431</v>
      </c>
      <c r="D624" s="23">
        <v>7</v>
      </c>
      <c r="E624" s="24" t="str">
        <f t="shared" si="9"/>
        <v>CU_ARS_2025_WOF_F2_4_plant_17</v>
      </c>
      <c r="F624" s="21" t="s">
        <v>162</v>
      </c>
      <c r="G624" s="44">
        <v>47</v>
      </c>
      <c r="H624" s="42"/>
      <c r="I624" s="42" t="s">
        <v>1016</v>
      </c>
      <c r="J624" s="42" t="s">
        <v>1003</v>
      </c>
      <c r="K624" s="42"/>
      <c r="L624" s="42"/>
      <c r="M624" s="42"/>
      <c r="N624" t="str">
        <f>VLOOKUP(C624,CU_ARS_2025_WOF_F2!$A$2:$K$673,2,FALSE)</f>
        <v>CU_ARS_2025_WOF_F2_4_plant_17</v>
      </c>
      <c r="O624" t="str">
        <f>VLOOKUP(C624,CU_ARS_2025_WOF_F2!$A$2:$K$673,2,FALSE)</f>
        <v>CU_ARS_2025_WOF_F2_4_plant_17</v>
      </c>
      <c r="P624" t="str">
        <f>VLOOKUP(C624,CU_ARS_2025_WOF_F2!$A$2:$K$673,3,FALSE)</f>
        <v>CU_ARS_2025_WOF_F2_4</v>
      </c>
      <c r="Q624" t="str">
        <f>VLOOKUP(C624,CU_ARS_2025_WOF_F2!$A$2:$K$673,4,FALSE)</f>
        <v>CU_ARS_2025_WOF_cross_19</v>
      </c>
      <c r="R624">
        <f>VLOOKUP(C624,CU_ARS_2025_WOF_F2!$A$2:$K$673,5,FALSE)</f>
        <v>4</v>
      </c>
      <c r="S624">
        <f>VLOOKUP(C624,CU_ARS_2025_WOF_F2!$A$2:$K$673,6,FALSE)</f>
        <v>1</v>
      </c>
      <c r="T624">
        <f>VLOOKUP(C624,CU_ARS_2025_WOF_F2!$A$2:$K$673,7,FALSE)</f>
        <v>0</v>
      </c>
      <c r="U624">
        <f>VLOOKUP(C624,CU_ARS_2025_WOF_F2!$A$2:$K$673,8,FALSE)</f>
        <v>1</v>
      </c>
      <c r="V624">
        <f>VLOOKUP(C624,CU_ARS_2025_WOF_F2!$A$2:$K$673,9,FALSE)</f>
        <v>0</v>
      </c>
      <c r="W624">
        <f>VLOOKUP(C624,CU_ARS_2025_WOF_F2!$A$2:$K$673,10,FALSE)</f>
        <v>0</v>
      </c>
      <c r="X624">
        <f>VLOOKUP(C624,CU_ARS_2025_WOF_F2!$A$2:$K$673,11,FALSE)</f>
        <v>17</v>
      </c>
      <c r="Y624" t="str">
        <f>VLOOKUP(Q624,cross_pedigree!$A$2:$B$23,2,FALSE)</f>
        <v>Gerard 227/AURORA</v>
      </c>
    </row>
    <row r="625" spans="1:25" ht="18">
      <c r="A625" s="21" t="s">
        <v>15</v>
      </c>
      <c r="B625" s="21" t="s">
        <v>16</v>
      </c>
      <c r="C625" s="22">
        <v>753432</v>
      </c>
      <c r="D625" s="23">
        <v>7</v>
      </c>
      <c r="E625" s="24" t="str">
        <f t="shared" si="9"/>
        <v>CU_ARS_2025_WOF_F2_4_plant_18</v>
      </c>
      <c r="F625" s="21" t="s">
        <v>164</v>
      </c>
      <c r="G625" s="44">
        <v>48</v>
      </c>
      <c r="H625" s="42"/>
      <c r="I625" s="42" t="s">
        <v>1016</v>
      </c>
      <c r="J625" s="42" t="s">
        <v>1003</v>
      </c>
      <c r="K625" s="42"/>
      <c r="L625" s="42"/>
      <c r="M625" s="42"/>
      <c r="N625" t="str">
        <f>VLOOKUP(C625,CU_ARS_2025_WOF_F2!$A$2:$K$673,2,FALSE)</f>
        <v>CU_ARS_2025_WOF_F2_4_plant_18</v>
      </c>
      <c r="O625" t="str">
        <f>VLOOKUP(C625,CU_ARS_2025_WOF_F2!$A$2:$K$673,2,FALSE)</f>
        <v>CU_ARS_2025_WOF_F2_4_plant_18</v>
      </c>
      <c r="P625" t="str">
        <f>VLOOKUP(C625,CU_ARS_2025_WOF_F2!$A$2:$K$673,3,FALSE)</f>
        <v>CU_ARS_2025_WOF_F2_4</v>
      </c>
      <c r="Q625" t="str">
        <f>VLOOKUP(C625,CU_ARS_2025_WOF_F2!$A$2:$K$673,4,FALSE)</f>
        <v>CU_ARS_2025_WOF_cross_19</v>
      </c>
      <c r="R625">
        <f>VLOOKUP(C625,CU_ARS_2025_WOF_F2!$A$2:$K$673,5,FALSE)</f>
        <v>4</v>
      </c>
      <c r="S625">
        <f>VLOOKUP(C625,CU_ARS_2025_WOF_F2!$A$2:$K$673,6,FALSE)</f>
        <v>1</v>
      </c>
      <c r="T625">
        <f>VLOOKUP(C625,CU_ARS_2025_WOF_F2!$A$2:$K$673,7,FALSE)</f>
        <v>0</v>
      </c>
      <c r="U625">
        <f>VLOOKUP(C625,CU_ARS_2025_WOF_F2!$A$2:$K$673,8,FALSE)</f>
        <v>1</v>
      </c>
      <c r="V625">
        <f>VLOOKUP(C625,CU_ARS_2025_WOF_F2!$A$2:$K$673,9,FALSE)</f>
        <v>0</v>
      </c>
      <c r="W625">
        <f>VLOOKUP(C625,CU_ARS_2025_WOF_F2!$A$2:$K$673,10,FALSE)</f>
        <v>0</v>
      </c>
      <c r="X625">
        <f>VLOOKUP(C625,CU_ARS_2025_WOF_F2!$A$2:$K$673,11,FALSE)</f>
        <v>18</v>
      </c>
      <c r="Y625" t="str">
        <f>VLOOKUP(Q625,cross_pedigree!$A$2:$B$23,2,FALSE)</f>
        <v>Gerard 227/AURORA</v>
      </c>
    </row>
    <row r="626" spans="1:25" ht="18">
      <c r="A626" s="21" t="s">
        <v>15</v>
      </c>
      <c r="B626" s="21" t="s">
        <v>16</v>
      </c>
      <c r="C626" s="22">
        <v>753433</v>
      </c>
      <c r="D626" s="23">
        <v>7</v>
      </c>
      <c r="E626" s="24" t="str">
        <f t="shared" si="9"/>
        <v>CU_ARS_2025_WOF_F2_4_plant_19</v>
      </c>
      <c r="F626" s="21" t="s">
        <v>166</v>
      </c>
      <c r="G626" s="44">
        <v>49</v>
      </c>
      <c r="H626" s="42"/>
      <c r="I626" s="42" t="s">
        <v>1016</v>
      </c>
      <c r="J626" s="42" t="s">
        <v>1003</v>
      </c>
      <c r="K626" s="42"/>
      <c r="L626" s="42"/>
      <c r="M626" s="42"/>
      <c r="N626" t="str">
        <f>VLOOKUP(C626,CU_ARS_2025_WOF_F2!$A$2:$K$673,2,FALSE)</f>
        <v>CU_ARS_2025_WOF_F2_4_plant_19</v>
      </c>
      <c r="O626" t="str">
        <f>VLOOKUP(C626,CU_ARS_2025_WOF_F2!$A$2:$K$673,2,FALSE)</f>
        <v>CU_ARS_2025_WOF_F2_4_plant_19</v>
      </c>
      <c r="P626" t="str">
        <f>VLOOKUP(C626,CU_ARS_2025_WOF_F2!$A$2:$K$673,3,FALSE)</f>
        <v>CU_ARS_2025_WOF_F2_4</v>
      </c>
      <c r="Q626" t="str">
        <f>VLOOKUP(C626,CU_ARS_2025_WOF_F2!$A$2:$K$673,4,FALSE)</f>
        <v>CU_ARS_2025_WOF_cross_19</v>
      </c>
      <c r="R626">
        <f>VLOOKUP(C626,CU_ARS_2025_WOF_F2!$A$2:$K$673,5,FALSE)</f>
        <v>4</v>
      </c>
      <c r="S626">
        <f>VLOOKUP(C626,CU_ARS_2025_WOF_F2!$A$2:$K$673,6,FALSE)</f>
        <v>1</v>
      </c>
      <c r="T626">
        <f>VLOOKUP(C626,CU_ARS_2025_WOF_F2!$A$2:$K$673,7,FALSE)</f>
        <v>0</v>
      </c>
      <c r="U626">
        <f>VLOOKUP(C626,CU_ARS_2025_WOF_F2!$A$2:$K$673,8,FALSE)</f>
        <v>1</v>
      </c>
      <c r="V626">
        <f>VLOOKUP(C626,CU_ARS_2025_WOF_F2!$A$2:$K$673,9,FALSE)</f>
        <v>0</v>
      </c>
      <c r="W626">
        <f>VLOOKUP(C626,CU_ARS_2025_WOF_F2!$A$2:$K$673,10,FALSE)</f>
        <v>0</v>
      </c>
      <c r="X626">
        <f>VLOOKUP(C626,CU_ARS_2025_WOF_F2!$A$2:$K$673,11,FALSE)</f>
        <v>19</v>
      </c>
      <c r="Y626" t="str">
        <f>VLOOKUP(Q626,cross_pedigree!$A$2:$B$23,2,FALSE)</f>
        <v>Gerard 227/AURORA</v>
      </c>
    </row>
    <row r="627" spans="1:25" ht="18">
      <c r="A627" s="21" t="s">
        <v>15</v>
      </c>
      <c r="B627" s="21" t="s">
        <v>16</v>
      </c>
      <c r="C627" s="22">
        <v>753434</v>
      </c>
      <c r="D627" s="23">
        <v>7</v>
      </c>
      <c r="E627" s="24" t="str">
        <f t="shared" si="9"/>
        <v>CU_ARS_2025_WOF_F2_4_plant_20</v>
      </c>
      <c r="F627" s="21" t="s">
        <v>168</v>
      </c>
      <c r="G627" s="44">
        <v>50</v>
      </c>
      <c r="H627" s="42"/>
      <c r="I627" s="42" t="s">
        <v>1016</v>
      </c>
      <c r="J627" s="42" t="s">
        <v>1003</v>
      </c>
      <c r="K627" s="42"/>
      <c r="L627" s="42"/>
      <c r="M627" s="42"/>
      <c r="N627" t="str">
        <f>VLOOKUP(C627,CU_ARS_2025_WOF_F2!$A$2:$K$673,2,FALSE)</f>
        <v>CU_ARS_2025_WOF_F2_4_plant_20</v>
      </c>
      <c r="O627" t="str">
        <f>VLOOKUP(C627,CU_ARS_2025_WOF_F2!$A$2:$K$673,2,FALSE)</f>
        <v>CU_ARS_2025_WOF_F2_4_plant_20</v>
      </c>
      <c r="P627" t="str">
        <f>VLOOKUP(C627,CU_ARS_2025_WOF_F2!$A$2:$K$673,3,FALSE)</f>
        <v>CU_ARS_2025_WOF_F2_4</v>
      </c>
      <c r="Q627" t="str">
        <f>VLOOKUP(C627,CU_ARS_2025_WOF_F2!$A$2:$K$673,4,FALSE)</f>
        <v>CU_ARS_2025_WOF_cross_19</v>
      </c>
      <c r="R627">
        <f>VLOOKUP(C627,CU_ARS_2025_WOF_F2!$A$2:$K$673,5,FALSE)</f>
        <v>4</v>
      </c>
      <c r="S627">
        <f>VLOOKUP(C627,CU_ARS_2025_WOF_F2!$A$2:$K$673,6,FALSE)</f>
        <v>1</v>
      </c>
      <c r="T627">
        <f>VLOOKUP(C627,CU_ARS_2025_WOF_F2!$A$2:$K$673,7,FALSE)</f>
        <v>0</v>
      </c>
      <c r="U627">
        <f>VLOOKUP(C627,CU_ARS_2025_WOF_F2!$A$2:$K$673,8,FALSE)</f>
        <v>1</v>
      </c>
      <c r="V627">
        <f>VLOOKUP(C627,CU_ARS_2025_WOF_F2!$A$2:$K$673,9,FALSE)</f>
        <v>0</v>
      </c>
      <c r="W627">
        <f>VLOOKUP(C627,CU_ARS_2025_WOF_F2!$A$2:$K$673,10,FALSE)</f>
        <v>0</v>
      </c>
      <c r="X627">
        <f>VLOOKUP(C627,CU_ARS_2025_WOF_F2!$A$2:$K$673,11,FALSE)</f>
        <v>20</v>
      </c>
      <c r="Y627" t="str">
        <f>VLOOKUP(Q627,cross_pedigree!$A$2:$B$23,2,FALSE)</f>
        <v>Gerard 227/AURORA</v>
      </c>
    </row>
    <row r="628" spans="1:25" ht="18">
      <c r="A628" s="21" t="s">
        <v>15</v>
      </c>
      <c r="B628" s="21" t="s">
        <v>16</v>
      </c>
      <c r="C628" s="22">
        <v>753435</v>
      </c>
      <c r="D628" s="23">
        <v>7</v>
      </c>
      <c r="E628" s="24" t="str">
        <f t="shared" si="9"/>
        <v>CU_ARS_2025_WOF_F2_4_plant_21</v>
      </c>
      <c r="F628" s="21" t="s">
        <v>43</v>
      </c>
      <c r="G628" s="44">
        <v>51</v>
      </c>
      <c r="H628" s="42"/>
      <c r="I628" s="42" t="s">
        <v>1016</v>
      </c>
      <c r="J628" s="42" t="s">
        <v>1003</v>
      </c>
      <c r="K628" s="42"/>
      <c r="L628" s="42"/>
      <c r="M628" s="42"/>
      <c r="N628" t="str">
        <f>VLOOKUP(C628,CU_ARS_2025_WOF_F2!$A$2:$K$673,2,FALSE)</f>
        <v>CU_ARS_2025_WOF_F2_4_plant_21</v>
      </c>
      <c r="O628" t="str">
        <f>VLOOKUP(C628,CU_ARS_2025_WOF_F2!$A$2:$K$673,2,FALSE)</f>
        <v>CU_ARS_2025_WOF_F2_4_plant_21</v>
      </c>
      <c r="P628" t="str">
        <f>VLOOKUP(C628,CU_ARS_2025_WOF_F2!$A$2:$K$673,3,FALSE)</f>
        <v>CU_ARS_2025_WOF_F2_4</v>
      </c>
      <c r="Q628" t="str">
        <f>VLOOKUP(C628,CU_ARS_2025_WOF_F2!$A$2:$K$673,4,FALSE)</f>
        <v>CU_ARS_2025_WOF_cross_19</v>
      </c>
      <c r="R628">
        <f>VLOOKUP(C628,CU_ARS_2025_WOF_F2!$A$2:$K$673,5,FALSE)</f>
        <v>4</v>
      </c>
      <c r="S628">
        <f>VLOOKUP(C628,CU_ARS_2025_WOF_F2!$A$2:$K$673,6,FALSE)</f>
        <v>1</v>
      </c>
      <c r="T628">
        <f>VLOOKUP(C628,CU_ARS_2025_WOF_F2!$A$2:$K$673,7,FALSE)</f>
        <v>0</v>
      </c>
      <c r="U628">
        <f>VLOOKUP(C628,CU_ARS_2025_WOF_F2!$A$2:$K$673,8,FALSE)</f>
        <v>1</v>
      </c>
      <c r="V628">
        <f>VLOOKUP(C628,CU_ARS_2025_WOF_F2!$A$2:$K$673,9,FALSE)</f>
        <v>0</v>
      </c>
      <c r="W628">
        <f>VLOOKUP(C628,CU_ARS_2025_WOF_F2!$A$2:$K$673,10,FALSE)</f>
        <v>0</v>
      </c>
      <c r="X628">
        <f>VLOOKUP(C628,CU_ARS_2025_WOF_F2!$A$2:$K$673,11,FALSE)</f>
        <v>21</v>
      </c>
      <c r="Y628" t="str">
        <f>VLOOKUP(Q628,cross_pedigree!$A$2:$B$23,2,FALSE)</f>
        <v>Gerard 227/AURORA</v>
      </c>
    </row>
    <row r="629" spans="1:25" ht="18">
      <c r="A629" s="21" t="s">
        <v>15</v>
      </c>
      <c r="B629" s="21" t="s">
        <v>16</v>
      </c>
      <c r="C629" s="22">
        <v>753443</v>
      </c>
      <c r="D629" s="23">
        <v>7</v>
      </c>
      <c r="E629" s="24" t="str">
        <f t="shared" si="9"/>
        <v>CU_ARS_2025_WOF_F2_4_plant_29</v>
      </c>
      <c r="F629" s="21" t="s">
        <v>45</v>
      </c>
      <c r="G629" s="44">
        <v>52</v>
      </c>
      <c r="H629" s="42"/>
      <c r="I629" s="42" t="s">
        <v>1016</v>
      </c>
      <c r="J629" s="42" t="s">
        <v>1003</v>
      </c>
      <c r="K629" s="42"/>
      <c r="L629" s="42"/>
      <c r="M629" s="42"/>
      <c r="N629" t="str">
        <f>VLOOKUP(C629,CU_ARS_2025_WOF_F2!$A$2:$K$673,2,FALSE)</f>
        <v>CU_ARS_2025_WOF_F2_4_plant_29</v>
      </c>
      <c r="O629" t="str">
        <f>VLOOKUP(C629,CU_ARS_2025_WOF_F2!$A$2:$K$673,2,FALSE)</f>
        <v>CU_ARS_2025_WOF_F2_4_plant_29</v>
      </c>
      <c r="P629" t="str">
        <f>VLOOKUP(C629,CU_ARS_2025_WOF_F2!$A$2:$K$673,3,FALSE)</f>
        <v>CU_ARS_2025_WOF_F2_4</v>
      </c>
      <c r="Q629" t="str">
        <f>VLOOKUP(C629,CU_ARS_2025_WOF_F2!$A$2:$K$673,4,FALSE)</f>
        <v>CU_ARS_2025_WOF_cross_19</v>
      </c>
      <c r="R629">
        <f>VLOOKUP(C629,CU_ARS_2025_WOF_F2!$A$2:$K$673,5,FALSE)</f>
        <v>4</v>
      </c>
      <c r="S629">
        <f>VLOOKUP(C629,CU_ARS_2025_WOF_F2!$A$2:$K$673,6,FALSE)</f>
        <v>1</v>
      </c>
      <c r="T629">
        <f>VLOOKUP(C629,CU_ARS_2025_WOF_F2!$A$2:$K$673,7,FALSE)</f>
        <v>0</v>
      </c>
      <c r="U629">
        <f>VLOOKUP(C629,CU_ARS_2025_WOF_F2!$A$2:$K$673,8,FALSE)</f>
        <v>1</v>
      </c>
      <c r="V629">
        <f>VLOOKUP(C629,CU_ARS_2025_WOF_F2!$A$2:$K$673,9,FALSE)</f>
        <v>0</v>
      </c>
      <c r="W629">
        <f>VLOOKUP(C629,CU_ARS_2025_WOF_F2!$A$2:$K$673,10,FALSE)</f>
        <v>0</v>
      </c>
      <c r="X629">
        <f>VLOOKUP(C629,CU_ARS_2025_WOF_F2!$A$2:$K$673,11,FALSE)</f>
        <v>29</v>
      </c>
      <c r="Y629" t="str">
        <f>VLOOKUP(Q629,cross_pedigree!$A$2:$B$23,2,FALSE)</f>
        <v>Gerard 227/AURORA</v>
      </c>
    </row>
    <row r="630" spans="1:25" ht="18">
      <c r="A630" s="21" t="s">
        <v>15</v>
      </c>
      <c r="B630" s="21" t="s">
        <v>16</v>
      </c>
      <c r="C630" s="22">
        <v>753442</v>
      </c>
      <c r="D630" s="23">
        <v>7</v>
      </c>
      <c r="E630" s="24" t="str">
        <f t="shared" si="9"/>
        <v>CU_ARS_2025_WOF_F2_4_plant_28</v>
      </c>
      <c r="F630" s="21" t="s">
        <v>170</v>
      </c>
      <c r="G630" s="44">
        <v>53</v>
      </c>
      <c r="H630" s="42"/>
      <c r="I630" s="42" t="s">
        <v>1016</v>
      </c>
      <c r="J630" s="42" t="s">
        <v>1003</v>
      </c>
      <c r="K630" s="42"/>
      <c r="L630" s="42"/>
      <c r="M630" s="42"/>
      <c r="N630" t="str">
        <f>VLOOKUP(C630,CU_ARS_2025_WOF_F2!$A$2:$K$673,2,FALSE)</f>
        <v>CU_ARS_2025_WOF_F2_4_plant_28</v>
      </c>
      <c r="O630" t="str">
        <f>VLOOKUP(C630,CU_ARS_2025_WOF_F2!$A$2:$K$673,2,FALSE)</f>
        <v>CU_ARS_2025_WOF_F2_4_plant_28</v>
      </c>
      <c r="P630" t="str">
        <f>VLOOKUP(C630,CU_ARS_2025_WOF_F2!$A$2:$K$673,3,FALSE)</f>
        <v>CU_ARS_2025_WOF_F2_4</v>
      </c>
      <c r="Q630" t="str">
        <f>VLOOKUP(C630,CU_ARS_2025_WOF_F2!$A$2:$K$673,4,FALSE)</f>
        <v>CU_ARS_2025_WOF_cross_19</v>
      </c>
      <c r="R630">
        <f>VLOOKUP(C630,CU_ARS_2025_WOF_F2!$A$2:$K$673,5,FALSE)</f>
        <v>4</v>
      </c>
      <c r="S630">
        <f>VLOOKUP(C630,CU_ARS_2025_WOF_F2!$A$2:$K$673,6,FALSE)</f>
        <v>1</v>
      </c>
      <c r="T630">
        <f>VLOOKUP(C630,CU_ARS_2025_WOF_F2!$A$2:$K$673,7,FALSE)</f>
        <v>0</v>
      </c>
      <c r="U630">
        <f>VLOOKUP(C630,CU_ARS_2025_WOF_F2!$A$2:$K$673,8,FALSE)</f>
        <v>1</v>
      </c>
      <c r="V630">
        <f>VLOOKUP(C630,CU_ARS_2025_WOF_F2!$A$2:$K$673,9,FALSE)</f>
        <v>0</v>
      </c>
      <c r="W630">
        <f>VLOOKUP(C630,CU_ARS_2025_WOF_F2!$A$2:$K$673,10,FALSE)</f>
        <v>0</v>
      </c>
      <c r="X630">
        <f>VLOOKUP(C630,CU_ARS_2025_WOF_F2!$A$2:$K$673,11,FALSE)</f>
        <v>28</v>
      </c>
      <c r="Y630" t="str">
        <f>VLOOKUP(Q630,cross_pedigree!$A$2:$B$23,2,FALSE)</f>
        <v>Gerard 227/AURORA</v>
      </c>
    </row>
    <row r="631" spans="1:25" ht="18">
      <c r="A631" s="21" t="s">
        <v>15</v>
      </c>
      <c r="B631" s="21" t="s">
        <v>16</v>
      </c>
      <c r="C631" s="22">
        <v>753441</v>
      </c>
      <c r="D631" s="23">
        <v>7</v>
      </c>
      <c r="E631" s="24" t="str">
        <f t="shared" si="9"/>
        <v>CU_ARS_2025_WOF_F2_4_plant_27</v>
      </c>
      <c r="F631" s="21" t="s">
        <v>29</v>
      </c>
      <c r="G631" s="44">
        <v>54</v>
      </c>
      <c r="H631" s="42"/>
      <c r="I631" s="42" t="s">
        <v>1016</v>
      </c>
      <c r="J631" s="42" t="s">
        <v>1003</v>
      </c>
      <c r="K631" s="42"/>
      <c r="L631" s="42"/>
      <c r="M631" s="42"/>
      <c r="N631" t="str">
        <f>VLOOKUP(C631,CU_ARS_2025_WOF_F2!$A$2:$K$673,2,FALSE)</f>
        <v>CU_ARS_2025_WOF_F2_4_plant_27</v>
      </c>
      <c r="O631" t="str">
        <f>VLOOKUP(C631,CU_ARS_2025_WOF_F2!$A$2:$K$673,2,FALSE)</f>
        <v>CU_ARS_2025_WOF_F2_4_plant_27</v>
      </c>
      <c r="P631" t="str">
        <f>VLOOKUP(C631,CU_ARS_2025_WOF_F2!$A$2:$K$673,3,FALSE)</f>
        <v>CU_ARS_2025_WOF_F2_4</v>
      </c>
      <c r="Q631" t="str">
        <f>VLOOKUP(C631,CU_ARS_2025_WOF_F2!$A$2:$K$673,4,FALSE)</f>
        <v>CU_ARS_2025_WOF_cross_19</v>
      </c>
      <c r="R631">
        <f>VLOOKUP(C631,CU_ARS_2025_WOF_F2!$A$2:$K$673,5,FALSE)</f>
        <v>4</v>
      </c>
      <c r="S631">
        <f>VLOOKUP(C631,CU_ARS_2025_WOF_F2!$A$2:$K$673,6,FALSE)</f>
        <v>1</v>
      </c>
      <c r="T631">
        <f>VLOOKUP(C631,CU_ARS_2025_WOF_F2!$A$2:$K$673,7,FALSE)</f>
        <v>0</v>
      </c>
      <c r="U631">
        <f>VLOOKUP(C631,CU_ARS_2025_WOF_F2!$A$2:$K$673,8,FALSE)</f>
        <v>1</v>
      </c>
      <c r="V631">
        <f>VLOOKUP(C631,CU_ARS_2025_WOF_F2!$A$2:$K$673,9,FALSE)</f>
        <v>0</v>
      </c>
      <c r="W631">
        <f>VLOOKUP(C631,CU_ARS_2025_WOF_F2!$A$2:$K$673,10,FALSE)</f>
        <v>0</v>
      </c>
      <c r="X631">
        <f>VLOOKUP(C631,CU_ARS_2025_WOF_F2!$A$2:$K$673,11,FALSE)</f>
        <v>27</v>
      </c>
      <c r="Y631" t="str">
        <f>VLOOKUP(Q631,cross_pedigree!$A$2:$B$23,2,FALSE)</f>
        <v>Gerard 227/AURORA</v>
      </c>
    </row>
    <row r="632" spans="1:25" ht="18">
      <c r="A632" s="21" t="s">
        <v>15</v>
      </c>
      <c r="B632" s="21" t="s">
        <v>16</v>
      </c>
      <c r="C632" s="22">
        <v>753440</v>
      </c>
      <c r="D632" s="23">
        <v>7</v>
      </c>
      <c r="E632" s="24" t="str">
        <f t="shared" si="9"/>
        <v>CU_ARS_2025_WOF_F2_4_plant_26</v>
      </c>
      <c r="F632" s="21" t="s">
        <v>31</v>
      </c>
      <c r="G632" s="44">
        <v>55</v>
      </c>
      <c r="H632" s="42"/>
      <c r="I632" s="42" t="s">
        <v>1016</v>
      </c>
      <c r="J632" s="42" t="s">
        <v>1003</v>
      </c>
      <c r="K632" s="42"/>
      <c r="L632" s="42"/>
      <c r="M632" s="42"/>
      <c r="N632" t="str">
        <f>VLOOKUP(C632,CU_ARS_2025_WOF_F2!$A$2:$K$673,2,FALSE)</f>
        <v>CU_ARS_2025_WOF_F2_4_plant_26</v>
      </c>
      <c r="O632" t="str">
        <f>VLOOKUP(C632,CU_ARS_2025_WOF_F2!$A$2:$K$673,2,FALSE)</f>
        <v>CU_ARS_2025_WOF_F2_4_plant_26</v>
      </c>
      <c r="P632" t="str">
        <f>VLOOKUP(C632,CU_ARS_2025_WOF_F2!$A$2:$K$673,3,FALSE)</f>
        <v>CU_ARS_2025_WOF_F2_4</v>
      </c>
      <c r="Q632" t="str">
        <f>VLOOKUP(C632,CU_ARS_2025_WOF_F2!$A$2:$K$673,4,FALSE)</f>
        <v>CU_ARS_2025_WOF_cross_19</v>
      </c>
      <c r="R632">
        <f>VLOOKUP(C632,CU_ARS_2025_WOF_F2!$A$2:$K$673,5,FALSE)</f>
        <v>4</v>
      </c>
      <c r="S632">
        <f>VLOOKUP(C632,CU_ARS_2025_WOF_F2!$A$2:$K$673,6,FALSE)</f>
        <v>1</v>
      </c>
      <c r="T632">
        <f>VLOOKUP(C632,CU_ARS_2025_WOF_F2!$A$2:$K$673,7,FALSE)</f>
        <v>0</v>
      </c>
      <c r="U632">
        <f>VLOOKUP(C632,CU_ARS_2025_WOF_F2!$A$2:$K$673,8,FALSE)</f>
        <v>1</v>
      </c>
      <c r="V632">
        <f>VLOOKUP(C632,CU_ARS_2025_WOF_F2!$A$2:$K$673,9,FALSE)</f>
        <v>0</v>
      </c>
      <c r="W632">
        <f>VLOOKUP(C632,CU_ARS_2025_WOF_F2!$A$2:$K$673,10,FALSE)</f>
        <v>0</v>
      </c>
      <c r="X632">
        <f>VLOOKUP(C632,CU_ARS_2025_WOF_F2!$A$2:$K$673,11,FALSE)</f>
        <v>26</v>
      </c>
      <c r="Y632" t="str">
        <f>VLOOKUP(Q632,cross_pedigree!$A$2:$B$23,2,FALSE)</f>
        <v>Gerard 227/AURORA</v>
      </c>
    </row>
    <row r="633" spans="1:25" ht="18">
      <c r="A633" s="21" t="s">
        <v>15</v>
      </c>
      <c r="B633" s="21" t="s">
        <v>16</v>
      </c>
      <c r="C633" s="22">
        <v>753439</v>
      </c>
      <c r="D633" s="23">
        <v>7</v>
      </c>
      <c r="E633" s="24" t="str">
        <f t="shared" si="9"/>
        <v>CU_ARS_2025_WOF_F2_4_plant_25</v>
      </c>
      <c r="F633" s="21" t="s">
        <v>33</v>
      </c>
      <c r="G633" s="44">
        <v>56</v>
      </c>
      <c r="H633" s="42"/>
      <c r="I633" s="42" t="s">
        <v>1016</v>
      </c>
      <c r="J633" s="42" t="s">
        <v>1003</v>
      </c>
      <c r="K633" s="42"/>
      <c r="L633" s="42"/>
      <c r="M633" s="42"/>
      <c r="N633" t="str">
        <f>VLOOKUP(C633,CU_ARS_2025_WOF_F2!$A$2:$K$673,2,FALSE)</f>
        <v>CU_ARS_2025_WOF_F2_4_plant_25</v>
      </c>
      <c r="O633" t="str">
        <f>VLOOKUP(C633,CU_ARS_2025_WOF_F2!$A$2:$K$673,2,FALSE)</f>
        <v>CU_ARS_2025_WOF_F2_4_plant_25</v>
      </c>
      <c r="P633" t="str">
        <f>VLOOKUP(C633,CU_ARS_2025_WOF_F2!$A$2:$K$673,3,FALSE)</f>
        <v>CU_ARS_2025_WOF_F2_4</v>
      </c>
      <c r="Q633" t="str">
        <f>VLOOKUP(C633,CU_ARS_2025_WOF_F2!$A$2:$K$673,4,FALSE)</f>
        <v>CU_ARS_2025_WOF_cross_19</v>
      </c>
      <c r="R633">
        <f>VLOOKUP(C633,CU_ARS_2025_WOF_F2!$A$2:$K$673,5,FALSE)</f>
        <v>4</v>
      </c>
      <c r="S633">
        <f>VLOOKUP(C633,CU_ARS_2025_WOF_F2!$A$2:$K$673,6,FALSE)</f>
        <v>1</v>
      </c>
      <c r="T633">
        <f>VLOOKUP(C633,CU_ARS_2025_WOF_F2!$A$2:$K$673,7,FALSE)</f>
        <v>0</v>
      </c>
      <c r="U633">
        <f>VLOOKUP(C633,CU_ARS_2025_WOF_F2!$A$2:$K$673,8,FALSE)</f>
        <v>1</v>
      </c>
      <c r="V633">
        <f>VLOOKUP(C633,CU_ARS_2025_WOF_F2!$A$2:$K$673,9,FALSE)</f>
        <v>0</v>
      </c>
      <c r="W633">
        <f>VLOOKUP(C633,CU_ARS_2025_WOF_F2!$A$2:$K$673,10,FALSE)</f>
        <v>0</v>
      </c>
      <c r="X633">
        <f>VLOOKUP(C633,CU_ARS_2025_WOF_F2!$A$2:$K$673,11,FALSE)</f>
        <v>25</v>
      </c>
      <c r="Y633" t="str">
        <f>VLOOKUP(Q633,cross_pedigree!$A$2:$B$23,2,FALSE)</f>
        <v>Gerard 227/AURORA</v>
      </c>
    </row>
    <row r="634" spans="1:25" ht="18">
      <c r="A634" s="21" t="s">
        <v>15</v>
      </c>
      <c r="B634" s="21" t="s">
        <v>16</v>
      </c>
      <c r="C634" s="22">
        <v>753446</v>
      </c>
      <c r="D634" s="23">
        <v>7</v>
      </c>
      <c r="E634" s="24" t="str">
        <f t="shared" si="9"/>
        <v>CU_ARS_2025_WOF_F2_4_plant_32</v>
      </c>
      <c r="F634" s="21" t="s">
        <v>35</v>
      </c>
      <c r="G634" s="44">
        <v>57</v>
      </c>
      <c r="H634" s="42"/>
      <c r="I634" s="42" t="s">
        <v>1016</v>
      </c>
      <c r="J634" s="42" t="s">
        <v>1003</v>
      </c>
      <c r="K634" s="42"/>
      <c r="L634" s="42"/>
      <c r="M634" s="42"/>
      <c r="N634" t="str">
        <f>VLOOKUP(C634,CU_ARS_2025_WOF_F2!$A$2:$K$673,2,FALSE)</f>
        <v>CU_ARS_2025_WOF_F2_4_plant_32</v>
      </c>
      <c r="O634" t="str">
        <f>VLOOKUP(C634,CU_ARS_2025_WOF_F2!$A$2:$K$673,2,FALSE)</f>
        <v>CU_ARS_2025_WOF_F2_4_plant_32</v>
      </c>
      <c r="P634" t="str">
        <f>VLOOKUP(C634,CU_ARS_2025_WOF_F2!$A$2:$K$673,3,FALSE)</f>
        <v>CU_ARS_2025_WOF_F2_4</v>
      </c>
      <c r="Q634" t="str">
        <f>VLOOKUP(C634,CU_ARS_2025_WOF_F2!$A$2:$K$673,4,FALSE)</f>
        <v>CU_ARS_2025_WOF_cross_19</v>
      </c>
      <c r="R634">
        <f>VLOOKUP(C634,CU_ARS_2025_WOF_F2!$A$2:$K$673,5,FALSE)</f>
        <v>4</v>
      </c>
      <c r="S634">
        <f>VLOOKUP(C634,CU_ARS_2025_WOF_F2!$A$2:$K$673,6,FALSE)</f>
        <v>1</v>
      </c>
      <c r="T634">
        <f>VLOOKUP(C634,CU_ARS_2025_WOF_F2!$A$2:$K$673,7,FALSE)</f>
        <v>0</v>
      </c>
      <c r="U634">
        <f>VLOOKUP(C634,CU_ARS_2025_WOF_F2!$A$2:$K$673,8,FALSE)</f>
        <v>1</v>
      </c>
      <c r="V634">
        <f>VLOOKUP(C634,CU_ARS_2025_WOF_F2!$A$2:$K$673,9,FALSE)</f>
        <v>0</v>
      </c>
      <c r="W634">
        <f>VLOOKUP(C634,CU_ARS_2025_WOF_F2!$A$2:$K$673,10,FALSE)</f>
        <v>0</v>
      </c>
      <c r="X634">
        <f>VLOOKUP(C634,CU_ARS_2025_WOF_F2!$A$2:$K$673,11,FALSE)</f>
        <v>32</v>
      </c>
      <c r="Y634" t="str">
        <f>VLOOKUP(Q634,cross_pedigree!$A$2:$B$23,2,FALSE)</f>
        <v>Gerard 227/AURORA</v>
      </c>
    </row>
    <row r="635" spans="1:25" ht="18">
      <c r="A635" s="21" t="s">
        <v>15</v>
      </c>
      <c r="B635" s="21" t="s">
        <v>16</v>
      </c>
      <c r="C635" s="22">
        <v>753445</v>
      </c>
      <c r="D635" s="23">
        <v>7</v>
      </c>
      <c r="E635" s="24" t="str">
        <f t="shared" si="9"/>
        <v>CU_ARS_2025_WOF_F2_4_plant_31</v>
      </c>
      <c r="F635" s="21" t="s">
        <v>37</v>
      </c>
      <c r="G635" s="44">
        <v>58</v>
      </c>
      <c r="H635" s="42"/>
      <c r="I635" s="42" t="s">
        <v>1016</v>
      </c>
      <c r="J635" s="42" t="s">
        <v>1003</v>
      </c>
      <c r="K635" s="42"/>
      <c r="L635" s="42"/>
      <c r="M635" s="42"/>
      <c r="N635" t="str">
        <f>VLOOKUP(C635,CU_ARS_2025_WOF_F2!$A$2:$K$673,2,FALSE)</f>
        <v>CU_ARS_2025_WOF_F2_4_plant_31</v>
      </c>
      <c r="O635" t="str">
        <f>VLOOKUP(C635,CU_ARS_2025_WOF_F2!$A$2:$K$673,2,FALSE)</f>
        <v>CU_ARS_2025_WOF_F2_4_plant_31</v>
      </c>
      <c r="P635" t="str">
        <f>VLOOKUP(C635,CU_ARS_2025_WOF_F2!$A$2:$K$673,3,FALSE)</f>
        <v>CU_ARS_2025_WOF_F2_4</v>
      </c>
      <c r="Q635" t="str">
        <f>VLOOKUP(C635,CU_ARS_2025_WOF_F2!$A$2:$K$673,4,FALSE)</f>
        <v>CU_ARS_2025_WOF_cross_19</v>
      </c>
      <c r="R635">
        <f>VLOOKUP(C635,CU_ARS_2025_WOF_F2!$A$2:$K$673,5,FALSE)</f>
        <v>4</v>
      </c>
      <c r="S635">
        <f>VLOOKUP(C635,CU_ARS_2025_WOF_F2!$A$2:$K$673,6,FALSE)</f>
        <v>1</v>
      </c>
      <c r="T635">
        <f>VLOOKUP(C635,CU_ARS_2025_WOF_F2!$A$2:$K$673,7,FALSE)</f>
        <v>0</v>
      </c>
      <c r="U635">
        <f>VLOOKUP(C635,CU_ARS_2025_WOF_F2!$A$2:$K$673,8,FALSE)</f>
        <v>1</v>
      </c>
      <c r="V635">
        <f>VLOOKUP(C635,CU_ARS_2025_WOF_F2!$A$2:$K$673,9,FALSE)</f>
        <v>0</v>
      </c>
      <c r="W635">
        <f>VLOOKUP(C635,CU_ARS_2025_WOF_F2!$A$2:$K$673,10,FALSE)</f>
        <v>0</v>
      </c>
      <c r="X635">
        <f>VLOOKUP(C635,CU_ARS_2025_WOF_F2!$A$2:$K$673,11,FALSE)</f>
        <v>31</v>
      </c>
      <c r="Y635" t="str">
        <f>VLOOKUP(Q635,cross_pedigree!$A$2:$B$23,2,FALSE)</f>
        <v>Gerard 227/AURORA</v>
      </c>
    </row>
    <row r="636" spans="1:25" ht="18">
      <c r="A636" s="21" t="s">
        <v>15</v>
      </c>
      <c r="B636" s="21" t="s">
        <v>16</v>
      </c>
      <c r="C636" s="22">
        <v>753444</v>
      </c>
      <c r="D636" s="23">
        <v>7</v>
      </c>
      <c r="E636" s="24" t="str">
        <f t="shared" si="9"/>
        <v>CU_ARS_2025_WOF_F2_4_plant_30</v>
      </c>
      <c r="F636" s="21" t="s">
        <v>172</v>
      </c>
      <c r="G636" s="44">
        <v>59</v>
      </c>
      <c r="H636" s="42"/>
      <c r="I636" s="42" t="s">
        <v>1016</v>
      </c>
      <c r="J636" s="42" t="s">
        <v>1003</v>
      </c>
      <c r="K636" s="42"/>
      <c r="L636" s="42"/>
      <c r="M636" s="42"/>
      <c r="N636" t="str">
        <f>VLOOKUP(C636,CU_ARS_2025_WOF_F2!$A$2:$K$673,2,FALSE)</f>
        <v>CU_ARS_2025_WOF_F2_4_plant_30</v>
      </c>
      <c r="O636" t="str">
        <f>VLOOKUP(C636,CU_ARS_2025_WOF_F2!$A$2:$K$673,2,FALSE)</f>
        <v>CU_ARS_2025_WOF_F2_4_plant_30</v>
      </c>
      <c r="P636" t="str">
        <f>VLOOKUP(C636,CU_ARS_2025_WOF_F2!$A$2:$K$673,3,FALSE)</f>
        <v>CU_ARS_2025_WOF_F2_4</v>
      </c>
      <c r="Q636" t="str">
        <f>VLOOKUP(C636,CU_ARS_2025_WOF_F2!$A$2:$K$673,4,FALSE)</f>
        <v>CU_ARS_2025_WOF_cross_19</v>
      </c>
      <c r="R636">
        <f>VLOOKUP(C636,CU_ARS_2025_WOF_F2!$A$2:$K$673,5,FALSE)</f>
        <v>4</v>
      </c>
      <c r="S636">
        <f>VLOOKUP(C636,CU_ARS_2025_WOF_F2!$A$2:$K$673,6,FALSE)</f>
        <v>1</v>
      </c>
      <c r="T636">
        <f>VLOOKUP(C636,CU_ARS_2025_WOF_F2!$A$2:$K$673,7,FALSE)</f>
        <v>0</v>
      </c>
      <c r="U636">
        <f>VLOOKUP(C636,CU_ARS_2025_WOF_F2!$A$2:$K$673,8,FALSE)</f>
        <v>1</v>
      </c>
      <c r="V636">
        <f>VLOOKUP(C636,CU_ARS_2025_WOF_F2!$A$2:$K$673,9,FALSE)</f>
        <v>0</v>
      </c>
      <c r="W636">
        <f>VLOOKUP(C636,CU_ARS_2025_WOF_F2!$A$2:$K$673,10,FALSE)</f>
        <v>0</v>
      </c>
      <c r="X636">
        <f>VLOOKUP(C636,CU_ARS_2025_WOF_F2!$A$2:$K$673,11,FALSE)</f>
        <v>30</v>
      </c>
      <c r="Y636" t="str">
        <f>VLOOKUP(Q636,cross_pedigree!$A$2:$B$23,2,FALSE)</f>
        <v>Gerard 227/AURORA</v>
      </c>
    </row>
    <row r="637" spans="1:25" ht="18">
      <c r="A637" s="21" t="s">
        <v>15</v>
      </c>
      <c r="B637" s="21" t="s">
        <v>16</v>
      </c>
      <c r="C637" s="22">
        <v>753436</v>
      </c>
      <c r="D637" s="23">
        <v>7</v>
      </c>
      <c r="E637" s="24" t="str">
        <f t="shared" si="9"/>
        <v>CU_ARS_2025_WOF_F2_4_plant_22</v>
      </c>
      <c r="F637" s="21" t="s">
        <v>174</v>
      </c>
      <c r="G637" s="44">
        <v>60</v>
      </c>
      <c r="H637" s="42"/>
      <c r="I637" s="42" t="s">
        <v>1016</v>
      </c>
      <c r="J637" s="42" t="s">
        <v>1003</v>
      </c>
      <c r="K637" s="42"/>
      <c r="L637" s="42"/>
      <c r="M637" s="42"/>
      <c r="N637" t="str">
        <f>VLOOKUP(C637,CU_ARS_2025_WOF_F2!$A$2:$K$673,2,FALSE)</f>
        <v>CU_ARS_2025_WOF_F2_4_plant_22</v>
      </c>
      <c r="O637" t="str">
        <f>VLOOKUP(C637,CU_ARS_2025_WOF_F2!$A$2:$K$673,2,FALSE)</f>
        <v>CU_ARS_2025_WOF_F2_4_plant_22</v>
      </c>
      <c r="P637" t="str">
        <f>VLOOKUP(C637,CU_ARS_2025_WOF_F2!$A$2:$K$673,3,FALSE)</f>
        <v>CU_ARS_2025_WOF_F2_4</v>
      </c>
      <c r="Q637" t="str">
        <f>VLOOKUP(C637,CU_ARS_2025_WOF_F2!$A$2:$K$673,4,FALSE)</f>
        <v>CU_ARS_2025_WOF_cross_19</v>
      </c>
      <c r="R637">
        <f>VLOOKUP(C637,CU_ARS_2025_WOF_F2!$A$2:$K$673,5,FALSE)</f>
        <v>4</v>
      </c>
      <c r="S637">
        <f>VLOOKUP(C637,CU_ARS_2025_WOF_F2!$A$2:$K$673,6,FALSE)</f>
        <v>1</v>
      </c>
      <c r="T637">
        <f>VLOOKUP(C637,CU_ARS_2025_WOF_F2!$A$2:$K$673,7,FALSE)</f>
        <v>0</v>
      </c>
      <c r="U637">
        <f>VLOOKUP(C637,CU_ARS_2025_WOF_F2!$A$2:$K$673,8,FALSE)</f>
        <v>1</v>
      </c>
      <c r="V637">
        <f>VLOOKUP(C637,CU_ARS_2025_WOF_F2!$A$2:$K$673,9,FALSE)</f>
        <v>0</v>
      </c>
      <c r="W637">
        <f>VLOOKUP(C637,CU_ARS_2025_WOF_F2!$A$2:$K$673,10,FALSE)</f>
        <v>0</v>
      </c>
      <c r="X637">
        <f>VLOOKUP(C637,CU_ARS_2025_WOF_F2!$A$2:$K$673,11,FALSE)</f>
        <v>22</v>
      </c>
      <c r="Y637" t="str">
        <f>VLOOKUP(Q637,cross_pedigree!$A$2:$B$23,2,FALSE)</f>
        <v>Gerard 227/AURORA</v>
      </c>
    </row>
    <row r="638" spans="1:25" ht="18">
      <c r="A638" s="21" t="s">
        <v>15</v>
      </c>
      <c r="B638" s="21" t="s">
        <v>16</v>
      </c>
      <c r="C638" s="22">
        <v>753437</v>
      </c>
      <c r="D638" s="23">
        <v>7</v>
      </c>
      <c r="E638" s="24" t="str">
        <f t="shared" si="9"/>
        <v>CU_ARS_2025_WOF_F2_4_plant_23</v>
      </c>
      <c r="F638" s="21" t="s">
        <v>176</v>
      </c>
      <c r="G638" s="44">
        <v>61</v>
      </c>
      <c r="H638" s="42"/>
      <c r="I638" s="42" t="s">
        <v>1016</v>
      </c>
      <c r="J638" s="42" t="s">
        <v>1003</v>
      </c>
      <c r="K638" s="42"/>
      <c r="L638" s="42"/>
      <c r="M638" s="42"/>
      <c r="N638" t="str">
        <f>VLOOKUP(C638,CU_ARS_2025_WOF_F2!$A$2:$K$673,2,FALSE)</f>
        <v>CU_ARS_2025_WOF_F2_4_plant_23</v>
      </c>
      <c r="O638" t="str">
        <f>VLOOKUP(C638,CU_ARS_2025_WOF_F2!$A$2:$K$673,2,FALSE)</f>
        <v>CU_ARS_2025_WOF_F2_4_plant_23</v>
      </c>
      <c r="P638" t="str">
        <f>VLOOKUP(C638,CU_ARS_2025_WOF_F2!$A$2:$K$673,3,FALSE)</f>
        <v>CU_ARS_2025_WOF_F2_4</v>
      </c>
      <c r="Q638" t="str">
        <f>VLOOKUP(C638,CU_ARS_2025_WOF_F2!$A$2:$K$673,4,FALSE)</f>
        <v>CU_ARS_2025_WOF_cross_19</v>
      </c>
      <c r="R638">
        <f>VLOOKUP(C638,CU_ARS_2025_WOF_F2!$A$2:$K$673,5,FALSE)</f>
        <v>4</v>
      </c>
      <c r="S638">
        <f>VLOOKUP(C638,CU_ARS_2025_WOF_F2!$A$2:$K$673,6,FALSE)</f>
        <v>1</v>
      </c>
      <c r="T638">
        <f>VLOOKUP(C638,CU_ARS_2025_WOF_F2!$A$2:$K$673,7,FALSE)</f>
        <v>0</v>
      </c>
      <c r="U638">
        <f>VLOOKUP(C638,CU_ARS_2025_WOF_F2!$A$2:$K$673,8,FALSE)</f>
        <v>1</v>
      </c>
      <c r="V638">
        <f>VLOOKUP(C638,CU_ARS_2025_WOF_F2!$A$2:$K$673,9,FALSE)</f>
        <v>0</v>
      </c>
      <c r="W638">
        <f>VLOOKUP(C638,CU_ARS_2025_WOF_F2!$A$2:$K$673,10,FALSE)</f>
        <v>0</v>
      </c>
      <c r="X638">
        <f>VLOOKUP(C638,CU_ARS_2025_WOF_F2!$A$2:$K$673,11,FALSE)</f>
        <v>23</v>
      </c>
      <c r="Y638" t="str">
        <f>VLOOKUP(Q638,cross_pedigree!$A$2:$B$23,2,FALSE)</f>
        <v>Gerard 227/AURORA</v>
      </c>
    </row>
    <row r="639" spans="1:25" ht="18">
      <c r="A639" s="21" t="s">
        <v>15</v>
      </c>
      <c r="B639" s="21" t="s">
        <v>16</v>
      </c>
      <c r="C639" s="22">
        <v>753438</v>
      </c>
      <c r="D639" s="23">
        <v>7</v>
      </c>
      <c r="E639" s="24" t="str">
        <f t="shared" si="9"/>
        <v>CU_ARS_2025_WOF_F2_4_plant_24</v>
      </c>
      <c r="F639" s="21" t="s">
        <v>178</v>
      </c>
      <c r="G639" s="44">
        <v>62</v>
      </c>
      <c r="H639" s="42"/>
      <c r="I639" s="42" t="s">
        <v>1016</v>
      </c>
      <c r="J639" s="42" t="s">
        <v>1003</v>
      </c>
      <c r="K639" s="42"/>
      <c r="L639" s="42"/>
      <c r="M639" s="42"/>
      <c r="N639" t="str">
        <f>VLOOKUP(C639,CU_ARS_2025_WOF_F2!$A$2:$K$673,2,FALSE)</f>
        <v>CU_ARS_2025_WOF_F2_4_plant_24</v>
      </c>
      <c r="O639" t="str">
        <f>VLOOKUP(C639,CU_ARS_2025_WOF_F2!$A$2:$K$673,2,FALSE)</f>
        <v>CU_ARS_2025_WOF_F2_4_plant_24</v>
      </c>
      <c r="P639" t="str">
        <f>VLOOKUP(C639,CU_ARS_2025_WOF_F2!$A$2:$K$673,3,FALSE)</f>
        <v>CU_ARS_2025_WOF_F2_4</v>
      </c>
      <c r="Q639" t="str">
        <f>VLOOKUP(C639,CU_ARS_2025_WOF_F2!$A$2:$K$673,4,FALSE)</f>
        <v>CU_ARS_2025_WOF_cross_19</v>
      </c>
      <c r="R639">
        <f>VLOOKUP(C639,CU_ARS_2025_WOF_F2!$A$2:$K$673,5,FALSE)</f>
        <v>4</v>
      </c>
      <c r="S639">
        <f>VLOOKUP(C639,CU_ARS_2025_WOF_F2!$A$2:$K$673,6,FALSE)</f>
        <v>1</v>
      </c>
      <c r="T639">
        <f>VLOOKUP(C639,CU_ARS_2025_WOF_F2!$A$2:$K$673,7,FALSE)</f>
        <v>0</v>
      </c>
      <c r="U639">
        <f>VLOOKUP(C639,CU_ARS_2025_WOF_F2!$A$2:$K$673,8,FALSE)</f>
        <v>1</v>
      </c>
      <c r="V639">
        <f>VLOOKUP(C639,CU_ARS_2025_WOF_F2!$A$2:$K$673,9,FALSE)</f>
        <v>0</v>
      </c>
      <c r="W639">
        <f>VLOOKUP(C639,CU_ARS_2025_WOF_F2!$A$2:$K$673,10,FALSE)</f>
        <v>0</v>
      </c>
      <c r="X639">
        <f>VLOOKUP(C639,CU_ARS_2025_WOF_F2!$A$2:$K$673,11,FALSE)</f>
        <v>24</v>
      </c>
      <c r="Y639" t="str">
        <f>VLOOKUP(Q639,cross_pedigree!$A$2:$B$23,2,FALSE)</f>
        <v>Gerard 227/AURORA</v>
      </c>
    </row>
    <row r="640" spans="1:25" ht="18">
      <c r="A640" s="21" t="s">
        <v>15</v>
      </c>
      <c r="B640" s="21" t="s">
        <v>16</v>
      </c>
      <c r="C640" s="22">
        <v>753420</v>
      </c>
      <c r="D640" s="23">
        <v>7</v>
      </c>
      <c r="E640" s="24" t="str">
        <f t="shared" si="9"/>
        <v>CU_ARS_2025_WOF_F2_4_plant_6</v>
      </c>
      <c r="F640" s="21" t="s">
        <v>180</v>
      </c>
      <c r="G640" s="44">
        <v>63</v>
      </c>
      <c r="H640" s="42"/>
      <c r="I640" s="42" t="s">
        <v>1016</v>
      </c>
      <c r="J640" s="42" t="s">
        <v>1003</v>
      </c>
      <c r="K640" s="42"/>
      <c r="L640" s="42"/>
      <c r="M640" s="42"/>
      <c r="N640" t="str">
        <f>VLOOKUP(C640,CU_ARS_2025_WOF_F2!$A$2:$K$673,2,FALSE)</f>
        <v>CU_ARS_2025_WOF_F2_4_plant_6</v>
      </c>
      <c r="O640" t="str">
        <f>VLOOKUP(C640,CU_ARS_2025_WOF_F2!$A$2:$K$673,2,FALSE)</f>
        <v>CU_ARS_2025_WOF_F2_4_plant_6</v>
      </c>
      <c r="P640" t="str">
        <f>VLOOKUP(C640,CU_ARS_2025_WOF_F2!$A$2:$K$673,3,FALSE)</f>
        <v>CU_ARS_2025_WOF_F2_4</v>
      </c>
      <c r="Q640" t="str">
        <f>VLOOKUP(C640,CU_ARS_2025_WOF_F2!$A$2:$K$673,4,FALSE)</f>
        <v>CU_ARS_2025_WOF_cross_19</v>
      </c>
      <c r="R640">
        <f>VLOOKUP(C640,CU_ARS_2025_WOF_F2!$A$2:$K$673,5,FALSE)</f>
        <v>4</v>
      </c>
      <c r="S640">
        <f>VLOOKUP(C640,CU_ARS_2025_WOF_F2!$A$2:$K$673,6,FALSE)</f>
        <v>1</v>
      </c>
      <c r="T640">
        <f>VLOOKUP(C640,CU_ARS_2025_WOF_F2!$A$2:$K$673,7,FALSE)</f>
        <v>0</v>
      </c>
      <c r="U640">
        <f>VLOOKUP(C640,CU_ARS_2025_WOF_F2!$A$2:$K$673,8,FALSE)</f>
        <v>1</v>
      </c>
      <c r="V640">
        <f>VLOOKUP(C640,CU_ARS_2025_WOF_F2!$A$2:$K$673,9,FALSE)</f>
        <v>0</v>
      </c>
      <c r="W640">
        <f>VLOOKUP(C640,CU_ARS_2025_WOF_F2!$A$2:$K$673,10,FALSE)</f>
        <v>0</v>
      </c>
      <c r="X640">
        <f>VLOOKUP(C640,CU_ARS_2025_WOF_F2!$A$2:$K$673,11,FALSE)</f>
        <v>6</v>
      </c>
      <c r="Y640" t="str">
        <f>VLOOKUP(Q640,cross_pedigree!$A$2:$B$23,2,FALSE)</f>
        <v>Gerard 227/AURORA</v>
      </c>
    </row>
    <row r="641" spans="1:25" ht="18">
      <c r="A641" s="21" t="s">
        <v>15</v>
      </c>
      <c r="B641" s="21" t="s">
        <v>16</v>
      </c>
      <c r="C641" s="22">
        <v>753421</v>
      </c>
      <c r="D641" s="23">
        <v>7</v>
      </c>
      <c r="E641" s="24" t="str">
        <f t="shared" si="9"/>
        <v>CU_ARS_2025_WOF_F2_4_plant_7</v>
      </c>
      <c r="F641" s="21" t="s">
        <v>182</v>
      </c>
      <c r="G641" s="44">
        <v>64</v>
      </c>
      <c r="H641" s="42"/>
      <c r="I641" s="42" t="s">
        <v>1016</v>
      </c>
      <c r="J641" s="42" t="s">
        <v>1003</v>
      </c>
      <c r="K641" s="42"/>
      <c r="L641" s="42"/>
      <c r="M641" s="42"/>
      <c r="N641" t="str">
        <f>VLOOKUP(C641,CU_ARS_2025_WOF_F2!$A$2:$K$673,2,FALSE)</f>
        <v>CU_ARS_2025_WOF_F2_4_plant_7</v>
      </c>
      <c r="O641" t="str">
        <f>VLOOKUP(C641,CU_ARS_2025_WOF_F2!$A$2:$K$673,2,FALSE)</f>
        <v>CU_ARS_2025_WOF_F2_4_plant_7</v>
      </c>
      <c r="P641" t="str">
        <f>VLOOKUP(C641,CU_ARS_2025_WOF_F2!$A$2:$K$673,3,FALSE)</f>
        <v>CU_ARS_2025_WOF_F2_4</v>
      </c>
      <c r="Q641" t="str">
        <f>VLOOKUP(C641,CU_ARS_2025_WOF_F2!$A$2:$K$673,4,FALSE)</f>
        <v>CU_ARS_2025_WOF_cross_19</v>
      </c>
      <c r="R641">
        <f>VLOOKUP(C641,CU_ARS_2025_WOF_F2!$A$2:$K$673,5,FALSE)</f>
        <v>4</v>
      </c>
      <c r="S641">
        <f>VLOOKUP(C641,CU_ARS_2025_WOF_F2!$A$2:$K$673,6,FALSE)</f>
        <v>1</v>
      </c>
      <c r="T641">
        <f>VLOOKUP(C641,CU_ARS_2025_WOF_F2!$A$2:$K$673,7,FALSE)</f>
        <v>0</v>
      </c>
      <c r="U641">
        <f>VLOOKUP(C641,CU_ARS_2025_WOF_F2!$A$2:$K$673,8,FALSE)</f>
        <v>1</v>
      </c>
      <c r="V641">
        <f>VLOOKUP(C641,CU_ARS_2025_WOF_F2!$A$2:$K$673,9,FALSE)</f>
        <v>0</v>
      </c>
      <c r="W641">
        <f>VLOOKUP(C641,CU_ARS_2025_WOF_F2!$A$2:$K$673,10,FALSE)</f>
        <v>0</v>
      </c>
      <c r="X641">
        <f>VLOOKUP(C641,CU_ARS_2025_WOF_F2!$A$2:$K$673,11,FALSE)</f>
        <v>7</v>
      </c>
      <c r="Y641" t="str">
        <f>VLOOKUP(Q641,cross_pedigree!$A$2:$B$23,2,FALSE)</f>
        <v>Gerard 227/AURORA</v>
      </c>
    </row>
    <row r="642" spans="1:25" ht="18">
      <c r="A642" s="21" t="s">
        <v>15</v>
      </c>
      <c r="B642" s="21" t="s">
        <v>16</v>
      </c>
      <c r="C642" s="22">
        <v>753422</v>
      </c>
      <c r="D642" s="23">
        <v>7</v>
      </c>
      <c r="E642" s="24" t="str">
        <f t="shared" si="9"/>
        <v>CU_ARS_2025_WOF_F2_4_plant_8</v>
      </c>
      <c r="F642" s="21" t="s">
        <v>39</v>
      </c>
      <c r="G642" s="44">
        <v>65</v>
      </c>
      <c r="H642" s="42"/>
      <c r="I642" s="42" t="s">
        <v>1016</v>
      </c>
      <c r="J642" s="42" t="s">
        <v>1003</v>
      </c>
      <c r="K642" s="42"/>
      <c r="L642" s="42"/>
      <c r="M642" s="42"/>
      <c r="N642" t="str">
        <f>VLOOKUP(C642,CU_ARS_2025_WOF_F2!$A$2:$K$673,2,FALSE)</f>
        <v>CU_ARS_2025_WOF_F2_4_plant_8</v>
      </c>
      <c r="O642" t="str">
        <f>VLOOKUP(C642,CU_ARS_2025_WOF_F2!$A$2:$K$673,2,FALSE)</f>
        <v>CU_ARS_2025_WOF_F2_4_plant_8</v>
      </c>
      <c r="P642" t="str">
        <f>VLOOKUP(C642,CU_ARS_2025_WOF_F2!$A$2:$K$673,3,FALSE)</f>
        <v>CU_ARS_2025_WOF_F2_4</v>
      </c>
      <c r="Q642" t="str">
        <f>VLOOKUP(C642,CU_ARS_2025_WOF_F2!$A$2:$K$673,4,FALSE)</f>
        <v>CU_ARS_2025_WOF_cross_19</v>
      </c>
      <c r="R642">
        <f>VLOOKUP(C642,CU_ARS_2025_WOF_F2!$A$2:$K$673,5,FALSE)</f>
        <v>4</v>
      </c>
      <c r="S642">
        <f>VLOOKUP(C642,CU_ARS_2025_WOF_F2!$A$2:$K$673,6,FALSE)</f>
        <v>1</v>
      </c>
      <c r="T642">
        <f>VLOOKUP(C642,CU_ARS_2025_WOF_F2!$A$2:$K$673,7,FALSE)</f>
        <v>0</v>
      </c>
      <c r="U642">
        <f>VLOOKUP(C642,CU_ARS_2025_WOF_F2!$A$2:$K$673,8,FALSE)</f>
        <v>1</v>
      </c>
      <c r="V642">
        <f>VLOOKUP(C642,CU_ARS_2025_WOF_F2!$A$2:$K$673,9,FALSE)</f>
        <v>0</v>
      </c>
      <c r="W642">
        <f>VLOOKUP(C642,CU_ARS_2025_WOF_F2!$A$2:$K$673,10,FALSE)</f>
        <v>0</v>
      </c>
      <c r="X642">
        <f>VLOOKUP(C642,CU_ARS_2025_WOF_F2!$A$2:$K$673,11,FALSE)</f>
        <v>8</v>
      </c>
      <c r="Y642" t="str">
        <f>VLOOKUP(Q642,cross_pedigree!$A$2:$B$23,2,FALSE)</f>
        <v>Gerard 227/AURORA</v>
      </c>
    </row>
    <row r="643" spans="1:25" ht="18">
      <c r="A643" s="21" t="s">
        <v>15</v>
      </c>
      <c r="B643" s="21" t="s">
        <v>16</v>
      </c>
      <c r="C643" s="22">
        <v>753430</v>
      </c>
      <c r="D643" s="23">
        <v>7</v>
      </c>
      <c r="E643" s="24" t="str">
        <f t="shared" ref="E643:E673" si="10">O643</f>
        <v>CU_ARS_2025_WOF_F2_4_plant_16</v>
      </c>
      <c r="F643" s="21" t="s">
        <v>41</v>
      </c>
      <c r="G643" s="44">
        <v>66</v>
      </c>
      <c r="H643" s="42"/>
      <c r="I643" s="42" t="s">
        <v>1016</v>
      </c>
      <c r="J643" s="42" t="s">
        <v>1003</v>
      </c>
      <c r="K643" s="42"/>
      <c r="L643" s="42"/>
      <c r="M643" s="42"/>
      <c r="N643" t="str">
        <f>VLOOKUP(C643,CU_ARS_2025_WOF_F2!$A$2:$K$673,2,FALSE)</f>
        <v>CU_ARS_2025_WOF_F2_4_plant_16</v>
      </c>
      <c r="O643" t="str">
        <f>VLOOKUP(C643,CU_ARS_2025_WOF_F2!$A$2:$K$673,2,FALSE)</f>
        <v>CU_ARS_2025_WOF_F2_4_plant_16</v>
      </c>
      <c r="P643" t="str">
        <f>VLOOKUP(C643,CU_ARS_2025_WOF_F2!$A$2:$K$673,3,FALSE)</f>
        <v>CU_ARS_2025_WOF_F2_4</v>
      </c>
      <c r="Q643" t="str">
        <f>VLOOKUP(C643,CU_ARS_2025_WOF_F2!$A$2:$K$673,4,FALSE)</f>
        <v>CU_ARS_2025_WOF_cross_19</v>
      </c>
      <c r="R643">
        <f>VLOOKUP(C643,CU_ARS_2025_WOF_F2!$A$2:$K$673,5,FALSE)</f>
        <v>4</v>
      </c>
      <c r="S643">
        <f>VLOOKUP(C643,CU_ARS_2025_WOF_F2!$A$2:$K$673,6,FALSE)</f>
        <v>1</v>
      </c>
      <c r="T643">
        <f>VLOOKUP(C643,CU_ARS_2025_WOF_F2!$A$2:$K$673,7,FALSE)</f>
        <v>0</v>
      </c>
      <c r="U643">
        <f>VLOOKUP(C643,CU_ARS_2025_WOF_F2!$A$2:$K$673,8,FALSE)</f>
        <v>1</v>
      </c>
      <c r="V643">
        <f>VLOOKUP(C643,CU_ARS_2025_WOF_F2!$A$2:$K$673,9,FALSE)</f>
        <v>0</v>
      </c>
      <c r="W643">
        <f>VLOOKUP(C643,CU_ARS_2025_WOF_F2!$A$2:$K$673,10,FALSE)</f>
        <v>0</v>
      </c>
      <c r="X643">
        <f>VLOOKUP(C643,CU_ARS_2025_WOF_F2!$A$2:$K$673,11,FALSE)</f>
        <v>16</v>
      </c>
      <c r="Y643" t="str">
        <f>VLOOKUP(Q643,cross_pedigree!$A$2:$B$23,2,FALSE)</f>
        <v>Gerard 227/AURORA</v>
      </c>
    </row>
    <row r="644" spans="1:25" ht="18">
      <c r="A644" s="21" t="s">
        <v>15</v>
      </c>
      <c r="B644" s="21" t="s">
        <v>16</v>
      </c>
      <c r="C644" s="22">
        <v>753429</v>
      </c>
      <c r="D644" s="23">
        <v>7</v>
      </c>
      <c r="E644" s="24" t="str">
        <f t="shared" si="10"/>
        <v>CU_ARS_2025_WOF_F2_4_plant_15</v>
      </c>
      <c r="F644" s="21" t="s">
        <v>184</v>
      </c>
      <c r="G644" s="44">
        <v>67</v>
      </c>
      <c r="H644" s="42"/>
      <c r="I644" s="42" t="s">
        <v>1016</v>
      </c>
      <c r="J644" s="42" t="s">
        <v>1003</v>
      </c>
      <c r="K644" s="42"/>
      <c r="L644" s="42"/>
      <c r="M644" s="42"/>
      <c r="N644" t="str">
        <f>VLOOKUP(C644,CU_ARS_2025_WOF_F2!$A$2:$K$673,2,FALSE)</f>
        <v>CU_ARS_2025_WOF_F2_4_plant_15</v>
      </c>
      <c r="O644" t="str">
        <f>VLOOKUP(C644,CU_ARS_2025_WOF_F2!$A$2:$K$673,2,FALSE)</f>
        <v>CU_ARS_2025_WOF_F2_4_plant_15</v>
      </c>
      <c r="P644" t="str">
        <f>VLOOKUP(C644,CU_ARS_2025_WOF_F2!$A$2:$K$673,3,FALSE)</f>
        <v>CU_ARS_2025_WOF_F2_4</v>
      </c>
      <c r="Q644" t="str">
        <f>VLOOKUP(C644,CU_ARS_2025_WOF_F2!$A$2:$K$673,4,FALSE)</f>
        <v>CU_ARS_2025_WOF_cross_19</v>
      </c>
      <c r="R644">
        <f>VLOOKUP(C644,CU_ARS_2025_WOF_F2!$A$2:$K$673,5,FALSE)</f>
        <v>4</v>
      </c>
      <c r="S644">
        <f>VLOOKUP(C644,CU_ARS_2025_WOF_F2!$A$2:$K$673,6,FALSE)</f>
        <v>1</v>
      </c>
      <c r="T644">
        <f>VLOOKUP(C644,CU_ARS_2025_WOF_F2!$A$2:$K$673,7,FALSE)</f>
        <v>0</v>
      </c>
      <c r="U644">
        <f>VLOOKUP(C644,CU_ARS_2025_WOF_F2!$A$2:$K$673,8,FALSE)</f>
        <v>1</v>
      </c>
      <c r="V644">
        <f>VLOOKUP(C644,CU_ARS_2025_WOF_F2!$A$2:$K$673,9,FALSE)</f>
        <v>0</v>
      </c>
      <c r="W644">
        <f>VLOOKUP(C644,CU_ARS_2025_WOF_F2!$A$2:$K$673,10,FALSE)</f>
        <v>0</v>
      </c>
      <c r="X644">
        <f>VLOOKUP(C644,CU_ARS_2025_WOF_F2!$A$2:$K$673,11,FALSE)</f>
        <v>15</v>
      </c>
      <c r="Y644" t="str">
        <f>VLOOKUP(Q644,cross_pedigree!$A$2:$B$23,2,FALSE)</f>
        <v>Gerard 227/AURORA</v>
      </c>
    </row>
    <row r="645" spans="1:25" ht="18">
      <c r="A645" s="21" t="s">
        <v>15</v>
      </c>
      <c r="B645" s="21" t="s">
        <v>16</v>
      </c>
      <c r="C645" s="22">
        <v>753428</v>
      </c>
      <c r="D645" s="23">
        <v>7</v>
      </c>
      <c r="E645" s="24" t="str">
        <f t="shared" si="10"/>
        <v>CU_ARS_2025_WOF_F2_4_plant_14</v>
      </c>
      <c r="F645" s="21" t="s">
        <v>186</v>
      </c>
      <c r="G645" s="44">
        <v>68</v>
      </c>
      <c r="H645" s="42"/>
      <c r="I645" s="42" t="s">
        <v>1016</v>
      </c>
      <c r="J645" s="42" t="s">
        <v>1003</v>
      </c>
      <c r="K645" s="42"/>
      <c r="L645" s="42"/>
      <c r="M645" s="42"/>
      <c r="N645" t="str">
        <f>VLOOKUP(C645,CU_ARS_2025_WOF_F2!$A$2:$K$673,2,FALSE)</f>
        <v>CU_ARS_2025_WOF_F2_4_plant_14</v>
      </c>
      <c r="O645" t="str">
        <f>VLOOKUP(C645,CU_ARS_2025_WOF_F2!$A$2:$K$673,2,FALSE)</f>
        <v>CU_ARS_2025_WOF_F2_4_plant_14</v>
      </c>
      <c r="P645" t="str">
        <f>VLOOKUP(C645,CU_ARS_2025_WOF_F2!$A$2:$K$673,3,FALSE)</f>
        <v>CU_ARS_2025_WOF_F2_4</v>
      </c>
      <c r="Q645" t="str">
        <f>VLOOKUP(C645,CU_ARS_2025_WOF_F2!$A$2:$K$673,4,FALSE)</f>
        <v>CU_ARS_2025_WOF_cross_19</v>
      </c>
      <c r="R645">
        <f>VLOOKUP(C645,CU_ARS_2025_WOF_F2!$A$2:$K$673,5,FALSE)</f>
        <v>4</v>
      </c>
      <c r="S645">
        <f>VLOOKUP(C645,CU_ARS_2025_WOF_F2!$A$2:$K$673,6,FALSE)</f>
        <v>1</v>
      </c>
      <c r="T645">
        <f>VLOOKUP(C645,CU_ARS_2025_WOF_F2!$A$2:$K$673,7,FALSE)</f>
        <v>0</v>
      </c>
      <c r="U645">
        <f>VLOOKUP(C645,CU_ARS_2025_WOF_F2!$A$2:$K$673,8,FALSE)</f>
        <v>1</v>
      </c>
      <c r="V645">
        <f>VLOOKUP(C645,CU_ARS_2025_WOF_F2!$A$2:$K$673,9,FALSE)</f>
        <v>0</v>
      </c>
      <c r="W645">
        <f>VLOOKUP(C645,CU_ARS_2025_WOF_F2!$A$2:$K$673,10,FALSE)</f>
        <v>0</v>
      </c>
      <c r="X645">
        <f>VLOOKUP(C645,CU_ARS_2025_WOF_F2!$A$2:$K$673,11,FALSE)</f>
        <v>14</v>
      </c>
      <c r="Y645" t="str">
        <f>VLOOKUP(Q645,cross_pedigree!$A$2:$B$23,2,FALSE)</f>
        <v>Gerard 227/AURORA</v>
      </c>
    </row>
    <row r="646" spans="1:25" ht="18">
      <c r="A646" s="21" t="s">
        <v>15</v>
      </c>
      <c r="B646" s="21" t="s">
        <v>16</v>
      </c>
      <c r="C646" s="22">
        <v>753415</v>
      </c>
      <c r="D646" s="23">
        <v>7</v>
      </c>
      <c r="E646" s="24" t="str">
        <f t="shared" si="10"/>
        <v>CU_ARS_2025_WOF_F2_4_plant_1</v>
      </c>
      <c r="F646" s="21" t="s">
        <v>188</v>
      </c>
      <c r="G646" s="44">
        <v>69</v>
      </c>
      <c r="H646" s="42"/>
      <c r="I646" s="42" t="s">
        <v>1016</v>
      </c>
      <c r="J646" s="42" t="s">
        <v>1003</v>
      </c>
      <c r="K646" s="42"/>
      <c r="L646" s="42"/>
      <c r="M646" s="42"/>
      <c r="N646" t="str">
        <f>VLOOKUP(C646,CU_ARS_2025_WOF_F2!$A$2:$K$673,2,FALSE)</f>
        <v>CU_ARS_2025_WOF_F2_4_plant_1</v>
      </c>
      <c r="O646" t="str">
        <f>VLOOKUP(C646,CU_ARS_2025_WOF_F2!$A$2:$K$673,2,FALSE)</f>
        <v>CU_ARS_2025_WOF_F2_4_plant_1</v>
      </c>
      <c r="P646" t="str">
        <f>VLOOKUP(C646,CU_ARS_2025_WOF_F2!$A$2:$K$673,3,FALSE)</f>
        <v>CU_ARS_2025_WOF_F2_4</v>
      </c>
      <c r="Q646" t="str">
        <f>VLOOKUP(C646,CU_ARS_2025_WOF_F2!$A$2:$K$673,4,FALSE)</f>
        <v>CU_ARS_2025_WOF_cross_19</v>
      </c>
      <c r="R646">
        <f>VLOOKUP(C646,CU_ARS_2025_WOF_F2!$A$2:$K$673,5,FALSE)</f>
        <v>4</v>
      </c>
      <c r="S646">
        <f>VLOOKUP(C646,CU_ARS_2025_WOF_F2!$A$2:$K$673,6,FALSE)</f>
        <v>1</v>
      </c>
      <c r="T646">
        <f>VLOOKUP(C646,CU_ARS_2025_WOF_F2!$A$2:$K$673,7,FALSE)</f>
        <v>0</v>
      </c>
      <c r="U646">
        <f>VLOOKUP(C646,CU_ARS_2025_WOF_F2!$A$2:$K$673,8,FALSE)</f>
        <v>1</v>
      </c>
      <c r="V646">
        <f>VLOOKUP(C646,CU_ARS_2025_WOF_F2!$A$2:$K$673,9,FALSE)</f>
        <v>0</v>
      </c>
      <c r="W646">
        <f>VLOOKUP(C646,CU_ARS_2025_WOF_F2!$A$2:$K$673,10,FALSE)</f>
        <v>0</v>
      </c>
      <c r="X646">
        <f>VLOOKUP(C646,CU_ARS_2025_WOF_F2!$A$2:$K$673,11,FALSE)</f>
        <v>1</v>
      </c>
      <c r="Y646" t="str">
        <f>VLOOKUP(Q646,cross_pedigree!$A$2:$B$23,2,FALSE)</f>
        <v>Gerard 227/AURORA</v>
      </c>
    </row>
    <row r="647" spans="1:25" ht="18">
      <c r="A647" s="21" t="s">
        <v>15</v>
      </c>
      <c r="B647" s="21" t="s">
        <v>16</v>
      </c>
      <c r="C647" s="22">
        <v>753416</v>
      </c>
      <c r="D647" s="23">
        <v>7</v>
      </c>
      <c r="E647" s="24" t="str">
        <f t="shared" si="10"/>
        <v>CU_ARS_2025_WOF_F2_4_plant_2</v>
      </c>
      <c r="F647" s="21" t="s">
        <v>190</v>
      </c>
      <c r="G647" s="44">
        <v>70</v>
      </c>
      <c r="H647" s="42"/>
      <c r="I647" s="42" t="s">
        <v>1016</v>
      </c>
      <c r="J647" s="42" t="s">
        <v>1003</v>
      </c>
      <c r="K647" s="42"/>
      <c r="L647" s="42"/>
      <c r="M647" s="42"/>
      <c r="N647" t="str">
        <f>VLOOKUP(C647,CU_ARS_2025_WOF_F2!$A$2:$K$673,2,FALSE)</f>
        <v>CU_ARS_2025_WOF_F2_4_plant_2</v>
      </c>
      <c r="O647" t="str">
        <f>VLOOKUP(C647,CU_ARS_2025_WOF_F2!$A$2:$K$673,2,FALSE)</f>
        <v>CU_ARS_2025_WOF_F2_4_plant_2</v>
      </c>
      <c r="P647" t="str">
        <f>VLOOKUP(C647,CU_ARS_2025_WOF_F2!$A$2:$K$673,3,FALSE)</f>
        <v>CU_ARS_2025_WOF_F2_4</v>
      </c>
      <c r="Q647" t="str">
        <f>VLOOKUP(C647,CU_ARS_2025_WOF_F2!$A$2:$K$673,4,FALSE)</f>
        <v>CU_ARS_2025_WOF_cross_19</v>
      </c>
      <c r="R647">
        <f>VLOOKUP(C647,CU_ARS_2025_WOF_F2!$A$2:$K$673,5,FALSE)</f>
        <v>4</v>
      </c>
      <c r="S647">
        <f>VLOOKUP(C647,CU_ARS_2025_WOF_F2!$A$2:$K$673,6,FALSE)</f>
        <v>1</v>
      </c>
      <c r="T647">
        <f>VLOOKUP(C647,CU_ARS_2025_WOF_F2!$A$2:$K$673,7,FALSE)</f>
        <v>0</v>
      </c>
      <c r="U647">
        <f>VLOOKUP(C647,CU_ARS_2025_WOF_F2!$A$2:$K$673,8,FALSE)</f>
        <v>1</v>
      </c>
      <c r="V647">
        <f>VLOOKUP(C647,CU_ARS_2025_WOF_F2!$A$2:$K$673,9,FALSE)</f>
        <v>0</v>
      </c>
      <c r="W647">
        <f>VLOOKUP(C647,CU_ARS_2025_WOF_F2!$A$2:$K$673,10,FALSE)</f>
        <v>0</v>
      </c>
      <c r="X647">
        <f>VLOOKUP(C647,CU_ARS_2025_WOF_F2!$A$2:$K$673,11,FALSE)</f>
        <v>2</v>
      </c>
      <c r="Y647" t="str">
        <f>VLOOKUP(Q647,cross_pedigree!$A$2:$B$23,2,FALSE)</f>
        <v>Gerard 227/AURORA</v>
      </c>
    </row>
    <row r="648" spans="1:25" ht="18">
      <c r="A648" s="21" t="s">
        <v>15</v>
      </c>
      <c r="B648" s="21" t="s">
        <v>16</v>
      </c>
      <c r="C648" s="22">
        <v>753417</v>
      </c>
      <c r="D648" s="23">
        <v>7</v>
      </c>
      <c r="E648" s="24" t="str">
        <f t="shared" si="10"/>
        <v>CU_ARS_2025_WOF_F2_4_plant_3</v>
      </c>
      <c r="F648" s="21" t="s">
        <v>192</v>
      </c>
      <c r="G648" s="44">
        <v>71</v>
      </c>
      <c r="H648" s="42"/>
      <c r="I648" s="42" t="s">
        <v>1016</v>
      </c>
      <c r="J648" s="42" t="s">
        <v>1003</v>
      </c>
      <c r="K648" s="42"/>
      <c r="L648" s="42"/>
      <c r="M648" s="42"/>
      <c r="N648" t="str">
        <f>VLOOKUP(C648,CU_ARS_2025_WOF_F2!$A$2:$K$673,2,FALSE)</f>
        <v>CU_ARS_2025_WOF_F2_4_plant_3</v>
      </c>
      <c r="O648" t="str">
        <f>VLOOKUP(C648,CU_ARS_2025_WOF_F2!$A$2:$K$673,2,FALSE)</f>
        <v>CU_ARS_2025_WOF_F2_4_plant_3</v>
      </c>
      <c r="P648" t="str">
        <f>VLOOKUP(C648,CU_ARS_2025_WOF_F2!$A$2:$K$673,3,FALSE)</f>
        <v>CU_ARS_2025_WOF_F2_4</v>
      </c>
      <c r="Q648" t="str">
        <f>VLOOKUP(C648,CU_ARS_2025_WOF_F2!$A$2:$K$673,4,FALSE)</f>
        <v>CU_ARS_2025_WOF_cross_19</v>
      </c>
      <c r="R648">
        <f>VLOOKUP(C648,CU_ARS_2025_WOF_F2!$A$2:$K$673,5,FALSE)</f>
        <v>4</v>
      </c>
      <c r="S648">
        <f>VLOOKUP(C648,CU_ARS_2025_WOF_F2!$A$2:$K$673,6,FALSE)</f>
        <v>1</v>
      </c>
      <c r="T648">
        <f>VLOOKUP(C648,CU_ARS_2025_WOF_F2!$A$2:$K$673,7,FALSE)</f>
        <v>0</v>
      </c>
      <c r="U648">
        <f>VLOOKUP(C648,CU_ARS_2025_WOF_F2!$A$2:$K$673,8,FALSE)</f>
        <v>1</v>
      </c>
      <c r="V648">
        <f>VLOOKUP(C648,CU_ARS_2025_WOF_F2!$A$2:$K$673,9,FALSE)</f>
        <v>0</v>
      </c>
      <c r="W648">
        <f>VLOOKUP(C648,CU_ARS_2025_WOF_F2!$A$2:$K$673,10,FALSE)</f>
        <v>0</v>
      </c>
      <c r="X648">
        <f>VLOOKUP(C648,CU_ARS_2025_WOF_F2!$A$2:$K$673,11,FALSE)</f>
        <v>3</v>
      </c>
      <c r="Y648" t="str">
        <f>VLOOKUP(Q648,cross_pedigree!$A$2:$B$23,2,FALSE)</f>
        <v>Gerard 227/AURORA</v>
      </c>
    </row>
    <row r="649" spans="1:25" ht="18">
      <c r="A649" s="21" t="s">
        <v>15</v>
      </c>
      <c r="B649" s="21" t="s">
        <v>16</v>
      </c>
      <c r="C649" s="22">
        <v>753418</v>
      </c>
      <c r="D649" s="23">
        <v>7</v>
      </c>
      <c r="E649" s="24" t="str">
        <f t="shared" si="10"/>
        <v>CU_ARS_2025_WOF_F2_4_plant_4</v>
      </c>
      <c r="F649" s="21" t="s">
        <v>194</v>
      </c>
      <c r="G649" s="44">
        <v>72</v>
      </c>
      <c r="H649" s="42"/>
      <c r="I649" s="42" t="s">
        <v>1016</v>
      </c>
      <c r="J649" s="42" t="s">
        <v>1003</v>
      </c>
      <c r="K649" s="42"/>
      <c r="L649" s="42"/>
      <c r="M649" s="42"/>
      <c r="N649" t="str">
        <f>VLOOKUP(C649,CU_ARS_2025_WOF_F2!$A$2:$K$673,2,FALSE)</f>
        <v>CU_ARS_2025_WOF_F2_4_plant_4</v>
      </c>
      <c r="O649" t="str">
        <f>VLOOKUP(C649,CU_ARS_2025_WOF_F2!$A$2:$K$673,2,FALSE)</f>
        <v>CU_ARS_2025_WOF_F2_4_plant_4</v>
      </c>
      <c r="P649" t="str">
        <f>VLOOKUP(C649,CU_ARS_2025_WOF_F2!$A$2:$K$673,3,FALSE)</f>
        <v>CU_ARS_2025_WOF_F2_4</v>
      </c>
      <c r="Q649" t="str">
        <f>VLOOKUP(C649,CU_ARS_2025_WOF_F2!$A$2:$K$673,4,FALSE)</f>
        <v>CU_ARS_2025_WOF_cross_19</v>
      </c>
      <c r="R649">
        <f>VLOOKUP(C649,CU_ARS_2025_WOF_F2!$A$2:$K$673,5,FALSE)</f>
        <v>4</v>
      </c>
      <c r="S649">
        <f>VLOOKUP(C649,CU_ARS_2025_WOF_F2!$A$2:$K$673,6,FALSE)</f>
        <v>1</v>
      </c>
      <c r="T649">
        <f>VLOOKUP(C649,CU_ARS_2025_WOF_F2!$A$2:$K$673,7,FALSE)</f>
        <v>0</v>
      </c>
      <c r="U649">
        <f>VLOOKUP(C649,CU_ARS_2025_WOF_F2!$A$2:$K$673,8,FALSE)</f>
        <v>1</v>
      </c>
      <c r="V649">
        <f>VLOOKUP(C649,CU_ARS_2025_WOF_F2!$A$2:$K$673,9,FALSE)</f>
        <v>0</v>
      </c>
      <c r="W649">
        <f>VLOOKUP(C649,CU_ARS_2025_WOF_F2!$A$2:$K$673,10,FALSE)</f>
        <v>0</v>
      </c>
      <c r="X649">
        <f>VLOOKUP(C649,CU_ARS_2025_WOF_F2!$A$2:$K$673,11,FALSE)</f>
        <v>4</v>
      </c>
      <c r="Y649" t="str">
        <f>VLOOKUP(Q649,cross_pedigree!$A$2:$B$23,2,FALSE)</f>
        <v>Gerard 227/AURORA</v>
      </c>
    </row>
    <row r="650" spans="1:25" ht="18">
      <c r="A650" s="21" t="s">
        <v>15</v>
      </c>
      <c r="B650" s="21" t="s">
        <v>16</v>
      </c>
      <c r="C650" s="22">
        <v>753419</v>
      </c>
      <c r="D650" s="23">
        <v>7</v>
      </c>
      <c r="E650" s="24" t="str">
        <f t="shared" si="10"/>
        <v>CU_ARS_2025_WOF_F2_4_plant_5</v>
      </c>
      <c r="F650" s="21" t="s">
        <v>196</v>
      </c>
      <c r="G650" s="44">
        <v>73</v>
      </c>
      <c r="H650" s="42"/>
      <c r="I650" s="42" t="s">
        <v>1016</v>
      </c>
      <c r="J650" s="42" t="s">
        <v>1003</v>
      </c>
      <c r="K650" s="42"/>
      <c r="L650" s="42"/>
      <c r="M650" s="42"/>
      <c r="N650" t="str">
        <f>VLOOKUP(C650,CU_ARS_2025_WOF_F2!$A$2:$K$673,2,FALSE)</f>
        <v>CU_ARS_2025_WOF_F2_4_plant_5</v>
      </c>
      <c r="O650" t="str">
        <f>VLOOKUP(C650,CU_ARS_2025_WOF_F2!$A$2:$K$673,2,FALSE)</f>
        <v>CU_ARS_2025_WOF_F2_4_plant_5</v>
      </c>
      <c r="P650" t="str">
        <f>VLOOKUP(C650,CU_ARS_2025_WOF_F2!$A$2:$K$673,3,FALSE)</f>
        <v>CU_ARS_2025_WOF_F2_4</v>
      </c>
      <c r="Q650" t="str">
        <f>VLOOKUP(C650,CU_ARS_2025_WOF_F2!$A$2:$K$673,4,FALSE)</f>
        <v>CU_ARS_2025_WOF_cross_19</v>
      </c>
      <c r="R650">
        <f>VLOOKUP(C650,CU_ARS_2025_WOF_F2!$A$2:$K$673,5,FALSE)</f>
        <v>4</v>
      </c>
      <c r="S650">
        <f>VLOOKUP(C650,CU_ARS_2025_WOF_F2!$A$2:$K$673,6,FALSE)</f>
        <v>1</v>
      </c>
      <c r="T650">
        <f>VLOOKUP(C650,CU_ARS_2025_WOF_F2!$A$2:$K$673,7,FALSE)</f>
        <v>0</v>
      </c>
      <c r="U650">
        <f>VLOOKUP(C650,CU_ARS_2025_WOF_F2!$A$2:$K$673,8,FALSE)</f>
        <v>1</v>
      </c>
      <c r="V650">
        <f>VLOOKUP(C650,CU_ARS_2025_WOF_F2!$A$2:$K$673,9,FALSE)</f>
        <v>0</v>
      </c>
      <c r="W650">
        <f>VLOOKUP(C650,CU_ARS_2025_WOF_F2!$A$2:$K$673,10,FALSE)</f>
        <v>0</v>
      </c>
      <c r="X650">
        <f>VLOOKUP(C650,CU_ARS_2025_WOF_F2!$A$2:$K$673,11,FALSE)</f>
        <v>5</v>
      </c>
      <c r="Y650" t="str">
        <f>VLOOKUP(Q650,cross_pedigree!$A$2:$B$23,2,FALSE)</f>
        <v>Gerard 227/AURORA</v>
      </c>
    </row>
    <row r="651" spans="1:25" ht="18">
      <c r="A651" s="21" t="s">
        <v>15</v>
      </c>
      <c r="B651" s="21" t="s">
        <v>16</v>
      </c>
      <c r="C651" s="22">
        <v>753427</v>
      </c>
      <c r="D651" s="23">
        <v>7</v>
      </c>
      <c r="E651" s="24" t="str">
        <f t="shared" si="10"/>
        <v>CU_ARS_2025_WOF_F2_4_plant_13</v>
      </c>
      <c r="F651" s="21" t="s">
        <v>198</v>
      </c>
      <c r="G651" s="44">
        <v>74</v>
      </c>
      <c r="H651" s="42"/>
      <c r="I651" s="42" t="s">
        <v>1016</v>
      </c>
      <c r="J651" s="42" t="s">
        <v>1003</v>
      </c>
      <c r="K651" s="42"/>
      <c r="L651" s="42"/>
      <c r="M651" s="42"/>
      <c r="N651" t="str">
        <f>VLOOKUP(C651,CU_ARS_2025_WOF_F2!$A$2:$K$673,2,FALSE)</f>
        <v>CU_ARS_2025_WOF_F2_4_plant_13</v>
      </c>
      <c r="O651" t="str">
        <f>VLOOKUP(C651,CU_ARS_2025_WOF_F2!$A$2:$K$673,2,FALSE)</f>
        <v>CU_ARS_2025_WOF_F2_4_plant_13</v>
      </c>
      <c r="P651" t="str">
        <f>VLOOKUP(C651,CU_ARS_2025_WOF_F2!$A$2:$K$673,3,FALSE)</f>
        <v>CU_ARS_2025_WOF_F2_4</v>
      </c>
      <c r="Q651" t="str">
        <f>VLOOKUP(C651,CU_ARS_2025_WOF_F2!$A$2:$K$673,4,FALSE)</f>
        <v>CU_ARS_2025_WOF_cross_19</v>
      </c>
      <c r="R651">
        <f>VLOOKUP(C651,CU_ARS_2025_WOF_F2!$A$2:$K$673,5,FALSE)</f>
        <v>4</v>
      </c>
      <c r="S651">
        <f>VLOOKUP(C651,CU_ARS_2025_WOF_F2!$A$2:$K$673,6,FALSE)</f>
        <v>1</v>
      </c>
      <c r="T651">
        <f>VLOOKUP(C651,CU_ARS_2025_WOF_F2!$A$2:$K$673,7,FALSE)</f>
        <v>0</v>
      </c>
      <c r="U651">
        <f>VLOOKUP(C651,CU_ARS_2025_WOF_F2!$A$2:$K$673,8,FALSE)</f>
        <v>1</v>
      </c>
      <c r="V651">
        <f>VLOOKUP(C651,CU_ARS_2025_WOF_F2!$A$2:$K$673,9,FALSE)</f>
        <v>0</v>
      </c>
      <c r="W651">
        <f>VLOOKUP(C651,CU_ARS_2025_WOF_F2!$A$2:$K$673,10,FALSE)</f>
        <v>0</v>
      </c>
      <c r="X651">
        <f>VLOOKUP(C651,CU_ARS_2025_WOF_F2!$A$2:$K$673,11,FALSE)</f>
        <v>13</v>
      </c>
      <c r="Y651" t="str">
        <f>VLOOKUP(Q651,cross_pedigree!$A$2:$B$23,2,FALSE)</f>
        <v>Gerard 227/AURORA</v>
      </c>
    </row>
    <row r="652" spans="1:25" ht="18">
      <c r="A652" s="21" t="s">
        <v>15</v>
      </c>
      <c r="B652" s="21" t="s">
        <v>16</v>
      </c>
      <c r="C652" s="22">
        <v>753426</v>
      </c>
      <c r="D652" s="23">
        <v>7</v>
      </c>
      <c r="E652" s="24" t="str">
        <f t="shared" si="10"/>
        <v>CU_ARS_2025_WOF_F2_4_plant_12</v>
      </c>
      <c r="F652" s="21" t="s">
        <v>200</v>
      </c>
      <c r="G652" s="44">
        <v>75</v>
      </c>
      <c r="H652" s="42"/>
      <c r="I652" s="42" t="s">
        <v>1016</v>
      </c>
      <c r="J652" s="42" t="s">
        <v>1003</v>
      </c>
      <c r="K652" s="42"/>
      <c r="L652" s="42"/>
      <c r="M652" s="42"/>
      <c r="N652" t="str">
        <f>VLOOKUP(C652,CU_ARS_2025_WOF_F2!$A$2:$K$673,2,FALSE)</f>
        <v>CU_ARS_2025_WOF_F2_4_plant_12</v>
      </c>
      <c r="O652" t="str">
        <f>VLOOKUP(C652,CU_ARS_2025_WOF_F2!$A$2:$K$673,2,FALSE)</f>
        <v>CU_ARS_2025_WOF_F2_4_plant_12</v>
      </c>
      <c r="P652" t="str">
        <f>VLOOKUP(C652,CU_ARS_2025_WOF_F2!$A$2:$K$673,3,FALSE)</f>
        <v>CU_ARS_2025_WOF_F2_4</v>
      </c>
      <c r="Q652" t="str">
        <f>VLOOKUP(C652,CU_ARS_2025_WOF_F2!$A$2:$K$673,4,FALSE)</f>
        <v>CU_ARS_2025_WOF_cross_19</v>
      </c>
      <c r="R652">
        <f>VLOOKUP(C652,CU_ARS_2025_WOF_F2!$A$2:$K$673,5,FALSE)</f>
        <v>4</v>
      </c>
      <c r="S652">
        <f>VLOOKUP(C652,CU_ARS_2025_WOF_F2!$A$2:$K$673,6,FALSE)</f>
        <v>1</v>
      </c>
      <c r="T652">
        <f>VLOOKUP(C652,CU_ARS_2025_WOF_F2!$A$2:$K$673,7,FALSE)</f>
        <v>0</v>
      </c>
      <c r="U652">
        <f>VLOOKUP(C652,CU_ARS_2025_WOF_F2!$A$2:$K$673,8,FALSE)</f>
        <v>1</v>
      </c>
      <c r="V652">
        <f>VLOOKUP(C652,CU_ARS_2025_WOF_F2!$A$2:$K$673,9,FALSE)</f>
        <v>0</v>
      </c>
      <c r="W652">
        <f>VLOOKUP(C652,CU_ARS_2025_WOF_F2!$A$2:$K$673,10,FALSE)</f>
        <v>0</v>
      </c>
      <c r="X652">
        <f>VLOOKUP(C652,CU_ARS_2025_WOF_F2!$A$2:$K$673,11,FALSE)</f>
        <v>12</v>
      </c>
      <c r="Y652" t="str">
        <f>VLOOKUP(Q652,cross_pedigree!$A$2:$B$23,2,FALSE)</f>
        <v>Gerard 227/AURORA</v>
      </c>
    </row>
    <row r="653" spans="1:25" ht="18">
      <c r="A653" s="21" t="s">
        <v>15</v>
      </c>
      <c r="B653" s="21" t="s">
        <v>16</v>
      </c>
      <c r="C653" s="22">
        <v>753425</v>
      </c>
      <c r="D653" s="23">
        <v>7</v>
      </c>
      <c r="E653" s="24" t="str">
        <f t="shared" si="10"/>
        <v>CU_ARS_2025_WOF_F2_4_plant_11</v>
      </c>
      <c r="F653" s="21" t="s">
        <v>202</v>
      </c>
      <c r="G653" s="44">
        <v>76</v>
      </c>
      <c r="H653" s="42"/>
      <c r="I653" s="42" t="s">
        <v>1016</v>
      </c>
      <c r="J653" s="42" t="s">
        <v>1003</v>
      </c>
      <c r="K653" s="42"/>
      <c r="L653" s="42"/>
      <c r="M653" s="42"/>
      <c r="N653" t="str">
        <f>VLOOKUP(C653,CU_ARS_2025_WOF_F2!$A$2:$K$673,2,FALSE)</f>
        <v>CU_ARS_2025_WOF_F2_4_plant_11</v>
      </c>
      <c r="O653" t="str">
        <f>VLOOKUP(C653,CU_ARS_2025_WOF_F2!$A$2:$K$673,2,FALSE)</f>
        <v>CU_ARS_2025_WOF_F2_4_plant_11</v>
      </c>
      <c r="P653" t="str">
        <f>VLOOKUP(C653,CU_ARS_2025_WOF_F2!$A$2:$K$673,3,FALSE)</f>
        <v>CU_ARS_2025_WOF_F2_4</v>
      </c>
      <c r="Q653" t="str">
        <f>VLOOKUP(C653,CU_ARS_2025_WOF_F2!$A$2:$K$673,4,FALSE)</f>
        <v>CU_ARS_2025_WOF_cross_19</v>
      </c>
      <c r="R653">
        <f>VLOOKUP(C653,CU_ARS_2025_WOF_F2!$A$2:$K$673,5,FALSE)</f>
        <v>4</v>
      </c>
      <c r="S653">
        <f>VLOOKUP(C653,CU_ARS_2025_WOF_F2!$A$2:$K$673,6,FALSE)</f>
        <v>1</v>
      </c>
      <c r="T653">
        <f>VLOOKUP(C653,CU_ARS_2025_WOF_F2!$A$2:$K$673,7,FALSE)</f>
        <v>0</v>
      </c>
      <c r="U653">
        <f>VLOOKUP(C653,CU_ARS_2025_WOF_F2!$A$2:$K$673,8,FALSE)</f>
        <v>1</v>
      </c>
      <c r="V653">
        <f>VLOOKUP(C653,CU_ARS_2025_WOF_F2!$A$2:$K$673,9,FALSE)</f>
        <v>0</v>
      </c>
      <c r="W653">
        <f>VLOOKUP(C653,CU_ARS_2025_WOF_F2!$A$2:$K$673,10,FALSE)</f>
        <v>0</v>
      </c>
      <c r="X653">
        <f>VLOOKUP(C653,CU_ARS_2025_WOF_F2!$A$2:$K$673,11,FALSE)</f>
        <v>11</v>
      </c>
      <c r="Y653" t="str">
        <f>VLOOKUP(Q653,cross_pedigree!$A$2:$B$23,2,FALSE)</f>
        <v>Gerard 227/AURORA</v>
      </c>
    </row>
    <row r="654" spans="1:25" ht="18">
      <c r="A654" s="21" t="s">
        <v>15</v>
      </c>
      <c r="B654" s="21" t="s">
        <v>16</v>
      </c>
      <c r="C654" s="22">
        <v>753424</v>
      </c>
      <c r="D654" s="23">
        <v>7</v>
      </c>
      <c r="E654" s="24" t="str">
        <f t="shared" si="10"/>
        <v>CU_ARS_2025_WOF_F2_4_plant_10</v>
      </c>
      <c r="F654" s="21" t="s">
        <v>204</v>
      </c>
      <c r="G654" s="44">
        <v>77</v>
      </c>
      <c r="H654" s="42"/>
      <c r="I654" s="42" t="s">
        <v>1016</v>
      </c>
      <c r="J654" s="42" t="s">
        <v>1003</v>
      </c>
      <c r="K654" s="42"/>
      <c r="L654" s="42"/>
      <c r="M654" s="42"/>
      <c r="N654" t="str">
        <f>VLOOKUP(C654,CU_ARS_2025_WOF_F2!$A$2:$K$673,2,FALSE)</f>
        <v>CU_ARS_2025_WOF_F2_4_plant_10</v>
      </c>
      <c r="O654" t="str">
        <f>VLOOKUP(C654,CU_ARS_2025_WOF_F2!$A$2:$K$673,2,FALSE)</f>
        <v>CU_ARS_2025_WOF_F2_4_plant_10</v>
      </c>
      <c r="P654" t="str">
        <f>VLOOKUP(C654,CU_ARS_2025_WOF_F2!$A$2:$K$673,3,FALSE)</f>
        <v>CU_ARS_2025_WOF_F2_4</v>
      </c>
      <c r="Q654" t="str">
        <f>VLOOKUP(C654,CU_ARS_2025_WOF_F2!$A$2:$K$673,4,FALSE)</f>
        <v>CU_ARS_2025_WOF_cross_19</v>
      </c>
      <c r="R654">
        <f>VLOOKUP(C654,CU_ARS_2025_WOF_F2!$A$2:$K$673,5,FALSE)</f>
        <v>4</v>
      </c>
      <c r="S654">
        <f>VLOOKUP(C654,CU_ARS_2025_WOF_F2!$A$2:$K$673,6,FALSE)</f>
        <v>1</v>
      </c>
      <c r="T654">
        <f>VLOOKUP(C654,CU_ARS_2025_WOF_F2!$A$2:$K$673,7,FALSE)</f>
        <v>0</v>
      </c>
      <c r="U654">
        <f>VLOOKUP(C654,CU_ARS_2025_WOF_F2!$A$2:$K$673,8,FALSE)</f>
        <v>1</v>
      </c>
      <c r="V654">
        <f>VLOOKUP(C654,CU_ARS_2025_WOF_F2!$A$2:$K$673,9,FALSE)</f>
        <v>0</v>
      </c>
      <c r="W654">
        <f>VLOOKUP(C654,CU_ARS_2025_WOF_F2!$A$2:$K$673,10,FALSE)</f>
        <v>0</v>
      </c>
      <c r="X654">
        <f>VLOOKUP(C654,CU_ARS_2025_WOF_F2!$A$2:$K$673,11,FALSE)</f>
        <v>10</v>
      </c>
      <c r="Y654" t="str">
        <f>VLOOKUP(Q654,cross_pedigree!$A$2:$B$23,2,FALSE)</f>
        <v>Gerard 227/AURORA</v>
      </c>
    </row>
    <row r="655" spans="1:25" ht="18">
      <c r="A655" s="35" t="s">
        <v>15</v>
      </c>
      <c r="B655" s="35" t="s">
        <v>16</v>
      </c>
      <c r="C655" s="36">
        <v>753423</v>
      </c>
      <c r="D655" s="37">
        <v>7</v>
      </c>
      <c r="E655" s="24" t="str">
        <f t="shared" si="10"/>
        <v>CU_ARS_2025_WOF_F2_4_plant_9</v>
      </c>
      <c r="F655" s="35" t="s">
        <v>206</v>
      </c>
      <c r="G655" s="44">
        <v>78</v>
      </c>
      <c r="H655" s="42"/>
      <c r="I655" s="42" t="s">
        <v>1016</v>
      </c>
      <c r="J655" s="42" t="s">
        <v>1003</v>
      </c>
      <c r="K655" s="42"/>
      <c r="L655" s="42"/>
      <c r="M655" s="42"/>
      <c r="N655" t="str">
        <f>VLOOKUP(C655,CU_ARS_2025_WOF_F2!$A$2:$K$673,2,FALSE)</f>
        <v>CU_ARS_2025_WOF_F2_4_plant_9</v>
      </c>
      <c r="O655" t="str">
        <f>VLOOKUP(C655,CU_ARS_2025_WOF_F2!$A$2:$K$673,2,FALSE)</f>
        <v>CU_ARS_2025_WOF_F2_4_plant_9</v>
      </c>
      <c r="P655" t="str">
        <f>VLOOKUP(C655,CU_ARS_2025_WOF_F2!$A$2:$K$673,3,FALSE)</f>
        <v>CU_ARS_2025_WOF_F2_4</v>
      </c>
      <c r="Q655" t="str">
        <f>VLOOKUP(C655,CU_ARS_2025_WOF_F2!$A$2:$K$673,4,FALSE)</f>
        <v>CU_ARS_2025_WOF_cross_19</v>
      </c>
      <c r="R655">
        <f>VLOOKUP(C655,CU_ARS_2025_WOF_F2!$A$2:$K$673,5,FALSE)</f>
        <v>4</v>
      </c>
      <c r="S655">
        <f>VLOOKUP(C655,CU_ARS_2025_WOF_F2!$A$2:$K$673,6,FALSE)</f>
        <v>1</v>
      </c>
      <c r="T655">
        <f>VLOOKUP(C655,CU_ARS_2025_WOF_F2!$A$2:$K$673,7,FALSE)</f>
        <v>0</v>
      </c>
      <c r="U655">
        <f>VLOOKUP(C655,CU_ARS_2025_WOF_F2!$A$2:$K$673,8,FALSE)</f>
        <v>1</v>
      </c>
      <c r="V655">
        <f>VLOOKUP(C655,CU_ARS_2025_WOF_F2!$A$2:$K$673,9,FALSE)</f>
        <v>0</v>
      </c>
      <c r="W655">
        <f>VLOOKUP(C655,CU_ARS_2025_WOF_F2!$A$2:$K$673,10,FALSE)</f>
        <v>0</v>
      </c>
      <c r="X655">
        <f>VLOOKUP(C655,CU_ARS_2025_WOF_F2!$A$2:$K$673,11,FALSE)</f>
        <v>9</v>
      </c>
      <c r="Y655" t="str">
        <f>VLOOKUP(Q655,cross_pedigree!$A$2:$B$23,2,FALSE)</f>
        <v>Gerard 227/AURORA</v>
      </c>
    </row>
    <row r="656" spans="1:25" ht="18">
      <c r="A656" s="3" t="s">
        <v>15</v>
      </c>
      <c r="B656" s="3" t="s">
        <v>16</v>
      </c>
      <c r="C656" s="2">
        <v>753999</v>
      </c>
      <c r="D656" s="4">
        <v>7</v>
      </c>
      <c r="E656" s="24" t="str">
        <f t="shared" si="10"/>
        <v>CU_ARS_2025_WOF_F2_5_plant_68</v>
      </c>
      <c r="F656" s="3" t="s">
        <v>91</v>
      </c>
      <c r="G656" s="44">
        <v>79</v>
      </c>
      <c r="H656" s="42"/>
      <c r="I656" s="42" t="s">
        <v>1035</v>
      </c>
      <c r="J656" s="42" t="s">
        <v>1003</v>
      </c>
      <c r="K656" s="42"/>
      <c r="L656" s="42"/>
      <c r="M656" s="42"/>
      <c r="N656" t="str">
        <f>VLOOKUP(C656,CU_ARS_2025_WOF_F2!$A$2:$K$673,2,FALSE)</f>
        <v>CU_ARS_2025_WOF_F2_5_plant_68</v>
      </c>
      <c r="O656" t="str">
        <f>VLOOKUP(C656,CU_ARS_2025_WOF_F2!$A$2:$K$673,2,FALSE)</f>
        <v>CU_ARS_2025_WOF_F2_5_plant_68</v>
      </c>
      <c r="P656" t="str">
        <f>VLOOKUP(C656,CU_ARS_2025_WOF_F2!$A$2:$K$673,3,FALSE)</f>
        <v>CU_ARS_2025_WOF_F2_5</v>
      </c>
      <c r="Q656" t="str">
        <f>VLOOKUP(C656,CU_ARS_2025_WOF_F2!$A$2:$K$673,4,FALSE)</f>
        <v>CU_ARS_2025_WOF_cross_54</v>
      </c>
      <c r="R656">
        <f>VLOOKUP(C656,CU_ARS_2025_WOF_F2!$A$2:$K$673,5,FALSE)</f>
        <v>5</v>
      </c>
      <c r="S656">
        <f>VLOOKUP(C656,CU_ARS_2025_WOF_F2!$A$2:$K$673,6,FALSE)</f>
        <v>1</v>
      </c>
      <c r="T656">
        <f>VLOOKUP(C656,CU_ARS_2025_WOF_F2!$A$2:$K$673,7,FALSE)</f>
        <v>0</v>
      </c>
      <c r="U656">
        <f>VLOOKUP(C656,CU_ARS_2025_WOF_F2!$A$2:$K$673,8,FALSE)</f>
        <v>1</v>
      </c>
      <c r="V656">
        <f>VLOOKUP(C656,CU_ARS_2025_WOF_F2!$A$2:$K$673,9,FALSE)</f>
        <v>0</v>
      </c>
      <c r="W656">
        <f>VLOOKUP(C656,CU_ARS_2025_WOF_F2!$A$2:$K$673,10,FALSE)</f>
        <v>0</v>
      </c>
      <c r="X656">
        <f>VLOOKUP(C656,CU_ARS_2025_WOF_F2!$A$2:$K$673,11,FALSE)</f>
        <v>68</v>
      </c>
      <c r="Y656" t="str">
        <f>VLOOKUP(Q656,cross_pedigree!$A$2:$B$23,2,FALSE)</f>
        <v>Gerard 227/NF13-4126-4_3</v>
      </c>
    </row>
    <row r="657" spans="1:25" ht="18">
      <c r="A657" s="3" t="s">
        <v>15</v>
      </c>
      <c r="B657" s="3" t="s">
        <v>16</v>
      </c>
      <c r="C657" s="2">
        <v>753884</v>
      </c>
      <c r="D657" s="4">
        <v>7</v>
      </c>
      <c r="E657" s="24" t="str">
        <f t="shared" si="10"/>
        <v>CU_ARS_2025_WOF_F2_6_plant_24</v>
      </c>
      <c r="F657" s="3" t="s">
        <v>92</v>
      </c>
      <c r="G657" s="44">
        <v>80</v>
      </c>
      <c r="H657" s="42"/>
      <c r="I657" s="42" t="s">
        <v>1015</v>
      </c>
      <c r="J657" s="42" t="s">
        <v>1003</v>
      </c>
      <c r="K657" s="42"/>
      <c r="L657" s="42"/>
      <c r="M657" s="42"/>
      <c r="N657" t="str">
        <f>VLOOKUP(C657,CU_ARS_2025_WOF_F2!$A$2:$K$673,2,FALSE)</f>
        <v>CU_ARS_2025_WOF_F2_6_plant_24</v>
      </c>
      <c r="O657" t="str">
        <f>VLOOKUP(C657,CU_ARS_2025_WOF_F2!$A$2:$K$673,2,FALSE)</f>
        <v>CU_ARS_2025_WOF_F2_6_plant_24</v>
      </c>
      <c r="P657" t="str">
        <f>VLOOKUP(C657,CU_ARS_2025_WOF_F2!$A$2:$K$673,3,FALSE)</f>
        <v>CU_ARS_2025_WOF_F2_6</v>
      </c>
      <c r="Q657" t="str">
        <f>VLOOKUP(C657,CU_ARS_2025_WOF_F2!$A$2:$K$673,4,FALSE)</f>
        <v>CU_ARS_2025_WOF_cross_4</v>
      </c>
      <c r="R657">
        <f>VLOOKUP(C657,CU_ARS_2025_WOF_F2!$A$2:$K$673,5,FALSE)</f>
        <v>6</v>
      </c>
      <c r="S657">
        <f>VLOOKUP(C657,CU_ARS_2025_WOF_F2!$A$2:$K$673,6,FALSE)</f>
        <v>1</v>
      </c>
      <c r="T657">
        <f>VLOOKUP(C657,CU_ARS_2025_WOF_F2!$A$2:$K$673,7,FALSE)</f>
        <v>0</v>
      </c>
      <c r="U657">
        <f>VLOOKUP(C657,CU_ARS_2025_WOF_F2!$A$2:$K$673,8,FALSE)</f>
        <v>1</v>
      </c>
      <c r="V657">
        <f>VLOOKUP(C657,CU_ARS_2025_WOF_F2!$A$2:$K$673,9,FALSE)</f>
        <v>0</v>
      </c>
      <c r="W657">
        <f>VLOOKUP(C657,CU_ARS_2025_WOF_F2!$A$2:$K$673,10,FALSE)</f>
        <v>0</v>
      </c>
      <c r="X657">
        <f>VLOOKUP(C657,CU_ARS_2025_WOF_F2!$A$2:$K$673,11,FALSE)</f>
        <v>24</v>
      </c>
      <c r="Y657" t="str">
        <f>VLOOKUP(Q657,cross_pedigree!$A$2:$B$23,2,FALSE)</f>
        <v>NF01404A/PA8014-840</v>
      </c>
    </row>
    <row r="658" spans="1:25" ht="18">
      <c r="A658" s="3" t="s">
        <v>15</v>
      </c>
      <c r="B658" s="3" t="s">
        <v>16</v>
      </c>
      <c r="C658" s="2">
        <v>753691</v>
      </c>
      <c r="D658" s="4">
        <v>7</v>
      </c>
      <c r="E658" s="24" t="str">
        <f t="shared" si="10"/>
        <v>CU_ARS_2025_WOF_F2_8_plant_54</v>
      </c>
      <c r="F658" s="3" t="s">
        <v>93</v>
      </c>
      <c r="G658" s="44">
        <v>81</v>
      </c>
      <c r="H658" s="42"/>
      <c r="I658" s="42" t="s">
        <v>1023</v>
      </c>
      <c r="J658" s="42" t="s">
        <v>1003</v>
      </c>
      <c r="K658" s="42"/>
      <c r="L658" s="42"/>
      <c r="M658" s="42"/>
      <c r="N658" t="str">
        <f>VLOOKUP(C658,CU_ARS_2025_WOF_F2!$A$2:$K$673,2,FALSE)</f>
        <v>CU_ARS_2025_WOF_F2_8_plant_54</v>
      </c>
      <c r="O658" t="str">
        <f>VLOOKUP(C658,CU_ARS_2025_WOF_F2!$A$2:$K$673,2,FALSE)</f>
        <v>CU_ARS_2025_WOF_F2_8_plant_54</v>
      </c>
      <c r="P658" t="str">
        <f>VLOOKUP(C658,CU_ARS_2025_WOF_F2!$A$2:$K$673,3,FALSE)</f>
        <v>CU_ARS_2025_WOF_F2_8</v>
      </c>
      <c r="Q658" t="str">
        <f>VLOOKUP(C658,CU_ARS_2025_WOF_F2!$A$2:$K$673,4,FALSE)</f>
        <v>CU_ARS_2025_WOF_cross_29</v>
      </c>
      <c r="R658">
        <f>VLOOKUP(C658,CU_ARS_2025_WOF_F2!$A$2:$K$673,5,FALSE)</f>
        <v>8</v>
      </c>
      <c r="S658">
        <f>VLOOKUP(C658,CU_ARS_2025_WOF_F2!$A$2:$K$673,6,FALSE)</f>
        <v>1</v>
      </c>
      <c r="T658">
        <f>VLOOKUP(C658,CU_ARS_2025_WOF_F2!$A$2:$K$673,7,FALSE)</f>
        <v>0</v>
      </c>
      <c r="U658">
        <f>VLOOKUP(C658,CU_ARS_2025_WOF_F2!$A$2:$K$673,8,FALSE)</f>
        <v>1</v>
      </c>
      <c r="V658">
        <f>VLOOKUP(C658,CU_ARS_2025_WOF_F2!$A$2:$K$673,9,FALSE)</f>
        <v>0</v>
      </c>
      <c r="W658">
        <f>VLOOKUP(C658,CU_ARS_2025_WOF_F2!$A$2:$K$673,10,FALSE)</f>
        <v>0</v>
      </c>
      <c r="X658">
        <f>VLOOKUP(C658,CU_ARS_2025_WOF_F2!$A$2:$K$673,11,FALSE)</f>
        <v>54</v>
      </c>
      <c r="Y658" t="str">
        <f>VLOOKUP(Q658,cross_pedigree!$A$2:$B$23,2,FALSE)</f>
        <v>NC21-6429/AURORA</v>
      </c>
    </row>
    <row r="659" spans="1:25" ht="18">
      <c r="A659" s="3" t="s">
        <v>15</v>
      </c>
      <c r="B659" s="3" t="s">
        <v>16</v>
      </c>
      <c r="C659" s="2">
        <v>753676</v>
      </c>
      <c r="D659" s="4">
        <v>7</v>
      </c>
      <c r="E659" s="24" t="str">
        <f t="shared" si="10"/>
        <v>CU_ARS_2025_WOF_F2_8_plant_39</v>
      </c>
      <c r="F659" s="3" t="s">
        <v>94</v>
      </c>
      <c r="G659" s="44">
        <v>82</v>
      </c>
      <c r="H659" s="42"/>
      <c r="I659" s="42" t="s">
        <v>1023</v>
      </c>
      <c r="J659" s="42" t="s">
        <v>1003</v>
      </c>
      <c r="K659" s="42"/>
      <c r="L659" s="42"/>
      <c r="M659" s="42"/>
      <c r="N659" t="str">
        <f>VLOOKUP(C659,CU_ARS_2025_WOF_F2!$A$2:$K$673,2,FALSE)</f>
        <v>CU_ARS_2025_WOF_F2_8_plant_39</v>
      </c>
      <c r="O659" t="str">
        <f>VLOOKUP(C659,CU_ARS_2025_WOF_F2!$A$2:$K$673,2,FALSE)</f>
        <v>CU_ARS_2025_WOF_F2_8_plant_39</v>
      </c>
      <c r="P659" t="str">
        <f>VLOOKUP(C659,CU_ARS_2025_WOF_F2!$A$2:$K$673,3,FALSE)</f>
        <v>CU_ARS_2025_WOF_F2_8</v>
      </c>
      <c r="Q659" t="str">
        <f>VLOOKUP(C659,CU_ARS_2025_WOF_F2!$A$2:$K$673,4,FALSE)</f>
        <v>CU_ARS_2025_WOF_cross_29</v>
      </c>
      <c r="R659">
        <f>VLOOKUP(C659,CU_ARS_2025_WOF_F2!$A$2:$K$673,5,FALSE)</f>
        <v>8</v>
      </c>
      <c r="S659">
        <f>VLOOKUP(C659,CU_ARS_2025_WOF_F2!$A$2:$K$673,6,FALSE)</f>
        <v>1</v>
      </c>
      <c r="T659">
        <f>VLOOKUP(C659,CU_ARS_2025_WOF_F2!$A$2:$K$673,7,FALSE)</f>
        <v>0</v>
      </c>
      <c r="U659">
        <f>VLOOKUP(C659,CU_ARS_2025_WOF_F2!$A$2:$K$673,8,FALSE)</f>
        <v>1</v>
      </c>
      <c r="V659">
        <f>VLOOKUP(C659,CU_ARS_2025_WOF_F2!$A$2:$K$673,9,FALSE)</f>
        <v>0</v>
      </c>
      <c r="W659">
        <f>VLOOKUP(C659,CU_ARS_2025_WOF_F2!$A$2:$K$673,10,FALSE)</f>
        <v>0</v>
      </c>
      <c r="X659">
        <f>VLOOKUP(C659,CU_ARS_2025_WOF_F2!$A$2:$K$673,11,FALSE)</f>
        <v>39</v>
      </c>
      <c r="Y659" t="str">
        <f>VLOOKUP(Q659,cross_pedigree!$A$2:$B$23,2,FALSE)</f>
        <v>NC21-6429/AURORA</v>
      </c>
    </row>
    <row r="660" spans="1:25" ht="18">
      <c r="A660" s="3" t="s">
        <v>15</v>
      </c>
      <c r="B660" s="3" t="s">
        <v>16</v>
      </c>
      <c r="C660" s="2">
        <v>753587</v>
      </c>
      <c r="D660" s="4">
        <v>7</v>
      </c>
      <c r="E660" s="24" t="str">
        <f t="shared" si="10"/>
        <v>CU_ARS_2025_WOF_F2_9_plant_27</v>
      </c>
      <c r="F660" s="3" t="s">
        <v>49</v>
      </c>
      <c r="G660" s="44">
        <v>83</v>
      </c>
      <c r="H660" s="42"/>
      <c r="I660" s="42" t="s">
        <v>1014</v>
      </c>
      <c r="J660" s="42" t="s">
        <v>1003</v>
      </c>
      <c r="K660" s="42"/>
      <c r="L660" s="42"/>
      <c r="M660" s="42"/>
      <c r="N660" t="str">
        <f>VLOOKUP(C660,CU_ARS_2025_WOF_F2!$A$2:$K$673,2,FALSE)</f>
        <v>CU_ARS_2025_WOF_F2_9_plant_27</v>
      </c>
      <c r="O660" t="str">
        <f>VLOOKUP(C660,CU_ARS_2025_WOF_F2!$A$2:$K$673,2,FALSE)</f>
        <v>CU_ARS_2025_WOF_F2_9_plant_27</v>
      </c>
      <c r="P660" t="str">
        <f>VLOOKUP(C660,CU_ARS_2025_WOF_F2!$A$2:$K$673,3,FALSE)</f>
        <v>CU_ARS_2025_WOF_F2_9</v>
      </c>
      <c r="Q660" t="str">
        <f>VLOOKUP(C660,CU_ARS_2025_WOF_F2!$A$2:$K$673,4,FALSE)</f>
        <v>CU_ARS_2025_WOF_cross_1</v>
      </c>
      <c r="R660">
        <f>VLOOKUP(C660,CU_ARS_2025_WOF_F2!$A$2:$K$673,5,FALSE)</f>
        <v>9</v>
      </c>
      <c r="S660">
        <f>VLOOKUP(C660,CU_ARS_2025_WOF_F2!$A$2:$K$673,6,FALSE)</f>
        <v>1</v>
      </c>
      <c r="T660">
        <f>VLOOKUP(C660,CU_ARS_2025_WOF_F2!$A$2:$K$673,7,FALSE)</f>
        <v>0</v>
      </c>
      <c r="U660">
        <f>VLOOKUP(C660,CU_ARS_2025_WOF_F2!$A$2:$K$673,8,FALSE)</f>
        <v>1</v>
      </c>
      <c r="V660">
        <f>VLOOKUP(C660,CU_ARS_2025_WOF_F2!$A$2:$K$673,9,FALSE)</f>
        <v>0</v>
      </c>
      <c r="W660">
        <f>VLOOKUP(C660,CU_ARS_2025_WOF_F2!$A$2:$K$673,10,FALSE)</f>
        <v>0</v>
      </c>
      <c r="X660">
        <f>VLOOKUP(C660,CU_ARS_2025_WOF_F2!$A$2:$K$673,11,FALSE)</f>
        <v>27</v>
      </c>
      <c r="Y660" t="str">
        <f>VLOOKUP(Q660,cross_pedigree!$A$2:$B$23,2,FALSE)</f>
        <v>AURORA/AWNLESS_CURLED</v>
      </c>
    </row>
    <row r="661" spans="1:25" ht="18">
      <c r="A661" s="3" t="s">
        <v>15</v>
      </c>
      <c r="B661" s="3" t="s">
        <v>16</v>
      </c>
      <c r="C661" s="2">
        <v>753617</v>
      </c>
      <c r="D661" s="4">
        <v>7</v>
      </c>
      <c r="E661" s="24" t="str">
        <f t="shared" si="10"/>
        <v>CU_ARS_2025_WOF_F2_9_plant_57</v>
      </c>
      <c r="F661" s="3" t="s">
        <v>51</v>
      </c>
      <c r="G661" s="44">
        <v>84</v>
      </c>
      <c r="H661" s="42"/>
      <c r="I661" s="42" t="s">
        <v>1014</v>
      </c>
      <c r="J661" s="42" t="s">
        <v>1003</v>
      </c>
      <c r="K661" s="42"/>
      <c r="L661" s="42"/>
      <c r="M661" s="42"/>
      <c r="N661" t="str">
        <f>VLOOKUP(C661,CU_ARS_2025_WOF_F2!$A$2:$K$673,2,FALSE)</f>
        <v>CU_ARS_2025_WOF_F2_9_plant_57</v>
      </c>
      <c r="O661" t="str">
        <f>VLOOKUP(C661,CU_ARS_2025_WOF_F2!$A$2:$K$673,2,FALSE)</f>
        <v>CU_ARS_2025_WOF_F2_9_plant_57</v>
      </c>
      <c r="P661" t="str">
        <f>VLOOKUP(C661,CU_ARS_2025_WOF_F2!$A$2:$K$673,3,FALSE)</f>
        <v>CU_ARS_2025_WOF_F2_9</v>
      </c>
      <c r="Q661" t="str">
        <f>VLOOKUP(C661,CU_ARS_2025_WOF_F2!$A$2:$K$673,4,FALSE)</f>
        <v>CU_ARS_2025_WOF_cross_1</v>
      </c>
      <c r="R661">
        <f>VLOOKUP(C661,CU_ARS_2025_WOF_F2!$A$2:$K$673,5,FALSE)</f>
        <v>9</v>
      </c>
      <c r="S661">
        <f>VLOOKUP(C661,CU_ARS_2025_WOF_F2!$A$2:$K$673,6,FALSE)</f>
        <v>1</v>
      </c>
      <c r="T661">
        <f>VLOOKUP(C661,CU_ARS_2025_WOF_F2!$A$2:$K$673,7,FALSE)</f>
        <v>0</v>
      </c>
      <c r="U661">
        <f>VLOOKUP(C661,CU_ARS_2025_WOF_F2!$A$2:$K$673,8,FALSE)</f>
        <v>1</v>
      </c>
      <c r="V661">
        <f>VLOOKUP(C661,CU_ARS_2025_WOF_F2!$A$2:$K$673,9,FALSE)</f>
        <v>0</v>
      </c>
      <c r="W661">
        <f>VLOOKUP(C661,CU_ARS_2025_WOF_F2!$A$2:$K$673,10,FALSE)</f>
        <v>0</v>
      </c>
      <c r="X661">
        <f>VLOOKUP(C661,CU_ARS_2025_WOF_F2!$A$2:$K$673,11,FALSE)</f>
        <v>57</v>
      </c>
      <c r="Y661" t="str">
        <f>VLOOKUP(Q661,cross_pedigree!$A$2:$B$23,2,FALSE)</f>
        <v>AURORA/AWNLESS_CURLED</v>
      </c>
    </row>
    <row r="662" spans="1:25" ht="18">
      <c r="A662" s="3" t="s">
        <v>15</v>
      </c>
      <c r="B662" s="3" t="s">
        <v>16</v>
      </c>
      <c r="C662" s="2">
        <v>753618</v>
      </c>
      <c r="D662" s="4">
        <v>7</v>
      </c>
      <c r="E662" s="24" t="str">
        <f t="shared" si="10"/>
        <v>CU_ARS_2025_WOF_F2_9_plant_58</v>
      </c>
      <c r="F662" s="3" t="s">
        <v>95</v>
      </c>
      <c r="G662" s="44">
        <v>85</v>
      </c>
      <c r="H662" s="42"/>
      <c r="I662" s="42" t="s">
        <v>1014</v>
      </c>
      <c r="J662" s="42" t="s">
        <v>1003</v>
      </c>
      <c r="K662" s="42"/>
      <c r="L662" s="42"/>
      <c r="M662" s="42"/>
      <c r="N662" t="str">
        <f>VLOOKUP(C662,CU_ARS_2025_WOF_F2!$A$2:$K$673,2,FALSE)</f>
        <v>CU_ARS_2025_WOF_F2_9_plant_58</v>
      </c>
      <c r="O662" t="str">
        <f>VLOOKUP(C662,CU_ARS_2025_WOF_F2!$A$2:$K$673,2,FALSE)</f>
        <v>CU_ARS_2025_WOF_F2_9_plant_58</v>
      </c>
      <c r="P662" t="str">
        <f>VLOOKUP(C662,CU_ARS_2025_WOF_F2!$A$2:$K$673,3,FALSE)</f>
        <v>CU_ARS_2025_WOF_F2_9</v>
      </c>
      <c r="Q662" t="str">
        <f>VLOOKUP(C662,CU_ARS_2025_WOF_F2!$A$2:$K$673,4,FALSE)</f>
        <v>CU_ARS_2025_WOF_cross_1</v>
      </c>
      <c r="R662">
        <f>VLOOKUP(C662,CU_ARS_2025_WOF_F2!$A$2:$K$673,5,FALSE)</f>
        <v>9</v>
      </c>
      <c r="S662">
        <f>VLOOKUP(C662,CU_ARS_2025_WOF_F2!$A$2:$K$673,6,FALSE)</f>
        <v>1</v>
      </c>
      <c r="T662">
        <f>VLOOKUP(C662,CU_ARS_2025_WOF_F2!$A$2:$K$673,7,FALSE)</f>
        <v>0</v>
      </c>
      <c r="U662">
        <f>VLOOKUP(C662,CU_ARS_2025_WOF_F2!$A$2:$K$673,8,FALSE)</f>
        <v>1</v>
      </c>
      <c r="V662">
        <f>VLOOKUP(C662,CU_ARS_2025_WOF_F2!$A$2:$K$673,9,FALSE)</f>
        <v>0</v>
      </c>
      <c r="W662">
        <f>VLOOKUP(C662,CU_ARS_2025_WOF_F2!$A$2:$K$673,10,FALSE)</f>
        <v>0</v>
      </c>
      <c r="X662">
        <f>VLOOKUP(C662,CU_ARS_2025_WOF_F2!$A$2:$K$673,11,FALSE)</f>
        <v>58</v>
      </c>
      <c r="Y662" t="str">
        <f>VLOOKUP(Q662,cross_pedigree!$A$2:$B$23,2,FALSE)</f>
        <v>AURORA/AWNLESS_CURLED</v>
      </c>
    </row>
    <row r="663" spans="1:25" ht="18">
      <c r="A663" s="3" t="s">
        <v>15</v>
      </c>
      <c r="B663" s="3" t="s">
        <v>16</v>
      </c>
      <c r="C663" s="2">
        <v>753619</v>
      </c>
      <c r="D663" s="4">
        <v>7</v>
      </c>
      <c r="E663" s="24" t="str">
        <f t="shared" si="10"/>
        <v>CU_ARS_2025_WOF_F2_9_plant_59</v>
      </c>
      <c r="F663" s="3" t="s">
        <v>53</v>
      </c>
      <c r="G663" s="44">
        <v>86</v>
      </c>
      <c r="H663" s="42"/>
      <c r="I663" s="42" t="s">
        <v>1014</v>
      </c>
      <c r="J663" s="42" t="s">
        <v>1003</v>
      </c>
      <c r="K663" s="42"/>
      <c r="L663" s="42"/>
      <c r="M663" s="42"/>
      <c r="N663" t="str">
        <f>VLOOKUP(C663,CU_ARS_2025_WOF_F2!$A$2:$K$673,2,FALSE)</f>
        <v>CU_ARS_2025_WOF_F2_9_plant_59</v>
      </c>
      <c r="O663" t="str">
        <f>VLOOKUP(C663,CU_ARS_2025_WOF_F2!$A$2:$K$673,2,FALSE)</f>
        <v>CU_ARS_2025_WOF_F2_9_plant_59</v>
      </c>
      <c r="P663" t="str">
        <f>VLOOKUP(C663,CU_ARS_2025_WOF_F2!$A$2:$K$673,3,FALSE)</f>
        <v>CU_ARS_2025_WOF_F2_9</v>
      </c>
      <c r="Q663" t="str">
        <f>VLOOKUP(C663,CU_ARS_2025_WOF_F2!$A$2:$K$673,4,FALSE)</f>
        <v>CU_ARS_2025_WOF_cross_1</v>
      </c>
      <c r="R663">
        <f>VLOOKUP(C663,CU_ARS_2025_WOF_F2!$A$2:$K$673,5,FALSE)</f>
        <v>9</v>
      </c>
      <c r="S663">
        <f>VLOOKUP(C663,CU_ARS_2025_WOF_F2!$A$2:$K$673,6,FALSE)</f>
        <v>1</v>
      </c>
      <c r="T663">
        <f>VLOOKUP(C663,CU_ARS_2025_WOF_F2!$A$2:$K$673,7,FALSE)</f>
        <v>0</v>
      </c>
      <c r="U663">
        <f>VLOOKUP(C663,CU_ARS_2025_WOF_F2!$A$2:$K$673,8,FALSE)</f>
        <v>1</v>
      </c>
      <c r="V663">
        <f>VLOOKUP(C663,CU_ARS_2025_WOF_F2!$A$2:$K$673,9,FALSE)</f>
        <v>0</v>
      </c>
      <c r="W663">
        <f>VLOOKUP(C663,CU_ARS_2025_WOF_F2!$A$2:$K$673,10,FALSE)</f>
        <v>0</v>
      </c>
      <c r="X663">
        <f>VLOOKUP(C663,CU_ARS_2025_WOF_F2!$A$2:$K$673,11,FALSE)</f>
        <v>59</v>
      </c>
      <c r="Y663" t="str">
        <f>VLOOKUP(Q663,cross_pedigree!$A$2:$B$23,2,FALSE)</f>
        <v>AURORA/AWNLESS_CURLED</v>
      </c>
    </row>
    <row r="664" spans="1:25" ht="18">
      <c r="A664" s="3" t="s">
        <v>15</v>
      </c>
      <c r="B664" s="3" t="s">
        <v>16</v>
      </c>
      <c r="C664" s="2">
        <v>753620</v>
      </c>
      <c r="D664" s="4">
        <v>7</v>
      </c>
      <c r="E664" s="24" t="str">
        <f t="shared" si="10"/>
        <v>CU_ARS_2025_WOF_F2_9_plant_60</v>
      </c>
      <c r="F664" s="3" t="s">
        <v>55</v>
      </c>
      <c r="G664" s="44">
        <v>87</v>
      </c>
      <c r="H664" s="42"/>
      <c r="I664" s="42" t="s">
        <v>1014</v>
      </c>
      <c r="J664" s="42" t="s">
        <v>1003</v>
      </c>
      <c r="K664" s="42"/>
      <c r="L664" s="42"/>
      <c r="M664" s="42"/>
      <c r="N664" t="str">
        <f>VLOOKUP(C664,CU_ARS_2025_WOF_F2!$A$2:$K$673,2,FALSE)</f>
        <v>CU_ARS_2025_WOF_F2_9_plant_60</v>
      </c>
      <c r="O664" t="str">
        <f>VLOOKUP(C664,CU_ARS_2025_WOF_F2!$A$2:$K$673,2,FALSE)</f>
        <v>CU_ARS_2025_WOF_F2_9_plant_60</v>
      </c>
      <c r="P664" t="str">
        <f>VLOOKUP(C664,CU_ARS_2025_WOF_F2!$A$2:$K$673,3,FALSE)</f>
        <v>CU_ARS_2025_WOF_F2_9</v>
      </c>
      <c r="Q664" t="str">
        <f>VLOOKUP(C664,CU_ARS_2025_WOF_F2!$A$2:$K$673,4,FALSE)</f>
        <v>CU_ARS_2025_WOF_cross_1</v>
      </c>
      <c r="R664">
        <f>VLOOKUP(C664,CU_ARS_2025_WOF_F2!$A$2:$K$673,5,FALSE)</f>
        <v>9</v>
      </c>
      <c r="S664">
        <f>VLOOKUP(C664,CU_ARS_2025_WOF_F2!$A$2:$K$673,6,FALSE)</f>
        <v>1</v>
      </c>
      <c r="T664">
        <f>VLOOKUP(C664,CU_ARS_2025_WOF_F2!$A$2:$K$673,7,FALSE)</f>
        <v>0</v>
      </c>
      <c r="U664">
        <f>VLOOKUP(C664,CU_ARS_2025_WOF_F2!$A$2:$K$673,8,FALSE)</f>
        <v>1</v>
      </c>
      <c r="V664">
        <f>VLOOKUP(C664,CU_ARS_2025_WOF_F2!$A$2:$K$673,9,FALSE)</f>
        <v>0</v>
      </c>
      <c r="W664">
        <f>VLOOKUP(C664,CU_ARS_2025_WOF_F2!$A$2:$K$673,10,FALSE)</f>
        <v>0</v>
      </c>
      <c r="X664">
        <f>VLOOKUP(C664,CU_ARS_2025_WOF_F2!$A$2:$K$673,11,FALSE)</f>
        <v>60</v>
      </c>
      <c r="Y664" t="str">
        <f>VLOOKUP(Q664,cross_pedigree!$A$2:$B$23,2,FALSE)</f>
        <v>AURORA/AWNLESS_CURLED</v>
      </c>
    </row>
    <row r="665" spans="1:25" ht="18">
      <c r="A665" s="3" t="s">
        <v>15</v>
      </c>
      <c r="B665" s="3" t="s">
        <v>16</v>
      </c>
      <c r="C665" s="2">
        <v>753621</v>
      </c>
      <c r="D665" s="4">
        <v>7</v>
      </c>
      <c r="E665" s="24" t="str">
        <f t="shared" si="10"/>
        <v>CU_ARS_2025_WOF_F2_9_plant_61</v>
      </c>
      <c r="F665" s="3" t="s">
        <v>57</v>
      </c>
      <c r="G665" s="44">
        <v>88</v>
      </c>
      <c r="H665" s="42"/>
      <c r="I665" s="42" t="s">
        <v>1014</v>
      </c>
      <c r="J665" s="42" t="s">
        <v>1003</v>
      </c>
      <c r="K665" s="42"/>
      <c r="L665" s="42"/>
      <c r="M665" s="42"/>
      <c r="N665" t="str">
        <f>VLOOKUP(C665,CU_ARS_2025_WOF_F2!$A$2:$K$673,2,FALSE)</f>
        <v>CU_ARS_2025_WOF_F2_9_plant_61</v>
      </c>
      <c r="O665" t="str">
        <f>VLOOKUP(C665,CU_ARS_2025_WOF_F2!$A$2:$K$673,2,FALSE)</f>
        <v>CU_ARS_2025_WOF_F2_9_plant_61</v>
      </c>
      <c r="P665" t="str">
        <f>VLOOKUP(C665,CU_ARS_2025_WOF_F2!$A$2:$K$673,3,FALSE)</f>
        <v>CU_ARS_2025_WOF_F2_9</v>
      </c>
      <c r="Q665" t="str">
        <f>VLOOKUP(C665,CU_ARS_2025_WOF_F2!$A$2:$K$673,4,FALSE)</f>
        <v>CU_ARS_2025_WOF_cross_1</v>
      </c>
      <c r="R665">
        <f>VLOOKUP(C665,CU_ARS_2025_WOF_F2!$A$2:$K$673,5,FALSE)</f>
        <v>9</v>
      </c>
      <c r="S665">
        <f>VLOOKUP(C665,CU_ARS_2025_WOF_F2!$A$2:$K$673,6,FALSE)</f>
        <v>1</v>
      </c>
      <c r="T665">
        <f>VLOOKUP(C665,CU_ARS_2025_WOF_F2!$A$2:$K$673,7,FALSE)</f>
        <v>0</v>
      </c>
      <c r="U665">
        <f>VLOOKUP(C665,CU_ARS_2025_WOF_F2!$A$2:$K$673,8,FALSE)</f>
        <v>1</v>
      </c>
      <c r="V665">
        <f>VLOOKUP(C665,CU_ARS_2025_WOF_F2!$A$2:$K$673,9,FALSE)</f>
        <v>0</v>
      </c>
      <c r="W665">
        <f>VLOOKUP(C665,CU_ARS_2025_WOF_F2!$A$2:$K$673,10,FALSE)</f>
        <v>0</v>
      </c>
      <c r="X665">
        <f>VLOOKUP(C665,CU_ARS_2025_WOF_F2!$A$2:$K$673,11,FALSE)</f>
        <v>61</v>
      </c>
      <c r="Y665" t="str">
        <f>VLOOKUP(Q665,cross_pedigree!$A$2:$B$23,2,FALSE)</f>
        <v>AURORA/AWNLESS_CURLED</v>
      </c>
    </row>
    <row r="666" spans="1:25" ht="18">
      <c r="A666" s="3" t="s">
        <v>15</v>
      </c>
      <c r="B666" s="3" t="s">
        <v>16</v>
      </c>
      <c r="C666" s="2">
        <v>753627</v>
      </c>
      <c r="D666" s="4">
        <v>7</v>
      </c>
      <c r="E666" s="24" t="str">
        <f t="shared" si="10"/>
        <v>CU_ARS_2025_WOF_F2_9_plant_67</v>
      </c>
      <c r="F666" s="3" t="s">
        <v>59</v>
      </c>
      <c r="G666" s="44">
        <v>89</v>
      </c>
      <c r="H666" s="42"/>
      <c r="I666" s="42" t="s">
        <v>1014</v>
      </c>
      <c r="J666" s="42" t="s">
        <v>1003</v>
      </c>
      <c r="K666" s="42"/>
      <c r="L666" s="42"/>
      <c r="M666" s="42"/>
      <c r="N666" t="str">
        <f>VLOOKUP(C666,CU_ARS_2025_WOF_F2!$A$2:$K$673,2,FALSE)</f>
        <v>CU_ARS_2025_WOF_F2_9_plant_67</v>
      </c>
      <c r="O666" t="str">
        <f>VLOOKUP(C666,CU_ARS_2025_WOF_F2!$A$2:$K$673,2,FALSE)</f>
        <v>CU_ARS_2025_WOF_F2_9_plant_67</v>
      </c>
      <c r="P666" t="str">
        <f>VLOOKUP(C666,CU_ARS_2025_WOF_F2!$A$2:$K$673,3,FALSE)</f>
        <v>CU_ARS_2025_WOF_F2_9</v>
      </c>
      <c r="Q666" t="str">
        <f>VLOOKUP(C666,CU_ARS_2025_WOF_F2!$A$2:$K$673,4,FALSE)</f>
        <v>CU_ARS_2025_WOF_cross_1</v>
      </c>
      <c r="R666">
        <f>VLOOKUP(C666,CU_ARS_2025_WOF_F2!$A$2:$K$673,5,FALSE)</f>
        <v>9</v>
      </c>
      <c r="S666">
        <f>VLOOKUP(C666,CU_ARS_2025_WOF_F2!$A$2:$K$673,6,FALSE)</f>
        <v>1</v>
      </c>
      <c r="T666">
        <f>VLOOKUP(C666,CU_ARS_2025_WOF_F2!$A$2:$K$673,7,FALSE)</f>
        <v>0</v>
      </c>
      <c r="U666">
        <f>VLOOKUP(C666,CU_ARS_2025_WOF_F2!$A$2:$K$673,8,FALSE)</f>
        <v>1</v>
      </c>
      <c r="V666">
        <f>VLOOKUP(C666,CU_ARS_2025_WOF_F2!$A$2:$K$673,9,FALSE)</f>
        <v>0</v>
      </c>
      <c r="W666">
        <f>VLOOKUP(C666,CU_ARS_2025_WOF_F2!$A$2:$K$673,10,FALSE)</f>
        <v>0</v>
      </c>
      <c r="X666">
        <f>VLOOKUP(C666,CU_ARS_2025_WOF_F2!$A$2:$K$673,11,FALSE)</f>
        <v>67</v>
      </c>
      <c r="Y666" t="str">
        <f>VLOOKUP(Q666,cross_pedigree!$A$2:$B$23,2,FALSE)</f>
        <v>AURORA/AWNLESS_CURLED</v>
      </c>
    </row>
    <row r="667" spans="1:25" ht="18">
      <c r="A667" s="3" t="s">
        <v>15</v>
      </c>
      <c r="B667" s="3" t="s">
        <v>16</v>
      </c>
      <c r="C667" s="2">
        <v>753565</v>
      </c>
      <c r="D667" s="4">
        <v>7</v>
      </c>
      <c r="E667" s="24" t="str">
        <f t="shared" si="10"/>
        <v>CU_ARS_2025_WOF_F2_9_plant_5</v>
      </c>
      <c r="F667" s="3" t="s">
        <v>61</v>
      </c>
      <c r="G667" s="44">
        <v>90</v>
      </c>
      <c r="H667" s="42"/>
      <c r="I667" s="42" t="s">
        <v>1014</v>
      </c>
      <c r="J667" s="42" t="s">
        <v>1003</v>
      </c>
      <c r="K667" s="42"/>
      <c r="L667" s="42"/>
      <c r="M667" s="42"/>
      <c r="N667" t="str">
        <f>VLOOKUP(C667,CU_ARS_2025_WOF_F2!$A$2:$K$673,2,FALSE)</f>
        <v>CU_ARS_2025_WOF_F2_9_plant_5</v>
      </c>
      <c r="O667" t="str">
        <f>VLOOKUP(C667,CU_ARS_2025_WOF_F2!$A$2:$K$673,2,FALSE)</f>
        <v>CU_ARS_2025_WOF_F2_9_plant_5</v>
      </c>
      <c r="P667" t="str">
        <f>VLOOKUP(C667,CU_ARS_2025_WOF_F2!$A$2:$K$673,3,FALSE)</f>
        <v>CU_ARS_2025_WOF_F2_9</v>
      </c>
      <c r="Q667" t="str">
        <f>VLOOKUP(C667,CU_ARS_2025_WOF_F2!$A$2:$K$673,4,FALSE)</f>
        <v>CU_ARS_2025_WOF_cross_1</v>
      </c>
      <c r="R667">
        <f>VLOOKUP(C667,CU_ARS_2025_WOF_F2!$A$2:$K$673,5,FALSE)</f>
        <v>9</v>
      </c>
      <c r="S667">
        <f>VLOOKUP(C667,CU_ARS_2025_WOF_F2!$A$2:$K$673,6,FALSE)</f>
        <v>1</v>
      </c>
      <c r="T667">
        <f>VLOOKUP(C667,CU_ARS_2025_WOF_F2!$A$2:$K$673,7,FALSE)</f>
        <v>0</v>
      </c>
      <c r="U667">
        <f>VLOOKUP(C667,CU_ARS_2025_WOF_F2!$A$2:$K$673,8,FALSE)</f>
        <v>1</v>
      </c>
      <c r="V667">
        <f>VLOOKUP(C667,CU_ARS_2025_WOF_F2!$A$2:$K$673,9,FALSE)</f>
        <v>0</v>
      </c>
      <c r="W667">
        <f>VLOOKUP(C667,CU_ARS_2025_WOF_F2!$A$2:$K$673,10,FALSE)</f>
        <v>0</v>
      </c>
      <c r="X667">
        <f>VLOOKUP(C667,CU_ARS_2025_WOF_F2!$A$2:$K$673,11,FALSE)</f>
        <v>5</v>
      </c>
      <c r="Y667" t="str">
        <f>VLOOKUP(Q667,cross_pedigree!$A$2:$B$23,2,FALSE)</f>
        <v>AURORA/AWNLESS_CURLED</v>
      </c>
    </row>
    <row r="668" spans="1:25" ht="18">
      <c r="A668" s="3" t="s">
        <v>15</v>
      </c>
      <c r="B668" s="3" t="s">
        <v>16</v>
      </c>
      <c r="C668" s="2">
        <v>753567</v>
      </c>
      <c r="D668" s="4">
        <v>7</v>
      </c>
      <c r="E668" s="24" t="str">
        <f t="shared" si="10"/>
        <v>CU_ARS_2025_WOF_F2_9_plant_7</v>
      </c>
      <c r="F668" s="3" t="s">
        <v>63</v>
      </c>
      <c r="G668" s="44">
        <v>91</v>
      </c>
      <c r="H668" s="42"/>
      <c r="I668" s="42" t="s">
        <v>1014</v>
      </c>
      <c r="J668" s="42" t="s">
        <v>1003</v>
      </c>
      <c r="K668" s="42"/>
      <c r="L668" s="42"/>
      <c r="M668" s="42"/>
      <c r="N668" t="str">
        <f>VLOOKUP(C668,CU_ARS_2025_WOF_F2!$A$2:$K$673,2,FALSE)</f>
        <v>CU_ARS_2025_WOF_F2_9_plant_7</v>
      </c>
      <c r="O668" t="str">
        <f>VLOOKUP(C668,CU_ARS_2025_WOF_F2!$A$2:$K$673,2,FALSE)</f>
        <v>CU_ARS_2025_WOF_F2_9_plant_7</v>
      </c>
      <c r="P668" t="str">
        <f>VLOOKUP(C668,CU_ARS_2025_WOF_F2!$A$2:$K$673,3,FALSE)</f>
        <v>CU_ARS_2025_WOF_F2_9</v>
      </c>
      <c r="Q668" t="str">
        <f>VLOOKUP(C668,CU_ARS_2025_WOF_F2!$A$2:$K$673,4,FALSE)</f>
        <v>CU_ARS_2025_WOF_cross_1</v>
      </c>
      <c r="R668">
        <f>VLOOKUP(C668,CU_ARS_2025_WOF_F2!$A$2:$K$673,5,FALSE)</f>
        <v>9</v>
      </c>
      <c r="S668">
        <f>VLOOKUP(C668,CU_ARS_2025_WOF_F2!$A$2:$K$673,6,FALSE)</f>
        <v>1</v>
      </c>
      <c r="T668">
        <f>VLOOKUP(C668,CU_ARS_2025_WOF_F2!$A$2:$K$673,7,FALSE)</f>
        <v>0</v>
      </c>
      <c r="U668">
        <f>VLOOKUP(C668,CU_ARS_2025_WOF_F2!$A$2:$K$673,8,FALSE)</f>
        <v>1</v>
      </c>
      <c r="V668">
        <f>VLOOKUP(C668,CU_ARS_2025_WOF_F2!$A$2:$K$673,9,FALSE)</f>
        <v>0</v>
      </c>
      <c r="W668">
        <f>VLOOKUP(C668,CU_ARS_2025_WOF_F2!$A$2:$K$673,10,FALSE)</f>
        <v>0</v>
      </c>
      <c r="X668">
        <f>VLOOKUP(C668,CU_ARS_2025_WOF_F2!$A$2:$K$673,11,FALSE)</f>
        <v>7</v>
      </c>
      <c r="Y668" t="str">
        <f>VLOOKUP(Q668,cross_pedigree!$A$2:$B$23,2,FALSE)</f>
        <v>AURORA/AWNLESS_CURLED</v>
      </c>
    </row>
    <row r="669" spans="1:25" ht="18">
      <c r="A669" s="3" t="s">
        <v>15</v>
      </c>
      <c r="B669" s="3" t="s">
        <v>16</v>
      </c>
      <c r="C669" s="2">
        <v>753568</v>
      </c>
      <c r="D669" s="4">
        <v>7</v>
      </c>
      <c r="E669" s="24" t="str">
        <f t="shared" si="10"/>
        <v>CU_ARS_2025_WOF_F2_9_plant_8</v>
      </c>
      <c r="F669" s="3" t="s">
        <v>65</v>
      </c>
      <c r="G669" s="44">
        <v>92</v>
      </c>
      <c r="H669" s="42"/>
      <c r="I669" s="42" t="s">
        <v>1014</v>
      </c>
      <c r="J669" s="42" t="s">
        <v>1003</v>
      </c>
      <c r="K669" s="42"/>
      <c r="L669" s="42"/>
      <c r="M669" s="42"/>
      <c r="N669" t="str">
        <f>VLOOKUP(C669,CU_ARS_2025_WOF_F2!$A$2:$K$673,2,FALSE)</f>
        <v>CU_ARS_2025_WOF_F2_9_plant_8</v>
      </c>
      <c r="O669" t="str">
        <f>VLOOKUP(C669,CU_ARS_2025_WOF_F2!$A$2:$K$673,2,FALSE)</f>
        <v>CU_ARS_2025_WOF_F2_9_plant_8</v>
      </c>
      <c r="P669" t="str">
        <f>VLOOKUP(C669,CU_ARS_2025_WOF_F2!$A$2:$K$673,3,FALSE)</f>
        <v>CU_ARS_2025_WOF_F2_9</v>
      </c>
      <c r="Q669" t="str">
        <f>VLOOKUP(C669,CU_ARS_2025_WOF_F2!$A$2:$K$673,4,FALSE)</f>
        <v>CU_ARS_2025_WOF_cross_1</v>
      </c>
      <c r="R669">
        <f>VLOOKUP(C669,CU_ARS_2025_WOF_F2!$A$2:$K$673,5,FALSE)</f>
        <v>9</v>
      </c>
      <c r="S669">
        <f>VLOOKUP(C669,CU_ARS_2025_WOF_F2!$A$2:$K$673,6,FALSE)</f>
        <v>1</v>
      </c>
      <c r="T669">
        <f>VLOOKUP(C669,CU_ARS_2025_WOF_F2!$A$2:$K$673,7,FALSE)</f>
        <v>0</v>
      </c>
      <c r="U669">
        <f>VLOOKUP(C669,CU_ARS_2025_WOF_F2!$A$2:$K$673,8,FALSE)</f>
        <v>1</v>
      </c>
      <c r="V669">
        <f>VLOOKUP(C669,CU_ARS_2025_WOF_F2!$A$2:$K$673,9,FALSE)</f>
        <v>0</v>
      </c>
      <c r="W669">
        <f>VLOOKUP(C669,CU_ARS_2025_WOF_F2!$A$2:$K$673,10,FALSE)</f>
        <v>0</v>
      </c>
      <c r="X669">
        <f>VLOOKUP(C669,CU_ARS_2025_WOF_F2!$A$2:$K$673,11,FALSE)</f>
        <v>8</v>
      </c>
      <c r="Y669" t="str">
        <f>VLOOKUP(Q669,cross_pedigree!$A$2:$B$23,2,FALSE)</f>
        <v>AURORA/AWNLESS_CURLED</v>
      </c>
    </row>
    <row r="670" spans="1:25" ht="18">
      <c r="A670" s="3" t="s">
        <v>15</v>
      </c>
      <c r="B670" s="3" t="s">
        <v>16</v>
      </c>
      <c r="C670" s="2">
        <v>753574</v>
      </c>
      <c r="D670" s="4">
        <v>7</v>
      </c>
      <c r="E670" s="24" t="str">
        <f t="shared" si="10"/>
        <v>CU_ARS_2025_WOF_F2_9_plant_14</v>
      </c>
      <c r="F670" s="3" t="s">
        <v>67</v>
      </c>
      <c r="G670" s="44">
        <v>93</v>
      </c>
      <c r="H670" s="42"/>
      <c r="I670" s="42" t="s">
        <v>1014</v>
      </c>
      <c r="J670" s="42" t="s">
        <v>1003</v>
      </c>
      <c r="K670" s="42"/>
      <c r="L670" s="42"/>
      <c r="M670" s="42"/>
      <c r="N670" t="str">
        <f>VLOOKUP(C670,CU_ARS_2025_WOF_F2!$A$2:$K$673,2,FALSE)</f>
        <v>CU_ARS_2025_WOF_F2_9_plant_14</v>
      </c>
      <c r="O670" t="str">
        <f>VLOOKUP(C670,CU_ARS_2025_WOF_F2!$A$2:$K$673,2,FALSE)</f>
        <v>CU_ARS_2025_WOF_F2_9_plant_14</v>
      </c>
      <c r="P670" t="str">
        <f>VLOOKUP(C670,CU_ARS_2025_WOF_F2!$A$2:$K$673,3,FALSE)</f>
        <v>CU_ARS_2025_WOF_F2_9</v>
      </c>
      <c r="Q670" t="str">
        <f>VLOOKUP(C670,CU_ARS_2025_WOF_F2!$A$2:$K$673,4,FALSE)</f>
        <v>CU_ARS_2025_WOF_cross_1</v>
      </c>
      <c r="R670">
        <f>VLOOKUP(C670,CU_ARS_2025_WOF_F2!$A$2:$K$673,5,FALSE)</f>
        <v>9</v>
      </c>
      <c r="S670">
        <f>VLOOKUP(C670,CU_ARS_2025_WOF_F2!$A$2:$K$673,6,FALSE)</f>
        <v>1</v>
      </c>
      <c r="T670">
        <f>VLOOKUP(C670,CU_ARS_2025_WOF_F2!$A$2:$K$673,7,FALSE)</f>
        <v>0</v>
      </c>
      <c r="U670">
        <f>VLOOKUP(C670,CU_ARS_2025_WOF_F2!$A$2:$K$673,8,FALSE)</f>
        <v>1</v>
      </c>
      <c r="V670">
        <f>VLOOKUP(C670,CU_ARS_2025_WOF_F2!$A$2:$K$673,9,FALSE)</f>
        <v>0</v>
      </c>
      <c r="W670">
        <f>VLOOKUP(C670,CU_ARS_2025_WOF_F2!$A$2:$K$673,10,FALSE)</f>
        <v>0</v>
      </c>
      <c r="X670">
        <f>VLOOKUP(C670,CU_ARS_2025_WOF_F2!$A$2:$K$673,11,FALSE)</f>
        <v>14</v>
      </c>
      <c r="Y670" t="str">
        <f>VLOOKUP(Q670,cross_pedigree!$A$2:$B$23,2,FALSE)</f>
        <v>AURORA/AWNLESS_CURLED</v>
      </c>
    </row>
    <row r="671" spans="1:25" ht="18">
      <c r="A671" s="3" t="s">
        <v>15</v>
      </c>
      <c r="B671" s="3" t="s">
        <v>16</v>
      </c>
      <c r="C671" s="2">
        <v>753575</v>
      </c>
      <c r="D671" s="4">
        <v>7</v>
      </c>
      <c r="E671" s="24" t="str">
        <f t="shared" si="10"/>
        <v>CU_ARS_2025_WOF_F2_9_plant_15</v>
      </c>
      <c r="F671" s="3" t="s">
        <v>96</v>
      </c>
      <c r="G671" s="44">
        <v>94</v>
      </c>
      <c r="H671" s="42"/>
      <c r="I671" s="42" t="s">
        <v>1014</v>
      </c>
      <c r="J671" s="42" t="s">
        <v>1003</v>
      </c>
      <c r="K671" s="42"/>
      <c r="L671" s="42"/>
      <c r="M671" s="42"/>
      <c r="N671" t="str">
        <f>VLOOKUP(C671,CU_ARS_2025_WOF_F2!$A$2:$K$673,2,FALSE)</f>
        <v>CU_ARS_2025_WOF_F2_9_plant_15</v>
      </c>
      <c r="O671" t="str">
        <f>VLOOKUP(C671,CU_ARS_2025_WOF_F2!$A$2:$K$673,2,FALSE)</f>
        <v>CU_ARS_2025_WOF_F2_9_plant_15</v>
      </c>
      <c r="P671" t="str">
        <f>VLOOKUP(C671,CU_ARS_2025_WOF_F2!$A$2:$K$673,3,FALSE)</f>
        <v>CU_ARS_2025_WOF_F2_9</v>
      </c>
      <c r="Q671" t="str">
        <f>VLOOKUP(C671,CU_ARS_2025_WOF_F2!$A$2:$K$673,4,FALSE)</f>
        <v>CU_ARS_2025_WOF_cross_1</v>
      </c>
      <c r="R671">
        <f>VLOOKUP(C671,CU_ARS_2025_WOF_F2!$A$2:$K$673,5,FALSE)</f>
        <v>9</v>
      </c>
      <c r="S671">
        <f>VLOOKUP(C671,CU_ARS_2025_WOF_F2!$A$2:$K$673,6,FALSE)</f>
        <v>1</v>
      </c>
      <c r="T671">
        <f>VLOOKUP(C671,CU_ARS_2025_WOF_F2!$A$2:$K$673,7,FALSE)</f>
        <v>0</v>
      </c>
      <c r="U671">
        <f>VLOOKUP(C671,CU_ARS_2025_WOF_F2!$A$2:$K$673,8,FALSE)</f>
        <v>1</v>
      </c>
      <c r="V671">
        <f>VLOOKUP(C671,CU_ARS_2025_WOF_F2!$A$2:$K$673,9,FALSE)</f>
        <v>0</v>
      </c>
      <c r="W671">
        <f>VLOOKUP(C671,CU_ARS_2025_WOF_F2!$A$2:$K$673,10,FALSE)</f>
        <v>0</v>
      </c>
      <c r="X671">
        <f>VLOOKUP(C671,CU_ARS_2025_WOF_F2!$A$2:$K$673,11,FALSE)</f>
        <v>15</v>
      </c>
      <c r="Y671" t="str">
        <f>VLOOKUP(Q671,cross_pedigree!$A$2:$B$23,2,FALSE)</f>
        <v>AURORA/AWNLESS_CURLED</v>
      </c>
    </row>
    <row r="672" spans="1:25" ht="18">
      <c r="A672" s="3" t="s">
        <v>15</v>
      </c>
      <c r="B672" s="3" t="s">
        <v>16</v>
      </c>
      <c r="C672" s="2">
        <v>753576</v>
      </c>
      <c r="D672" s="4">
        <v>7</v>
      </c>
      <c r="E672" s="24" t="str">
        <f t="shared" si="10"/>
        <v>CU_ARS_2025_WOF_F2_9_plant_16</v>
      </c>
      <c r="F672" s="3" t="s">
        <v>97</v>
      </c>
      <c r="G672" s="44">
        <v>95</v>
      </c>
      <c r="H672" s="42"/>
      <c r="I672" s="42" t="s">
        <v>1014</v>
      </c>
      <c r="J672" s="42" t="s">
        <v>1003</v>
      </c>
      <c r="K672" s="42"/>
      <c r="L672" s="42"/>
      <c r="M672" s="42"/>
      <c r="N672" t="str">
        <f>VLOOKUP(C672,CU_ARS_2025_WOF_F2!$A$2:$K$673,2,FALSE)</f>
        <v>CU_ARS_2025_WOF_F2_9_plant_16</v>
      </c>
      <c r="O672" t="str">
        <f>VLOOKUP(C672,CU_ARS_2025_WOF_F2!$A$2:$K$673,2,FALSE)</f>
        <v>CU_ARS_2025_WOF_F2_9_plant_16</v>
      </c>
      <c r="P672" t="str">
        <f>VLOOKUP(C672,CU_ARS_2025_WOF_F2!$A$2:$K$673,3,FALSE)</f>
        <v>CU_ARS_2025_WOF_F2_9</v>
      </c>
      <c r="Q672" t="str">
        <f>VLOOKUP(C672,CU_ARS_2025_WOF_F2!$A$2:$K$673,4,FALSE)</f>
        <v>CU_ARS_2025_WOF_cross_1</v>
      </c>
      <c r="R672">
        <f>VLOOKUP(C672,CU_ARS_2025_WOF_F2!$A$2:$K$673,5,FALSE)</f>
        <v>9</v>
      </c>
      <c r="S672">
        <f>VLOOKUP(C672,CU_ARS_2025_WOF_F2!$A$2:$K$673,6,FALSE)</f>
        <v>1</v>
      </c>
      <c r="T672">
        <f>VLOOKUP(C672,CU_ARS_2025_WOF_F2!$A$2:$K$673,7,FALSE)</f>
        <v>0</v>
      </c>
      <c r="U672">
        <f>VLOOKUP(C672,CU_ARS_2025_WOF_F2!$A$2:$K$673,8,FALSE)</f>
        <v>1</v>
      </c>
      <c r="V672">
        <f>VLOOKUP(C672,CU_ARS_2025_WOF_F2!$A$2:$K$673,9,FALSE)</f>
        <v>0</v>
      </c>
      <c r="W672">
        <f>VLOOKUP(C672,CU_ARS_2025_WOF_F2!$A$2:$K$673,10,FALSE)</f>
        <v>0</v>
      </c>
      <c r="X672">
        <f>VLOOKUP(C672,CU_ARS_2025_WOF_F2!$A$2:$K$673,11,FALSE)</f>
        <v>16</v>
      </c>
      <c r="Y672" t="str">
        <f>VLOOKUP(Q672,cross_pedigree!$A$2:$B$23,2,FALSE)</f>
        <v>AURORA/AWNLESS_CURLED</v>
      </c>
    </row>
    <row r="673" spans="1:25" ht="18">
      <c r="A673" s="39" t="s">
        <v>15</v>
      </c>
      <c r="B673" s="39" t="s">
        <v>16</v>
      </c>
      <c r="C673" s="40">
        <v>753588</v>
      </c>
      <c r="D673" s="41">
        <v>7</v>
      </c>
      <c r="E673" s="38" t="str">
        <f t="shared" si="10"/>
        <v>CU_ARS_2025_WOF_F2_9_plant_28</v>
      </c>
      <c r="F673" s="39" t="s">
        <v>47</v>
      </c>
      <c r="G673" s="45">
        <v>96</v>
      </c>
      <c r="H673" s="42"/>
      <c r="I673" s="42" t="s">
        <v>1014</v>
      </c>
      <c r="J673" s="42" t="s">
        <v>1003</v>
      </c>
      <c r="K673" s="42"/>
      <c r="L673" s="42"/>
      <c r="M673" s="42"/>
      <c r="N673" t="str">
        <f>VLOOKUP(C673,CU_ARS_2025_WOF_F2!$A$2:$K$673,2,FALSE)</f>
        <v>CU_ARS_2025_WOF_F2_9_plant_28</v>
      </c>
      <c r="O673" t="str">
        <f>VLOOKUP(C673,CU_ARS_2025_WOF_F2!$A$2:$K$673,2,FALSE)</f>
        <v>CU_ARS_2025_WOF_F2_9_plant_28</v>
      </c>
      <c r="P673" t="str">
        <f>VLOOKUP(C673,CU_ARS_2025_WOF_F2!$A$2:$K$673,3,FALSE)</f>
        <v>CU_ARS_2025_WOF_F2_9</v>
      </c>
      <c r="Q673" t="str">
        <f>VLOOKUP(C673,CU_ARS_2025_WOF_F2!$A$2:$K$673,4,FALSE)</f>
        <v>CU_ARS_2025_WOF_cross_1</v>
      </c>
      <c r="R673">
        <f>VLOOKUP(C673,CU_ARS_2025_WOF_F2!$A$2:$K$673,5,FALSE)</f>
        <v>9</v>
      </c>
      <c r="S673">
        <f>VLOOKUP(C673,CU_ARS_2025_WOF_F2!$A$2:$K$673,6,FALSE)</f>
        <v>1</v>
      </c>
      <c r="T673">
        <f>VLOOKUP(C673,CU_ARS_2025_WOF_F2!$A$2:$K$673,7,FALSE)</f>
        <v>0</v>
      </c>
      <c r="U673">
        <f>VLOOKUP(C673,CU_ARS_2025_WOF_F2!$A$2:$K$673,8,FALSE)</f>
        <v>1</v>
      </c>
      <c r="V673">
        <f>VLOOKUP(C673,CU_ARS_2025_WOF_F2!$A$2:$K$673,9,FALSE)</f>
        <v>0</v>
      </c>
      <c r="W673">
        <f>VLOOKUP(C673,CU_ARS_2025_WOF_F2!$A$2:$K$673,10,FALSE)</f>
        <v>0</v>
      </c>
      <c r="X673">
        <f>VLOOKUP(C673,CU_ARS_2025_WOF_F2!$A$2:$K$673,11,FALSE)</f>
        <v>28</v>
      </c>
      <c r="Y673" t="str">
        <f>VLOOKUP(Q673,cross_pedigree!$A$2:$B$23,2,FALSE)</f>
        <v>AURORA/AWNLESS_CURLED</v>
      </c>
    </row>
    <row r="674" spans="1:25" ht="18">
      <c r="A674" s="42"/>
      <c r="B674" s="42"/>
      <c r="C674" s="9" t="s">
        <v>1006</v>
      </c>
      <c r="D674" s="9">
        <v>8</v>
      </c>
      <c r="E674" s="5" t="s">
        <v>1004</v>
      </c>
      <c r="F674" s="3" t="s">
        <v>100</v>
      </c>
      <c r="G674" s="10" t="s">
        <v>101</v>
      </c>
      <c r="H674" s="42"/>
      <c r="I674" s="42" t="s">
        <v>1004</v>
      </c>
      <c r="J674" s="42"/>
      <c r="K674" s="42"/>
      <c r="L674" s="42"/>
      <c r="M674" s="42"/>
      <c r="Q674" s="33" t="s">
        <v>1004</v>
      </c>
      <c r="Y674" s="33" t="s">
        <v>1004</v>
      </c>
    </row>
    <row r="675" spans="1:25" ht="18">
      <c r="A675" s="42"/>
      <c r="B675" s="42"/>
      <c r="C675" s="9" t="s">
        <v>1007</v>
      </c>
      <c r="D675" s="9">
        <v>8</v>
      </c>
      <c r="E675" s="5" t="s">
        <v>1004</v>
      </c>
      <c r="F675" s="3" t="s">
        <v>102</v>
      </c>
      <c r="G675" s="10" t="s">
        <v>103</v>
      </c>
      <c r="H675" s="42"/>
      <c r="I675" s="42" t="s">
        <v>1004</v>
      </c>
      <c r="J675" s="42"/>
      <c r="K675" s="42"/>
      <c r="L675" s="42"/>
      <c r="M675" s="42"/>
      <c r="Q675" s="33" t="s">
        <v>1004</v>
      </c>
      <c r="Y675" s="33" t="s">
        <v>1004</v>
      </c>
    </row>
    <row r="676" spans="1:25" ht="18">
      <c r="A676" s="42"/>
      <c r="B676" s="42"/>
      <c r="C676" s="9" t="s">
        <v>1008</v>
      </c>
      <c r="D676" s="9">
        <v>8</v>
      </c>
      <c r="E676" s="5" t="s">
        <v>1004</v>
      </c>
      <c r="F676" s="3" t="s">
        <v>104</v>
      </c>
      <c r="G676" s="10" t="s">
        <v>105</v>
      </c>
      <c r="H676" s="42"/>
      <c r="I676" s="42" t="s">
        <v>1004</v>
      </c>
      <c r="J676" s="42"/>
      <c r="K676" s="42"/>
      <c r="L676" s="42"/>
      <c r="M676" s="42"/>
      <c r="Q676" s="33" t="s">
        <v>1004</v>
      </c>
      <c r="Y676" s="33" t="s">
        <v>1004</v>
      </c>
    </row>
    <row r="677" spans="1:25" ht="18">
      <c r="A677" s="42"/>
      <c r="B677" s="42"/>
      <c r="C677" s="9" t="s">
        <v>1009</v>
      </c>
      <c r="D677" s="9">
        <v>8</v>
      </c>
      <c r="E677" s="5" t="s">
        <v>1005</v>
      </c>
      <c r="F677" s="3" t="s">
        <v>69</v>
      </c>
      <c r="G677" s="10" t="s">
        <v>106</v>
      </c>
      <c r="H677" s="42"/>
      <c r="I677" s="42" t="s">
        <v>1005</v>
      </c>
      <c r="J677" s="42"/>
      <c r="K677" s="42"/>
      <c r="L677" s="42"/>
      <c r="M677" s="42"/>
      <c r="Q677" s="33" t="s">
        <v>1005</v>
      </c>
      <c r="Y677" s="33" t="s">
        <v>1005</v>
      </c>
    </row>
    <row r="678" spans="1:25" ht="18">
      <c r="A678" s="42"/>
      <c r="B678" s="42"/>
      <c r="C678" s="9" t="s">
        <v>1010</v>
      </c>
      <c r="D678" s="9">
        <v>8</v>
      </c>
      <c r="E678" s="5" t="s">
        <v>1005</v>
      </c>
      <c r="F678" s="3" t="s">
        <v>71</v>
      </c>
      <c r="G678" s="10" t="s">
        <v>107</v>
      </c>
      <c r="H678" s="42"/>
      <c r="I678" s="42" t="s">
        <v>1005</v>
      </c>
      <c r="J678" s="42"/>
      <c r="K678" s="42"/>
      <c r="L678" s="42"/>
      <c r="M678" s="42"/>
      <c r="Q678" s="33" t="s">
        <v>1005</v>
      </c>
      <c r="Y678" s="33" t="s">
        <v>1005</v>
      </c>
    </row>
    <row r="679" spans="1:25" ht="18">
      <c r="A679" s="42"/>
      <c r="B679" s="42"/>
      <c r="C679" s="9" t="s">
        <v>1011</v>
      </c>
      <c r="D679" s="9">
        <v>8</v>
      </c>
      <c r="E679" s="5" t="s">
        <v>1005</v>
      </c>
      <c r="F679" s="3" t="s">
        <v>73</v>
      </c>
      <c r="G679" s="10" t="s">
        <v>108</v>
      </c>
      <c r="H679" s="42"/>
      <c r="I679" s="42" t="s">
        <v>1005</v>
      </c>
      <c r="J679" s="42"/>
      <c r="K679" s="42"/>
      <c r="L679" s="42"/>
      <c r="M679" s="42"/>
      <c r="Q679" s="33" t="s">
        <v>1005</v>
      </c>
      <c r="Y679" s="33" t="s">
        <v>1005</v>
      </c>
    </row>
    <row r="680" spans="1:25">
      <c r="A680" s="7"/>
      <c r="B680" s="7"/>
      <c r="C680" s="11"/>
      <c r="D680" s="11"/>
      <c r="E680" s="11"/>
      <c r="F680" s="11"/>
      <c r="G680" s="12"/>
      <c r="H680" s="7"/>
      <c r="I680" s="7"/>
      <c r="J680" s="7"/>
      <c r="K680" s="7"/>
      <c r="L680" s="7"/>
      <c r="M680" s="7"/>
    </row>
    <row r="681" spans="1:25">
      <c r="A681" s="7"/>
      <c r="B681" s="7"/>
      <c r="C681" s="11"/>
      <c r="D681" s="11"/>
      <c r="E681" s="11"/>
      <c r="F681" s="11"/>
      <c r="G681" s="12"/>
      <c r="H681" s="7"/>
      <c r="I681" s="7"/>
      <c r="J681" s="7"/>
      <c r="K681" s="7"/>
      <c r="L681" s="7"/>
      <c r="M681" s="7"/>
    </row>
    <row r="682" spans="1:25">
      <c r="A682" s="7"/>
      <c r="B682" s="7"/>
      <c r="C682" s="11"/>
      <c r="D682" s="11"/>
      <c r="E682" s="11"/>
      <c r="F682" s="11"/>
      <c r="G682" s="12"/>
      <c r="H682" s="7"/>
      <c r="I682" s="7"/>
      <c r="J682" s="7"/>
      <c r="K682" s="7"/>
      <c r="L682" s="7"/>
      <c r="M682" s="7"/>
    </row>
    <row r="683" spans="1:25">
      <c r="A683" s="7"/>
      <c r="B683" s="7"/>
      <c r="C683" s="11"/>
      <c r="D683" s="11"/>
      <c r="E683" s="11"/>
      <c r="F683" s="11"/>
      <c r="G683" s="12"/>
      <c r="H683" s="7"/>
      <c r="I683" s="7"/>
      <c r="J683" s="7"/>
      <c r="K683" s="7"/>
      <c r="L683" s="7"/>
      <c r="M683" s="7"/>
    </row>
    <row r="684" spans="1:25">
      <c r="A684" s="7"/>
      <c r="B684" s="7"/>
      <c r="C684" s="11"/>
      <c r="D684" s="11"/>
      <c r="E684" s="11"/>
      <c r="F684" s="11"/>
      <c r="G684" s="12"/>
      <c r="H684" s="7"/>
      <c r="I684" s="7"/>
      <c r="J684" s="7"/>
      <c r="K684" s="7"/>
      <c r="L684" s="7"/>
      <c r="M684" s="7"/>
    </row>
    <row r="685" spans="1:25">
      <c r="A685" s="7"/>
      <c r="B685" s="7"/>
      <c r="C685" s="11"/>
      <c r="D685" s="11"/>
      <c r="E685" s="11"/>
      <c r="F685" s="11"/>
      <c r="G685" s="12"/>
      <c r="H685" s="7"/>
      <c r="I685" s="7"/>
      <c r="J685" s="7"/>
      <c r="K685" s="7"/>
      <c r="L685" s="7"/>
      <c r="M685" s="7"/>
    </row>
    <row r="686" spans="1:25">
      <c r="A686" s="7"/>
      <c r="B686" s="7"/>
      <c r="C686" s="11"/>
      <c r="D686" s="11"/>
      <c r="E686" s="11"/>
      <c r="F686" s="11"/>
      <c r="G686" s="12"/>
      <c r="H686" s="7"/>
      <c r="I686" s="7"/>
      <c r="J686" s="7"/>
      <c r="K686" s="7"/>
      <c r="L686" s="7"/>
      <c r="M686" s="7"/>
    </row>
    <row r="687" spans="1:25">
      <c r="A687" s="7"/>
      <c r="B687" s="7"/>
      <c r="C687" s="11"/>
      <c r="D687" s="11"/>
      <c r="E687" s="11"/>
      <c r="F687" s="11"/>
      <c r="G687" s="12"/>
      <c r="H687" s="7"/>
      <c r="I687" s="7"/>
      <c r="J687" s="7"/>
      <c r="K687" s="7"/>
      <c r="L687" s="7"/>
      <c r="M687" s="7"/>
    </row>
    <row r="688" spans="1:25">
      <c r="A688" s="7"/>
      <c r="B688" s="7"/>
      <c r="C688" s="11"/>
      <c r="D688" s="11"/>
      <c r="E688" s="11"/>
      <c r="F688" s="11"/>
      <c r="G688" s="12"/>
      <c r="H688" s="7"/>
      <c r="I688" s="7"/>
      <c r="J688" s="7"/>
      <c r="K688" s="7"/>
      <c r="L688" s="7"/>
      <c r="M688" s="7"/>
    </row>
    <row r="689" spans="1:13">
      <c r="A689" s="7"/>
      <c r="B689" s="7"/>
      <c r="C689" s="11"/>
      <c r="D689" s="11"/>
      <c r="E689" s="11"/>
      <c r="F689" s="11"/>
      <c r="G689" s="12"/>
      <c r="H689" s="7"/>
      <c r="I689" s="7"/>
      <c r="J689" s="7"/>
      <c r="K689" s="7"/>
      <c r="L689" s="7"/>
      <c r="M689" s="7"/>
    </row>
    <row r="690" spans="1:13">
      <c r="A690" s="7"/>
      <c r="B690" s="7"/>
      <c r="C690" s="11"/>
      <c r="D690" s="11"/>
      <c r="E690" s="11"/>
      <c r="F690" s="11"/>
      <c r="G690" s="12"/>
      <c r="H690" s="7"/>
      <c r="I690" s="7"/>
      <c r="J690" s="7"/>
      <c r="K690" s="7"/>
      <c r="L690" s="7"/>
      <c r="M690" s="7"/>
    </row>
    <row r="691" spans="1:13">
      <c r="A691" s="7"/>
      <c r="B691" s="7"/>
      <c r="C691" s="11"/>
      <c r="D691" s="11"/>
      <c r="E691" s="11"/>
      <c r="F691" s="11"/>
      <c r="G691" s="12"/>
      <c r="H691" s="7"/>
      <c r="I691" s="7"/>
      <c r="J691" s="7"/>
      <c r="K691" s="7"/>
      <c r="L691" s="7"/>
      <c r="M691" s="7"/>
    </row>
    <row r="692" spans="1:13">
      <c r="A692" s="7"/>
      <c r="B692" s="7"/>
      <c r="C692" s="11"/>
      <c r="D692" s="11"/>
      <c r="E692" s="11"/>
      <c r="F692" s="11"/>
      <c r="G692" s="12"/>
      <c r="H692" s="7"/>
      <c r="I692" s="7"/>
      <c r="J692" s="7"/>
      <c r="K692" s="7"/>
      <c r="L692" s="7"/>
      <c r="M692" s="7"/>
    </row>
    <row r="693" spans="1:13">
      <c r="A693" s="7"/>
      <c r="B693" s="7"/>
      <c r="C693" s="11"/>
      <c r="D693" s="11"/>
      <c r="E693" s="11"/>
      <c r="F693" s="11"/>
      <c r="G693" s="12"/>
      <c r="H693" s="7"/>
      <c r="I693" s="7"/>
      <c r="J693" s="7"/>
      <c r="K693" s="7"/>
      <c r="L693" s="7"/>
      <c r="M693" s="7"/>
    </row>
    <row r="694" spans="1:13">
      <c r="A694" s="7"/>
      <c r="B694" s="7"/>
      <c r="C694" s="11"/>
      <c r="D694" s="11"/>
      <c r="E694" s="11"/>
      <c r="F694" s="11"/>
      <c r="G694" s="12"/>
      <c r="H694" s="7"/>
      <c r="I694" s="7"/>
      <c r="J694" s="7"/>
      <c r="K694" s="7"/>
      <c r="L694" s="7"/>
      <c r="M694" s="7"/>
    </row>
    <row r="695" spans="1:13">
      <c r="A695" s="7"/>
      <c r="B695" s="7"/>
      <c r="C695" s="11"/>
      <c r="D695" s="11"/>
      <c r="E695" s="11"/>
      <c r="F695" s="11"/>
      <c r="G695" s="12"/>
      <c r="H695" s="7"/>
      <c r="I695" s="7"/>
      <c r="J695" s="7"/>
      <c r="K695" s="7"/>
      <c r="L695" s="7"/>
      <c r="M695" s="7"/>
    </row>
    <row r="696" spans="1:13">
      <c r="A696" s="7"/>
      <c r="B696" s="7"/>
      <c r="C696" s="11"/>
      <c r="D696" s="11"/>
      <c r="E696" s="11"/>
      <c r="F696" s="11"/>
      <c r="G696" s="12"/>
      <c r="H696" s="7"/>
      <c r="I696" s="7"/>
      <c r="J696" s="7"/>
      <c r="K696" s="7"/>
      <c r="L696" s="7"/>
      <c r="M696" s="7"/>
    </row>
    <row r="697" spans="1:13">
      <c r="A697" s="7"/>
      <c r="B697" s="7"/>
      <c r="C697" s="11"/>
      <c r="D697" s="11"/>
      <c r="E697" s="11"/>
      <c r="F697" s="11"/>
      <c r="G697" s="12"/>
      <c r="H697" s="7"/>
      <c r="I697" s="7"/>
      <c r="J697" s="7"/>
      <c r="K697" s="7"/>
      <c r="L697" s="7"/>
      <c r="M697" s="7"/>
    </row>
    <row r="698" spans="1:13">
      <c r="A698" s="7"/>
      <c r="B698" s="7"/>
      <c r="C698" s="11"/>
      <c r="D698" s="11"/>
      <c r="E698" s="11"/>
      <c r="F698" s="11"/>
      <c r="G698" s="12"/>
      <c r="H698" s="7"/>
      <c r="I698" s="7"/>
      <c r="J698" s="7"/>
      <c r="K698" s="7"/>
      <c r="L698" s="7"/>
      <c r="M698" s="7"/>
    </row>
    <row r="699" spans="1:13">
      <c r="A699" s="7"/>
      <c r="B699" s="7"/>
      <c r="C699" s="11"/>
      <c r="D699" s="11"/>
      <c r="E699" s="11"/>
      <c r="F699" s="11"/>
      <c r="G699" s="12"/>
      <c r="H699" s="7"/>
      <c r="I699" s="7"/>
      <c r="J699" s="7"/>
      <c r="K699" s="7"/>
      <c r="L699" s="7"/>
      <c r="M699" s="7"/>
    </row>
    <row r="700" spans="1:13">
      <c r="A700" s="7"/>
      <c r="B700" s="7"/>
      <c r="C700" s="11"/>
      <c r="D700" s="11"/>
      <c r="E700" s="11"/>
      <c r="F700" s="11"/>
      <c r="G700" s="12"/>
      <c r="H700" s="7"/>
      <c r="I700" s="7"/>
      <c r="J700" s="7"/>
      <c r="K700" s="7"/>
      <c r="L700" s="7"/>
      <c r="M700" s="7"/>
    </row>
    <row r="701" spans="1:13">
      <c r="A701" s="7"/>
      <c r="B701" s="7"/>
      <c r="C701" s="11"/>
      <c r="D701" s="11"/>
      <c r="E701" s="11"/>
      <c r="F701" s="11"/>
      <c r="G701" s="12"/>
      <c r="H701" s="7"/>
      <c r="I701" s="7"/>
      <c r="J701" s="7"/>
      <c r="K701" s="7"/>
      <c r="L701" s="7"/>
      <c r="M701" s="7"/>
    </row>
    <row r="702" spans="1:13">
      <c r="A702" s="7"/>
      <c r="B702" s="7"/>
      <c r="C702" s="11"/>
      <c r="D702" s="11"/>
      <c r="E702" s="11"/>
      <c r="F702" s="11"/>
      <c r="G702" s="12"/>
      <c r="H702" s="7"/>
      <c r="I702" s="7"/>
      <c r="J702" s="7"/>
      <c r="K702" s="7"/>
      <c r="L702" s="7"/>
      <c r="M702" s="7"/>
    </row>
    <row r="703" spans="1:13">
      <c r="A703" s="7"/>
      <c r="B703" s="7"/>
      <c r="C703" s="11"/>
      <c r="D703" s="11"/>
      <c r="E703" s="11"/>
      <c r="F703" s="11"/>
      <c r="G703" s="12"/>
      <c r="H703" s="7"/>
      <c r="I703" s="7"/>
      <c r="J703" s="7"/>
      <c r="K703" s="7"/>
      <c r="L703" s="7"/>
      <c r="M703" s="7"/>
    </row>
    <row r="704" spans="1:13">
      <c r="A704" s="7"/>
      <c r="B704" s="7"/>
      <c r="C704" s="11"/>
      <c r="D704" s="11"/>
      <c r="E704" s="11"/>
      <c r="F704" s="11"/>
      <c r="G704" s="12"/>
      <c r="H704" s="7"/>
      <c r="I704" s="7"/>
      <c r="J704" s="7"/>
      <c r="K704" s="7"/>
      <c r="L704" s="7"/>
      <c r="M704" s="7"/>
    </row>
    <row r="705" spans="1:13">
      <c r="A705" s="7"/>
      <c r="B705" s="7"/>
      <c r="C705" s="11"/>
      <c r="D705" s="11"/>
      <c r="E705" s="11"/>
      <c r="F705" s="11"/>
      <c r="G705" s="12"/>
      <c r="H705" s="7"/>
      <c r="I705" s="7"/>
      <c r="J705" s="7"/>
      <c r="K705" s="7"/>
      <c r="L705" s="7"/>
      <c r="M705" s="7"/>
    </row>
    <row r="706" spans="1:13">
      <c r="A706" s="7"/>
      <c r="B706" s="7"/>
      <c r="C706" s="11"/>
      <c r="D706" s="11"/>
      <c r="E706" s="11"/>
      <c r="F706" s="11"/>
      <c r="G706" s="12"/>
      <c r="H706" s="7"/>
      <c r="I706" s="7"/>
      <c r="J706" s="7"/>
      <c r="K706" s="7"/>
      <c r="L706" s="7"/>
      <c r="M706" s="7"/>
    </row>
    <row r="707" spans="1:13">
      <c r="A707" s="7"/>
      <c r="B707" s="7"/>
      <c r="C707" s="11"/>
      <c r="D707" s="11"/>
      <c r="E707" s="11"/>
      <c r="F707" s="11"/>
      <c r="G707" s="12"/>
      <c r="H707" s="7"/>
      <c r="I707" s="7"/>
      <c r="J707" s="7"/>
      <c r="K707" s="7"/>
      <c r="L707" s="7"/>
      <c r="M707" s="7"/>
    </row>
    <row r="708" spans="1:13">
      <c r="A708" s="7"/>
      <c r="B708" s="7"/>
      <c r="C708" s="11"/>
      <c r="D708" s="11"/>
      <c r="E708" s="11"/>
      <c r="F708" s="11"/>
      <c r="G708" s="12"/>
      <c r="H708" s="7"/>
      <c r="I708" s="7"/>
      <c r="J708" s="7"/>
      <c r="K708" s="7"/>
      <c r="L708" s="7"/>
      <c r="M708" s="7"/>
    </row>
    <row r="709" spans="1:13">
      <c r="A709" s="7"/>
      <c r="B709" s="7"/>
      <c r="C709" s="11"/>
      <c r="D709" s="11"/>
      <c r="E709" s="11"/>
      <c r="F709" s="11"/>
      <c r="G709" s="12"/>
      <c r="H709" s="7"/>
      <c r="I709" s="7"/>
      <c r="J709" s="7"/>
      <c r="K709" s="7"/>
      <c r="L709" s="7"/>
      <c r="M709" s="7"/>
    </row>
    <row r="710" spans="1:13">
      <c r="A710" s="7"/>
      <c r="B710" s="7"/>
      <c r="C710" s="11"/>
      <c r="D710" s="11"/>
      <c r="E710" s="11"/>
      <c r="F710" s="11"/>
      <c r="G710" s="12"/>
      <c r="H710" s="7"/>
      <c r="I710" s="7"/>
      <c r="J710" s="7"/>
      <c r="K710" s="7"/>
      <c r="L710" s="7"/>
      <c r="M710" s="7"/>
    </row>
    <row r="711" spans="1:13">
      <c r="A711" s="7"/>
      <c r="B711" s="7"/>
      <c r="C711" s="11"/>
      <c r="D711" s="11"/>
      <c r="E711" s="11"/>
      <c r="F711" s="11"/>
      <c r="G711" s="12"/>
      <c r="H711" s="7"/>
      <c r="I711" s="7"/>
      <c r="J711" s="7"/>
      <c r="K711" s="7"/>
      <c r="L711" s="7"/>
      <c r="M711" s="7"/>
    </row>
    <row r="712" spans="1:13">
      <c r="A712" s="7"/>
      <c r="B712" s="7"/>
      <c r="C712" s="11"/>
      <c r="D712" s="11"/>
      <c r="E712" s="11"/>
      <c r="F712" s="11"/>
      <c r="G712" s="12"/>
      <c r="H712" s="7"/>
      <c r="I712" s="7"/>
      <c r="J712" s="7"/>
      <c r="K712" s="7"/>
      <c r="L712" s="7"/>
      <c r="M712" s="7"/>
    </row>
    <row r="713" spans="1:13">
      <c r="A713" s="7"/>
      <c r="B713" s="7"/>
      <c r="C713" s="11"/>
      <c r="D713" s="11"/>
      <c r="E713" s="11"/>
      <c r="F713" s="11"/>
      <c r="G713" s="12"/>
      <c r="H713" s="7"/>
      <c r="I713" s="7"/>
      <c r="J713" s="7"/>
      <c r="K713" s="7"/>
      <c r="L713" s="7"/>
      <c r="M713" s="7"/>
    </row>
    <row r="714" spans="1:13">
      <c r="A714" s="7"/>
      <c r="B714" s="7"/>
      <c r="C714" s="11"/>
      <c r="D714" s="11"/>
      <c r="E714" s="11"/>
      <c r="F714" s="11"/>
      <c r="G714" s="12"/>
      <c r="H714" s="7"/>
      <c r="I714" s="7"/>
      <c r="J714" s="7"/>
      <c r="K714" s="7"/>
      <c r="L714" s="7"/>
      <c r="M714" s="7"/>
    </row>
    <row r="715" spans="1:13">
      <c r="A715" s="7"/>
      <c r="B715" s="7"/>
      <c r="C715" s="11"/>
      <c r="D715" s="11"/>
      <c r="E715" s="11"/>
      <c r="F715" s="11"/>
      <c r="G715" s="12"/>
      <c r="H715" s="7"/>
      <c r="I715" s="7"/>
      <c r="J715" s="7"/>
      <c r="K715" s="7"/>
      <c r="L715" s="7"/>
      <c r="M715" s="7"/>
    </row>
    <row r="716" spans="1:13">
      <c r="A716" s="7"/>
      <c r="B716" s="7"/>
      <c r="C716" s="11"/>
      <c r="D716" s="11"/>
      <c r="E716" s="11"/>
      <c r="F716" s="11"/>
      <c r="G716" s="12"/>
      <c r="H716" s="7"/>
      <c r="I716" s="7"/>
      <c r="J716" s="7"/>
      <c r="K716" s="7"/>
      <c r="L716" s="7"/>
      <c r="M716" s="7"/>
    </row>
    <row r="717" spans="1:13">
      <c r="A717" s="7"/>
      <c r="B717" s="7"/>
      <c r="C717" s="11"/>
      <c r="D717" s="11"/>
      <c r="E717" s="11"/>
      <c r="F717" s="11"/>
      <c r="G717" s="12"/>
      <c r="H717" s="7"/>
      <c r="I717" s="7"/>
      <c r="J717" s="7"/>
      <c r="K717" s="7"/>
      <c r="L717" s="7"/>
      <c r="M717" s="7"/>
    </row>
    <row r="718" spans="1:13">
      <c r="A718" s="7"/>
      <c r="B718" s="7"/>
      <c r="C718" s="11"/>
      <c r="D718" s="11"/>
      <c r="E718" s="11"/>
      <c r="F718" s="11"/>
      <c r="G718" s="12"/>
      <c r="H718" s="7"/>
      <c r="I718" s="7"/>
      <c r="J718" s="7"/>
      <c r="K718" s="7"/>
      <c r="L718" s="7"/>
      <c r="M718" s="7"/>
    </row>
    <row r="719" spans="1:13">
      <c r="A719" s="7"/>
      <c r="B719" s="7"/>
      <c r="C719" s="11"/>
      <c r="D719" s="11"/>
      <c r="E719" s="11"/>
      <c r="F719" s="11"/>
      <c r="G719" s="12"/>
      <c r="H719" s="7"/>
      <c r="I719" s="7"/>
      <c r="J719" s="7"/>
      <c r="K719" s="7"/>
      <c r="L719" s="7"/>
      <c r="M719" s="7"/>
    </row>
    <row r="720" spans="1:13">
      <c r="A720" s="7"/>
      <c r="B720" s="7"/>
      <c r="C720" s="11"/>
      <c r="D720" s="11"/>
      <c r="E720" s="11"/>
      <c r="F720" s="11"/>
      <c r="G720" s="12"/>
      <c r="H720" s="7"/>
      <c r="I720" s="7"/>
      <c r="J720" s="7"/>
      <c r="K720" s="7"/>
      <c r="L720" s="7"/>
      <c r="M720" s="7"/>
    </row>
    <row r="721" spans="1:13">
      <c r="A721" s="7"/>
      <c r="B721" s="7"/>
      <c r="C721" s="11"/>
      <c r="D721" s="11"/>
      <c r="E721" s="11"/>
      <c r="F721" s="11"/>
      <c r="G721" s="12"/>
      <c r="H721" s="7"/>
      <c r="I721" s="7"/>
      <c r="J721" s="7"/>
      <c r="K721" s="7"/>
      <c r="L721" s="7"/>
      <c r="M721" s="7"/>
    </row>
    <row r="722" spans="1:13">
      <c r="A722" s="7"/>
      <c r="B722" s="7"/>
      <c r="C722" s="11"/>
      <c r="D722" s="11"/>
      <c r="E722" s="11"/>
      <c r="F722" s="11"/>
      <c r="G722" s="12"/>
      <c r="H722" s="7"/>
      <c r="I722" s="7"/>
      <c r="J722" s="7"/>
      <c r="K722" s="7"/>
      <c r="L722" s="7"/>
      <c r="M722" s="7"/>
    </row>
    <row r="723" spans="1:13">
      <c r="A723" s="7"/>
      <c r="B723" s="7"/>
      <c r="C723" s="11"/>
      <c r="D723" s="11"/>
      <c r="E723" s="11"/>
      <c r="F723" s="11"/>
      <c r="G723" s="12"/>
      <c r="H723" s="7"/>
      <c r="I723" s="7"/>
      <c r="J723" s="7"/>
      <c r="K723" s="7"/>
      <c r="L723" s="7"/>
      <c r="M723" s="7"/>
    </row>
    <row r="724" spans="1:13">
      <c r="A724" s="7"/>
      <c r="B724" s="7"/>
      <c r="C724" s="11"/>
      <c r="D724" s="11"/>
      <c r="E724" s="11"/>
      <c r="F724" s="11"/>
      <c r="G724" s="12"/>
      <c r="H724" s="7"/>
      <c r="I724" s="7"/>
      <c r="J724" s="7"/>
      <c r="K724" s="7"/>
      <c r="L724" s="7"/>
      <c r="M724" s="7"/>
    </row>
    <row r="725" spans="1:13">
      <c r="A725" s="7"/>
      <c r="B725" s="7"/>
      <c r="C725" s="11"/>
      <c r="D725" s="11"/>
      <c r="E725" s="11"/>
      <c r="F725" s="11"/>
      <c r="G725" s="12"/>
      <c r="H725" s="7"/>
      <c r="I725" s="7"/>
      <c r="J725" s="7"/>
      <c r="K725" s="7"/>
      <c r="L725" s="7"/>
      <c r="M725" s="7"/>
    </row>
    <row r="726" spans="1:13">
      <c r="A726" s="7"/>
      <c r="B726" s="7"/>
      <c r="C726" s="11"/>
      <c r="D726" s="11"/>
      <c r="E726" s="11"/>
      <c r="F726" s="11"/>
      <c r="G726" s="12"/>
      <c r="H726" s="7"/>
      <c r="I726" s="7"/>
      <c r="J726" s="7"/>
      <c r="K726" s="7"/>
      <c r="L726" s="7"/>
      <c r="M726" s="7"/>
    </row>
    <row r="727" spans="1:13">
      <c r="A727" s="7"/>
      <c r="B727" s="7"/>
      <c r="C727" s="11"/>
      <c r="D727" s="11"/>
      <c r="E727" s="11"/>
      <c r="F727" s="11"/>
      <c r="G727" s="12"/>
      <c r="H727" s="7"/>
      <c r="I727" s="7"/>
      <c r="J727" s="7"/>
      <c r="K727" s="7"/>
      <c r="L727" s="7"/>
      <c r="M727" s="7"/>
    </row>
    <row r="728" spans="1:13">
      <c r="A728" s="7"/>
      <c r="B728" s="7"/>
      <c r="C728" s="11"/>
      <c r="D728" s="11"/>
      <c r="E728" s="11"/>
      <c r="F728" s="11"/>
      <c r="G728" s="12"/>
      <c r="H728" s="7"/>
      <c r="I728" s="7"/>
      <c r="J728" s="7"/>
      <c r="K728" s="7"/>
      <c r="L728" s="7"/>
      <c r="M728" s="7"/>
    </row>
    <row r="729" spans="1:13">
      <c r="A729" s="7"/>
      <c r="B729" s="7"/>
      <c r="C729" s="11"/>
      <c r="D729" s="11"/>
      <c r="E729" s="11"/>
      <c r="F729" s="11"/>
      <c r="G729" s="12"/>
      <c r="H729" s="7"/>
      <c r="I729" s="7"/>
      <c r="J729" s="7"/>
      <c r="K729" s="7"/>
      <c r="L729" s="7"/>
      <c r="M729" s="7"/>
    </row>
    <row r="730" spans="1:13">
      <c r="A730" s="7"/>
      <c r="B730" s="7"/>
      <c r="C730" s="11"/>
      <c r="D730" s="11"/>
      <c r="E730" s="11"/>
      <c r="F730" s="11"/>
      <c r="G730" s="12"/>
      <c r="H730" s="7"/>
      <c r="I730" s="7"/>
      <c r="J730" s="7"/>
      <c r="K730" s="7"/>
      <c r="L730" s="7"/>
      <c r="M730" s="7"/>
    </row>
    <row r="731" spans="1:13">
      <c r="A731" s="7"/>
      <c r="B731" s="7"/>
      <c r="C731" s="11"/>
      <c r="D731" s="11"/>
      <c r="E731" s="11"/>
      <c r="F731" s="11"/>
      <c r="G731" s="12"/>
      <c r="H731" s="7"/>
      <c r="I731" s="7"/>
      <c r="J731" s="7"/>
      <c r="K731" s="7"/>
      <c r="L731" s="7"/>
      <c r="M731" s="7"/>
    </row>
    <row r="732" spans="1:13">
      <c r="A732" s="7"/>
      <c r="B732" s="7"/>
      <c r="C732" s="11"/>
      <c r="D732" s="11"/>
      <c r="E732" s="11"/>
      <c r="F732" s="11"/>
      <c r="G732" s="12"/>
      <c r="H732" s="7"/>
      <c r="I732" s="7"/>
      <c r="J732" s="7"/>
      <c r="K732" s="7"/>
      <c r="L732" s="7"/>
      <c r="M732" s="7"/>
    </row>
    <row r="733" spans="1:13">
      <c r="A733" s="7"/>
      <c r="B733" s="7"/>
      <c r="C733" s="11"/>
      <c r="D733" s="11"/>
      <c r="E733" s="11"/>
      <c r="F733" s="11"/>
      <c r="G733" s="12"/>
      <c r="H733" s="7"/>
      <c r="I733" s="7"/>
      <c r="J733" s="7"/>
      <c r="K733" s="7"/>
      <c r="L733" s="7"/>
      <c r="M733" s="7"/>
    </row>
    <row r="734" spans="1:13">
      <c r="A734" s="7"/>
      <c r="B734" s="7"/>
      <c r="C734" s="11"/>
      <c r="D734" s="11"/>
      <c r="E734" s="11"/>
      <c r="F734" s="11"/>
      <c r="G734" s="12"/>
      <c r="H734" s="7"/>
      <c r="I734" s="7"/>
      <c r="J734" s="7"/>
      <c r="K734" s="7"/>
      <c r="L734" s="7"/>
      <c r="M734" s="7"/>
    </row>
    <row r="735" spans="1:13">
      <c r="A735" s="7"/>
      <c r="B735" s="7"/>
      <c r="C735" s="11"/>
      <c r="D735" s="11"/>
      <c r="E735" s="11"/>
      <c r="F735" s="11"/>
      <c r="G735" s="12"/>
      <c r="H735" s="7"/>
      <c r="I735" s="7"/>
      <c r="J735" s="7"/>
      <c r="K735" s="7"/>
      <c r="L735" s="7"/>
      <c r="M735" s="7"/>
    </row>
    <row r="736" spans="1:13">
      <c r="A736" s="7"/>
      <c r="B736" s="7"/>
      <c r="C736" s="11"/>
      <c r="D736" s="11"/>
      <c r="E736" s="11"/>
      <c r="F736" s="11"/>
      <c r="G736" s="12"/>
      <c r="H736" s="7"/>
      <c r="I736" s="7"/>
      <c r="J736" s="7"/>
      <c r="K736" s="7"/>
      <c r="L736" s="7"/>
      <c r="M736" s="7"/>
    </row>
    <row r="737" spans="1:13">
      <c r="A737" s="7"/>
      <c r="B737" s="7"/>
      <c r="C737" s="11"/>
      <c r="D737" s="11"/>
      <c r="E737" s="11"/>
      <c r="F737" s="11"/>
      <c r="G737" s="12"/>
      <c r="H737" s="7"/>
      <c r="I737" s="7"/>
      <c r="J737" s="7"/>
      <c r="K737" s="7"/>
      <c r="L737" s="7"/>
      <c r="M737" s="7"/>
    </row>
    <row r="738" spans="1:13">
      <c r="A738" s="7"/>
      <c r="B738" s="7"/>
      <c r="C738" s="11"/>
      <c r="D738" s="11"/>
      <c r="E738" s="11"/>
      <c r="F738" s="11"/>
      <c r="G738" s="12"/>
      <c r="H738" s="7"/>
      <c r="I738" s="7"/>
      <c r="J738" s="7"/>
      <c r="K738" s="7"/>
      <c r="L738" s="7"/>
      <c r="M738" s="7"/>
    </row>
    <row r="739" spans="1:13">
      <c r="A739" s="7"/>
      <c r="B739" s="7"/>
      <c r="C739" s="11"/>
      <c r="D739" s="11"/>
      <c r="E739" s="11"/>
      <c r="F739" s="11"/>
      <c r="G739" s="12"/>
      <c r="H739" s="7"/>
      <c r="I739" s="7"/>
      <c r="J739" s="7"/>
      <c r="K739" s="7"/>
      <c r="L739" s="7"/>
      <c r="M739" s="7"/>
    </row>
    <row r="740" spans="1:13">
      <c r="A740" s="7"/>
      <c r="B740" s="7"/>
      <c r="C740" s="11"/>
      <c r="D740" s="11"/>
      <c r="E740" s="11"/>
      <c r="F740" s="11"/>
      <c r="G740" s="12"/>
      <c r="H740" s="7"/>
      <c r="I740" s="7"/>
      <c r="J740" s="7"/>
      <c r="K740" s="7"/>
      <c r="L740" s="7"/>
      <c r="M740" s="7"/>
    </row>
    <row r="741" spans="1:13">
      <c r="A741" s="7"/>
      <c r="B741" s="7"/>
      <c r="C741" s="11"/>
      <c r="D741" s="11"/>
      <c r="E741" s="11"/>
      <c r="F741" s="11"/>
      <c r="G741" s="12"/>
      <c r="H741" s="7"/>
      <c r="I741" s="7"/>
      <c r="J741" s="7"/>
      <c r="K741" s="7"/>
      <c r="L741" s="7"/>
      <c r="M741" s="7"/>
    </row>
    <row r="742" spans="1:13">
      <c r="A742" s="7"/>
      <c r="B742" s="7"/>
      <c r="C742" s="11"/>
      <c r="D742" s="11"/>
      <c r="E742" s="11"/>
      <c r="F742" s="11"/>
      <c r="G742" s="12"/>
      <c r="H742" s="7"/>
      <c r="I742" s="7"/>
      <c r="J742" s="7"/>
      <c r="K742" s="7"/>
      <c r="L742" s="7"/>
      <c r="M742" s="7"/>
    </row>
    <row r="743" spans="1:13">
      <c r="A743" s="7"/>
      <c r="B743" s="7"/>
      <c r="C743" s="11"/>
      <c r="D743" s="11"/>
      <c r="E743" s="11"/>
      <c r="F743" s="11"/>
      <c r="G743" s="12"/>
      <c r="H743" s="7"/>
      <c r="I743" s="7"/>
      <c r="J743" s="7"/>
      <c r="K743" s="7"/>
      <c r="L743" s="7"/>
      <c r="M743" s="7"/>
    </row>
    <row r="744" spans="1:13">
      <c r="A744" s="7"/>
      <c r="B744" s="7"/>
      <c r="C744" s="11"/>
      <c r="D744" s="11"/>
      <c r="E744" s="11"/>
      <c r="F744" s="11"/>
      <c r="G744" s="12"/>
      <c r="H744" s="7"/>
      <c r="I744" s="7"/>
      <c r="J744" s="7"/>
      <c r="K744" s="7"/>
      <c r="L744" s="7"/>
      <c r="M744" s="7"/>
    </row>
    <row r="745" spans="1:13">
      <c r="A745" s="7"/>
      <c r="B745" s="7"/>
      <c r="C745" s="11"/>
      <c r="D745" s="11"/>
      <c r="E745" s="11"/>
      <c r="F745" s="11"/>
      <c r="G745" s="12"/>
      <c r="H745" s="7"/>
      <c r="I745" s="7"/>
      <c r="J745" s="7"/>
      <c r="K745" s="7"/>
      <c r="L745" s="7"/>
      <c r="M745" s="7"/>
    </row>
    <row r="746" spans="1:13">
      <c r="A746" s="7"/>
      <c r="B746" s="7"/>
      <c r="C746" s="11"/>
      <c r="D746" s="11"/>
      <c r="E746" s="11"/>
      <c r="F746" s="11"/>
      <c r="G746" s="12"/>
      <c r="H746" s="7"/>
      <c r="I746" s="7"/>
      <c r="J746" s="7"/>
      <c r="K746" s="7"/>
      <c r="L746" s="7"/>
      <c r="M746" s="7"/>
    </row>
    <row r="747" spans="1:13">
      <c r="A747" s="7"/>
      <c r="B747" s="7"/>
      <c r="C747" s="11"/>
      <c r="D747" s="11"/>
      <c r="E747" s="11"/>
      <c r="F747" s="11"/>
      <c r="G747" s="12"/>
      <c r="H747" s="7"/>
      <c r="I747" s="7"/>
      <c r="J747" s="7"/>
      <c r="K747" s="7"/>
      <c r="L747" s="7"/>
      <c r="M747" s="7"/>
    </row>
    <row r="748" spans="1:13">
      <c r="A748" s="7"/>
      <c r="B748" s="7"/>
      <c r="C748" s="11"/>
      <c r="D748" s="11"/>
      <c r="E748" s="11"/>
      <c r="F748" s="11"/>
      <c r="G748" s="12"/>
      <c r="H748" s="7"/>
      <c r="I748" s="7"/>
      <c r="J748" s="7"/>
      <c r="K748" s="7"/>
      <c r="L748" s="7"/>
      <c r="M748" s="7"/>
    </row>
    <row r="749" spans="1:13">
      <c r="A749" s="7"/>
      <c r="B749" s="7"/>
      <c r="C749" s="11"/>
      <c r="D749" s="11"/>
      <c r="E749" s="11"/>
      <c r="F749" s="11"/>
      <c r="G749" s="12"/>
      <c r="H749" s="7"/>
      <c r="I749" s="7"/>
      <c r="J749" s="7"/>
      <c r="K749" s="7"/>
      <c r="L749" s="7"/>
      <c r="M749" s="7"/>
    </row>
    <row r="750" spans="1:13">
      <c r="A750" s="7"/>
      <c r="B750" s="7"/>
      <c r="C750" s="11"/>
      <c r="D750" s="11"/>
      <c r="E750" s="11"/>
      <c r="F750" s="11"/>
      <c r="G750" s="12"/>
      <c r="H750" s="7"/>
      <c r="I750" s="7"/>
      <c r="J750" s="7"/>
      <c r="K750" s="7"/>
      <c r="L750" s="7"/>
      <c r="M750" s="7"/>
    </row>
    <row r="751" spans="1:13">
      <c r="A751" s="7"/>
      <c r="B751" s="7"/>
      <c r="C751" s="11"/>
      <c r="D751" s="11"/>
      <c r="E751" s="11"/>
      <c r="F751" s="11"/>
      <c r="G751" s="12"/>
      <c r="H751" s="7"/>
      <c r="I751" s="7"/>
      <c r="J751" s="7"/>
      <c r="K751" s="7"/>
      <c r="L751" s="7"/>
      <c r="M751" s="7"/>
    </row>
    <row r="752" spans="1:13">
      <c r="A752" s="7"/>
      <c r="B752" s="7"/>
      <c r="C752" s="11"/>
      <c r="D752" s="11"/>
      <c r="E752" s="11"/>
      <c r="F752" s="11"/>
      <c r="G752" s="12"/>
      <c r="H752" s="7"/>
      <c r="I752" s="7"/>
      <c r="J752" s="7"/>
      <c r="K752" s="7"/>
      <c r="L752" s="7"/>
      <c r="M752" s="7"/>
    </row>
    <row r="753" spans="1:13">
      <c r="A753" s="7"/>
      <c r="B753" s="7"/>
      <c r="C753" s="11"/>
      <c r="D753" s="11"/>
      <c r="E753" s="11"/>
      <c r="F753" s="11"/>
      <c r="G753" s="12"/>
      <c r="H753" s="7"/>
      <c r="I753" s="7"/>
      <c r="J753" s="7"/>
      <c r="K753" s="7"/>
      <c r="L753" s="7"/>
      <c r="M753" s="7"/>
    </row>
    <row r="754" spans="1:13">
      <c r="A754" s="7"/>
      <c r="B754" s="7"/>
      <c r="C754" s="11"/>
      <c r="D754" s="11"/>
      <c r="E754" s="11"/>
      <c r="F754" s="11"/>
      <c r="G754" s="12"/>
      <c r="H754" s="7"/>
      <c r="I754" s="7"/>
      <c r="J754" s="7"/>
      <c r="K754" s="7"/>
      <c r="L754" s="7"/>
      <c r="M754" s="7"/>
    </row>
    <row r="755" spans="1:13">
      <c r="A755" s="7"/>
      <c r="B755" s="7"/>
      <c r="C755" s="11"/>
      <c r="D755" s="11"/>
      <c r="E755" s="11"/>
      <c r="F755" s="11"/>
      <c r="G755" s="12"/>
      <c r="H755" s="7"/>
      <c r="I755" s="7"/>
      <c r="J755" s="7"/>
      <c r="K755" s="7"/>
      <c r="L755" s="7"/>
      <c r="M755" s="7"/>
    </row>
    <row r="756" spans="1:13">
      <c r="A756" s="7"/>
      <c r="B756" s="7"/>
      <c r="C756" s="11"/>
      <c r="D756" s="11"/>
      <c r="E756" s="11"/>
      <c r="F756" s="11"/>
      <c r="G756" s="12"/>
      <c r="H756" s="7"/>
      <c r="I756" s="7"/>
      <c r="J756" s="7"/>
      <c r="K756" s="7"/>
      <c r="L756" s="7"/>
      <c r="M756" s="7"/>
    </row>
    <row r="757" spans="1:13">
      <c r="A757" s="7"/>
      <c r="B757" s="7"/>
      <c r="C757" s="11"/>
      <c r="D757" s="11"/>
      <c r="E757" s="11"/>
      <c r="F757" s="11"/>
      <c r="G757" s="12"/>
      <c r="H757" s="7"/>
      <c r="I757" s="7"/>
      <c r="J757" s="7"/>
      <c r="K757" s="7"/>
      <c r="L757" s="7"/>
      <c r="M757" s="7"/>
    </row>
    <row r="758" spans="1:13">
      <c r="A758" s="7"/>
      <c r="B758" s="7"/>
      <c r="C758" s="11"/>
      <c r="D758" s="11"/>
      <c r="E758" s="11"/>
      <c r="F758" s="11"/>
      <c r="G758" s="12"/>
      <c r="H758" s="7"/>
      <c r="I758" s="7"/>
      <c r="J758" s="7"/>
      <c r="K758" s="7"/>
      <c r="L758" s="7"/>
      <c r="M758" s="7"/>
    </row>
    <row r="759" spans="1:13">
      <c r="A759" s="7"/>
      <c r="B759" s="7"/>
      <c r="C759" s="11"/>
      <c r="D759" s="11"/>
      <c r="E759" s="11"/>
      <c r="F759" s="11"/>
      <c r="G759" s="12"/>
      <c r="H759" s="7"/>
      <c r="I759" s="7"/>
      <c r="J759" s="7"/>
      <c r="K759" s="7"/>
      <c r="L759" s="7"/>
      <c r="M759" s="7"/>
    </row>
    <row r="760" spans="1:13">
      <c r="A760" s="7"/>
      <c r="B760" s="7"/>
      <c r="C760" s="11"/>
      <c r="D760" s="11"/>
      <c r="E760" s="11"/>
      <c r="F760" s="11"/>
      <c r="G760" s="12"/>
      <c r="H760" s="7"/>
      <c r="I760" s="7"/>
      <c r="J760" s="7"/>
      <c r="K760" s="7"/>
      <c r="L760" s="7"/>
      <c r="M760" s="7"/>
    </row>
    <row r="761" spans="1:13">
      <c r="A761" s="7"/>
      <c r="B761" s="7"/>
      <c r="C761" s="11"/>
      <c r="D761" s="11"/>
      <c r="E761" s="11"/>
      <c r="F761" s="11"/>
      <c r="G761" s="12"/>
      <c r="H761" s="7"/>
      <c r="I761" s="7"/>
      <c r="J761" s="7"/>
      <c r="K761" s="7"/>
      <c r="L761" s="7"/>
      <c r="M761" s="7"/>
    </row>
    <row r="762" spans="1:13">
      <c r="A762" s="7"/>
      <c r="B762" s="7"/>
      <c r="C762" s="11"/>
      <c r="D762" s="11"/>
      <c r="E762" s="11"/>
      <c r="F762" s="11"/>
      <c r="G762" s="12"/>
      <c r="H762" s="7"/>
      <c r="I762" s="7"/>
      <c r="J762" s="7"/>
      <c r="K762" s="7"/>
      <c r="L762" s="7"/>
      <c r="M762" s="7"/>
    </row>
    <row r="763" spans="1:13">
      <c r="A763" s="7"/>
      <c r="B763" s="7"/>
      <c r="C763" s="11"/>
      <c r="D763" s="11"/>
      <c r="E763" s="11"/>
      <c r="F763" s="11"/>
      <c r="G763" s="12"/>
      <c r="H763" s="7"/>
      <c r="I763" s="7"/>
      <c r="J763" s="7"/>
      <c r="K763" s="7"/>
      <c r="L763" s="7"/>
      <c r="M763" s="7"/>
    </row>
    <row r="764" spans="1:13">
      <c r="A764" s="7"/>
      <c r="B764" s="7"/>
      <c r="C764" s="11"/>
      <c r="D764" s="11"/>
      <c r="E764" s="11"/>
      <c r="F764" s="11"/>
      <c r="G764" s="12"/>
      <c r="H764" s="7"/>
      <c r="I764" s="7"/>
      <c r="J764" s="7"/>
      <c r="K764" s="7"/>
      <c r="L764" s="7"/>
      <c r="M764" s="7"/>
    </row>
    <row r="765" spans="1:13">
      <c r="A765" s="7"/>
      <c r="B765" s="7"/>
      <c r="C765" s="11"/>
      <c r="D765" s="11"/>
      <c r="E765" s="11"/>
      <c r="F765" s="11"/>
      <c r="G765" s="12"/>
      <c r="H765" s="7"/>
      <c r="I765" s="7"/>
      <c r="J765" s="7"/>
      <c r="K765" s="7"/>
      <c r="L765" s="7"/>
      <c r="M765" s="7"/>
    </row>
    <row r="766" spans="1:13">
      <c r="A766" s="7"/>
      <c r="B766" s="7"/>
      <c r="C766" s="11"/>
      <c r="D766" s="11"/>
      <c r="E766" s="11"/>
      <c r="F766" s="11"/>
      <c r="G766" s="12"/>
      <c r="H766" s="7"/>
      <c r="I766" s="7"/>
      <c r="J766" s="7"/>
      <c r="K766" s="7"/>
      <c r="L766" s="7"/>
      <c r="M766" s="7"/>
    </row>
    <row r="767" spans="1:13">
      <c r="A767" s="7"/>
      <c r="B767" s="7"/>
      <c r="C767" s="11"/>
      <c r="D767" s="11"/>
      <c r="E767" s="11"/>
      <c r="F767" s="11"/>
      <c r="G767" s="12"/>
      <c r="H767" s="7"/>
      <c r="I767" s="7"/>
      <c r="J767" s="7"/>
      <c r="K767" s="7"/>
      <c r="L767" s="7"/>
      <c r="M767" s="7"/>
    </row>
    <row r="768" spans="1:13">
      <c r="A768" s="7"/>
      <c r="B768" s="7"/>
      <c r="C768" s="11"/>
      <c r="D768" s="11"/>
      <c r="E768" s="11"/>
      <c r="F768" s="11"/>
      <c r="G768" s="12"/>
      <c r="H768" s="7"/>
      <c r="I768" s="7"/>
      <c r="J768" s="7"/>
      <c r="K768" s="7"/>
      <c r="L768" s="7"/>
      <c r="M768" s="7"/>
    </row>
    <row r="769" spans="1:13">
      <c r="A769" s="7"/>
      <c r="B769" s="7"/>
      <c r="C769" s="11"/>
      <c r="D769" s="11"/>
      <c r="E769" s="11"/>
      <c r="F769" s="11"/>
      <c r="G769" s="12"/>
      <c r="H769" s="7"/>
      <c r="I769" s="7"/>
      <c r="J769" s="7"/>
      <c r="K769" s="7"/>
      <c r="L769" s="7"/>
      <c r="M769" s="7"/>
    </row>
    <row r="770" spans="1:13">
      <c r="A770" s="7"/>
      <c r="B770" s="7"/>
      <c r="C770" s="11"/>
      <c r="D770" s="11"/>
      <c r="E770" s="11"/>
      <c r="F770" s="11"/>
      <c r="G770" s="12"/>
      <c r="H770" s="7"/>
      <c r="I770" s="7"/>
      <c r="J770" s="7"/>
      <c r="K770" s="7"/>
      <c r="L770" s="7"/>
      <c r="M770" s="7"/>
    </row>
    <row r="771" spans="1:13">
      <c r="A771" s="7"/>
      <c r="B771" s="7"/>
      <c r="C771" s="11"/>
      <c r="D771" s="11"/>
      <c r="E771" s="11"/>
      <c r="F771" s="11"/>
      <c r="G771" s="12"/>
      <c r="H771" s="7"/>
      <c r="I771" s="7"/>
      <c r="J771" s="7"/>
      <c r="K771" s="7"/>
      <c r="L771" s="7"/>
      <c r="M771" s="7"/>
    </row>
    <row r="772" spans="1:13">
      <c r="A772" s="7"/>
      <c r="B772" s="7"/>
      <c r="C772" s="11"/>
      <c r="D772" s="11"/>
      <c r="E772" s="11"/>
      <c r="F772" s="11"/>
      <c r="G772" s="12"/>
      <c r="H772" s="7"/>
      <c r="I772" s="7"/>
      <c r="J772" s="7"/>
      <c r="K772" s="7"/>
      <c r="L772" s="7"/>
      <c r="M772" s="7"/>
    </row>
    <row r="773" spans="1:13">
      <c r="A773" s="7"/>
      <c r="B773" s="7"/>
      <c r="C773" s="11"/>
      <c r="D773" s="11"/>
      <c r="E773" s="11"/>
      <c r="F773" s="11"/>
      <c r="G773" s="12"/>
      <c r="H773" s="7"/>
      <c r="I773" s="7"/>
      <c r="J773" s="7"/>
      <c r="K773" s="7"/>
      <c r="L773" s="7"/>
      <c r="M773" s="7"/>
    </row>
    <row r="774" spans="1:13">
      <c r="A774" s="7"/>
      <c r="B774" s="7"/>
      <c r="C774" s="11"/>
      <c r="D774" s="11"/>
      <c r="E774" s="11"/>
      <c r="F774" s="11"/>
      <c r="G774" s="12"/>
      <c r="H774" s="7"/>
      <c r="I774" s="7"/>
      <c r="J774" s="7"/>
      <c r="K774" s="7"/>
      <c r="L774" s="7"/>
      <c r="M774" s="7"/>
    </row>
    <row r="775" spans="1:13">
      <c r="A775" s="7"/>
      <c r="B775" s="7"/>
      <c r="C775" s="11"/>
      <c r="D775" s="11"/>
      <c r="E775" s="11"/>
      <c r="F775" s="11"/>
      <c r="G775" s="12"/>
      <c r="H775" s="7"/>
      <c r="I775" s="7"/>
      <c r="J775" s="7"/>
      <c r="K775" s="7"/>
      <c r="L775" s="7"/>
      <c r="M775" s="7"/>
    </row>
    <row r="776" spans="1:13">
      <c r="A776" s="7"/>
      <c r="B776" s="7"/>
      <c r="C776" s="11"/>
      <c r="D776" s="11"/>
      <c r="E776" s="11"/>
      <c r="F776" s="11"/>
      <c r="G776" s="12"/>
      <c r="H776" s="7"/>
      <c r="I776" s="7"/>
      <c r="J776" s="7"/>
      <c r="K776" s="7"/>
      <c r="L776" s="7"/>
      <c r="M776" s="7"/>
    </row>
    <row r="777" spans="1:13">
      <c r="A777" s="7"/>
      <c r="B777" s="7"/>
      <c r="C777" s="11"/>
      <c r="D777" s="11"/>
      <c r="E777" s="11"/>
      <c r="F777" s="11"/>
      <c r="G777" s="12"/>
      <c r="H777" s="7"/>
      <c r="I777" s="7"/>
      <c r="J777" s="7"/>
      <c r="K777" s="7"/>
      <c r="L777" s="7"/>
      <c r="M777" s="7"/>
    </row>
    <row r="778" spans="1:13">
      <c r="A778" s="7"/>
      <c r="B778" s="7"/>
      <c r="C778" s="11"/>
      <c r="D778" s="11"/>
      <c r="E778" s="11"/>
      <c r="F778" s="11"/>
      <c r="G778" s="12"/>
      <c r="H778" s="7"/>
      <c r="I778" s="7"/>
      <c r="J778" s="7"/>
      <c r="K778" s="7"/>
      <c r="L778" s="7"/>
      <c r="M778" s="7"/>
    </row>
    <row r="779" spans="1:13">
      <c r="A779" s="7"/>
      <c r="B779" s="7"/>
      <c r="C779" s="11"/>
      <c r="D779" s="11"/>
      <c r="E779" s="11"/>
      <c r="F779" s="11"/>
      <c r="G779" s="12"/>
      <c r="H779" s="7"/>
      <c r="I779" s="7"/>
      <c r="J779" s="7"/>
      <c r="K779" s="7"/>
      <c r="L779" s="7"/>
      <c r="M779" s="7"/>
    </row>
    <row r="780" spans="1:13">
      <c r="A780" s="7"/>
      <c r="B780" s="7"/>
      <c r="C780" s="11"/>
      <c r="D780" s="11"/>
      <c r="E780" s="11"/>
      <c r="F780" s="11"/>
      <c r="G780" s="12"/>
      <c r="H780" s="7"/>
      <c r="I780" s="7"/>
      <c r="J780" s="7"/>
      <c r="K780" s="7"/>
      <c r="L780" s="7"/>
      <c r="M780" s="7"/>
    </row>
    <row r="781" spans="1:13">
      <c r="A781" s="7"/>
      <c r="B781" s="7"/>
      <c r="C781" s="11"/>
      <c r="D781" s="11"/>
      <c r="E781" s="11"/>
      <c r="F781" s="11"/>
      <c r="G781" s="12"/>
      <c r="H781" s="7"/>
      <c r="I781" s="7"/>
      <c r="J781" s="7"/>
      <c r="K781" s="7"/>
      <c r="L781" s="7"/>
      <c r="M781" s="7"/>
    </row>
    <row r="782" spans="1:13">
      <c r="A782" s="7"/>
      <c r="B782" s="7"/>
      <c r="C782" s="11"/>
      <c r="D782" s="11"/>
      <c r="E782" s="11"/>
      <c r="F782" s="11"/>
      <c r="G782" s="12"/>
      <c r="H782" s="7"/>
      <c r="I782" s="7"/>
      <c r="J782" s="7"/>
      <c r="K782" s="7"/>
      <c r="L782" s="7"/>
      <c r="M782" s="7"/>
    </row>
    <row r="783" spans="1:13">
      <c r="A783" s="7"/>
      <c r="B783" s="7"/>
      <c r="C783" s="11"/>
      <c r="D783" s="11"/>
      <c r="E783" s="11"/>
      <c r="F783" s="11"/>
      <c r="G783" s="12"/>
      <c r="H783" s="7"/>
      <c r="I783" s="7"/>
      <c r="J783" s="7"/>
      <c r="K783" s="7"/>
      <c r="L783" s="7"/>
      <c r="M783" s="7"/>
    </row>
    <row r="784" spans="1:13">
      <c r="A784" s="7"/>
      <c r="B784" s="7"/>
      <c r="C784" s="11"/>
      <c r="D784" s="11"/>
      <c r="E784" s="11"/>
      <c r="F784" s="11"/>
      <c r="G784" s="12"/>
      <c r="H784" s="7"/>
      <c r="I784" s="7"/>
      <c r="J784" s="7"/>
      <c r="K784" s="7"/>
      <c r="L784" s="7"/>
      <c r="M784" s="7"/>
    </row>
    <row r="785" spans="1:13">
      <c r="A785" s="7"/>
      <c r="B785" s="7"/>
      <c r="C785" s="11"/>
      <c r="D785" s="11"/>
      <c r="E785" s="11"/>
      <c r="F785" s="11"/>
      <c r="G785" s="12"/>
      <c r="H785" s="7"/>
      <c r="I785" s="7"/>
      <c r="J785" s="7"/>
      <c r="K785" s="7"/>
      <c r="L785" s="7"/>
      <c r="M785" s="7"/>
    </row>
    <row r="786" spans="1:13">
      <c r="A786" s="7"/>
      <c r="B786" s="7"/>
      <c r="C786" s="11"/>
      <c r="D786" s="11"/>
      <c r="E786" s="11"/>
      <c r="F786" s="11"/>
      <c r="G786" s="12"/>
      <c r="H786" s="7"/>
      <c r="I786" s="7"/>
      <c r="J786" s="7"/>
      <c r="K786" s="7"/>
      <c r="L786" s="7"/>
      <c r="M786" s="7"/>
    </row>
    <row r="787" spans="1:13">
      <c r="A787" s="7"/>
      <c r="B787" s="7"/>
      <c r="C787" s="11"/>
      <c r="D787" s="11"/>
      <c r="E787" s="11"/>
      <c r="F787" s="11"/>
      <c r="G787" s="12"/>
      <c r="H787" s="7"/>
      <c r="I787" s="7"/>
      <c r="J787" s="7"/>
      <c r="K787" s="7"/>
      <c r="L787" s="7"/>
      <c r="M787" s="7"/>
    </row>
    <row r="788" spans="1:13">
      <c r="A788" s="7"/>
      <c r="B788" s="7"/>
      <c r="C788" s="11"/>
      <c r="D788" s="11"/>
      <c r="E788" s="11"/>
      <c r="F788" s="11"/>
      <c r="G788" s="12"/>
      <c r="H788" s="7"/>
      <c r="I788" s="7"/>
      <c r="J788" s="7"/>
      <c r="K788" s="7"/>
      <c r="L788" s="7"/>
      <c r="M788" s="7"/>
    </row>
    <row r="789" spans="1:13">
      <c r="A789" s="7"/>
      <c r="B789" s="7"/>
      <c r="C789" s="11"/>
      <c r="D789" s="11"/>
      <c r="E789" s="11"/>
      <c r="F789" s="11"/>
      <c r="G789" s="12"/>
      <c r="H789" s="7"/>
      <c r="I789" s="7"/>
      <c r="J789" s="7"/>
      <c r="K789" s="7"/>
      <c r="L789" s="7"/>
      <c r="M789" s="7"/>
    </row>
    <row r="790" spans="1:13">
      <c r="A790" s="7"/>
      <c r="B790" s="7"/>
      <c r="C790" s="11"/>
      <c r="D790" s="11"/>
      <c r="E790" s="11"/>
      <c r="F790" s="11"/>
      <c r="G790" s="12"/>
      <c r="H790" s="7"/>
      <c r="I790" s="7"/>
      <c r="J790" s="7"/>
      <c r="K790" s="7"/>
      <c r="L790" s="7"/>
      <c r="M790" s="7"/>
    </row>
    <row r="791" spans="1:13">
      <c r="A791" s="7"/>
      <c r="B791" s="7"/>
      <c r="C791" s="11"/>
      <c r="D791" s="11"/>
      <c r="E791" s="11"/>
      <c r="F791" s="11"/>
      <c r="G791" s="12"/>
      <c r="H791" s="7"/>
      <c r="I791" s="7"/>
      <c r="J791" s="7"/>
      <c r="K791" s="7"/>
      <c r="L791" s="7"/>
      <c r="M791" s="7"/>
    </row>
    <row r="792" spans="1:13">
      <c r="A792" s="7"/>
      <c r="B792" s="7"/>
      <c r="C792" s="11"/>
      <c r="D792" s="11"/>
      <c r="E792" s="11"/>
      <c r="F792" s="11"/>
      <c r="G792" s="12"/>
      <c r="H792" s="7"/>
      <c r="I792" s="7"/>
      <c r="J792" s="7"/>
      <c r="K792" s="7"/>
      <c r="L792" s="7"/>
      <c r="M792" s="7"/>
    </row>
    <row r="793" spans="1:13">
      <c r="A793" s="7"/>
      <c r="B793" s="7"/>
      <c r="C793" s="11"/>
      <c r="D793" s="11"/>
      <c r="E793" s="11"/>
      <c r="F793" s="11"/>
      <c r="G793" s="12"/>
      <c r="H793" s="7"/>
      <c r="I793" s="7"/>
      <c r="J793" s="7"/>
      <c r="K793" s="7"/>
      <c r="L793" s="7"/>
      <c r="M793" s="7"/>
    </row>
    <row r="794" spans="1:13">
      <c r="A794" s="7"/>
      <c r="B794" s="7"/>
      <c r="C794" s="11"/>
      <c r="D794" s="11"/>
      <c r="E794" s="11"/>
      <c r="F794" s="11"/>
      <c r="G794" s="12"/>
      <c r="H794" s="7"/>
      <c r="I794" s="7"/>
      <c r="J794" s="7"/>
      <c r="K794" s="7"/>
      <c r="L794" s="7"/>
      <c r="M794" s="7"/>
    </row>
    <row r="795" spans="1:13">
      <c r="A795" s="7"/>
      <c r="B795" s="7"/>
      <c r="C795" s="11"/>
      <c r="D795" s="11"/>
      <c r="E795" s="11"/>
      <c r="F795" s="11"/>
      <c r="G795" s="12"/>
      <c r="H795" s="7"/>
      <c r="I795" s="7"/>
      <c r="J795" s="7"/>
      <c r="K795" s="7"/>
      <c r="L795" s="7"/>
      <c r="M795" s="7"/>
    </row>
    <row r="796" spans="1:13">
      <c r="A796" s="7"/>
      <c r="B796" s="7"/>
      <c r="C796" s="11"/>
      <c r="D796" s="11"/>
      <c r="E796" s="11"/>
      <c r="F796" s="11"/>
      <c r="G796" s="12"/>
      <c r="H796" s="7"/>
      <c r="I796" s="7"/>
      <c r="J796" s="7"/>
      <c r="K796" s="7"/>
      <c r="L796" s="7"/>
      <c r="M796" s="7"/>
    </row>
    <row r="797" spans="1:13">
      <c r="A797" s="7"/>
      <c r="B797" s="7"/>
      <c r="C797" s="11"/>
      <c r="D797" s="11"/>
      <c r="E797" s="11"/>
      <c r="F797" s="11"/>
      <c r="G797" s="12"/>
      <c r="H797" s="7"/>
      <c r="I797" s="7"/>
      <c r="J797" s="7"/>
      <c r="K797" s="7"/>
      <c r="L797" s="7"/>
      <c r="M797" s="7"/>
    </row>
    <row r="798" spans="1:13">
      <c r="A798" s="7"/>
      <c r="B798" s="7"/>
      <c r="C798" s="11"/>
      <c r="D798" s="11"/>
      <c r="E798" s="11"/>
      <c r="F798" s="11"/>
      <c r="G798" s="12"/>
      <c r="H798" s="7"/>
      <c r="I798" s="7"/>
      <c r="J798" s="7"/>
      <c r="K798" s="7"/>
      <c r="L798" s="7"/>
      <c r="M798" s="7"/>
    </row>
    <row r="799" spans="1:13">
      <c r="A799" s="7"/>
      <c r="B799" s="7"/>
      <c r="C799" s="11"/>
      <c r="D799" s="11"/>
      <c r="E799" s="11"/>
      <c r="F799" s="11"/>
      <c r="G799" s="12"/>
      <c r="H799" s="7"/>
      <c r="I799" s="7"/>
      <c r="J799" s="7"/>
      <c r="K799" s="7"/>
      <c r="L799" s="7"/>
      <c r="M799" s="7"/>
    </row>
    <row r="800" spans="1:13">
      <c r="A800" s="7"/>
      <c r="B800" s="7"/>
      <c r="C800" s="11"/>
      <c r="D800" s="11"/>
      <c r="E800" s="11"/>
      <c r="F800" s="11"/>
      <c r="G800" s="12"/>
      <c r="H800" s="7"/>
      <c r="I800" s="7"/>
      <c r="J800" s="7"/>
      <c r="K800" s="7"/>
      <c r="L800" s="7"/>
      <c r="M800" s="7"/>
    </row>
    <row r="801" spans="1:13">
      <c r="A801" s="7"/>
      <c r="B801" s="7"/>
      <c r="C801" s="11"/>
      <c r="D801" s="11"/>
      <c r="E801" s="11"/>
      <c r="F801" s="11"/>
      <c r="G801" s="12"/>
      <c r="H801" s="7"/>
      <c r="I801" s="7"/>
      <c r="J801" s="7"/>
      <c r="K801" s="7"/>
      <c r="L801" s="7"/>
      <c r="M801" s="7"/>
    </row>
    <row r="802" spans="1:13">
      <c r="A802" s="7"/>
      <c r="B802" s="7"/>
      <c r="C802" s="11"/>
      <c r="D802" s="11"/>
      <c r="E802" s="11"/>
      <c r="F802" s="11"/>
      <c r="G802" s="12"/>
      <c r="H802" s="7"/>
      <c r="I802" s="7"/>
      <c r="J802" s="7"/>
      <c r="K802" s="7"/>
      <c r="L802" s="7"/>
      <c r="M802" s="7"/>
    </row>
    <row r="803" spans="1:13">
      <c r="A803" s="7"/>
      <c r="B803" s="7"/>
      <c r="C803" s="11"/>
      <c r="D803" s="11"/>
      <c r="E803" s="11"/>
      <c r="F803" s="11"/>
      <c r="G803" s="12"/>
      <c r="H803" s="7"/>
      <c r="I803" s="7"/>
      <c r="J803" s="7"/>
      <c r="K803" s="7"/>
      <c r="L803" s="7"/>
      <c r="M803" s="7"/>
    </row>
    <row r="804" spans="1:13">
      <c r="A804" s="7"/>
      <c r="B804" s="7"/>
      <c r="C804" s="11"/>
      <c r="D804" s="11"/>
      <c r="E804" s="11"/>
      <c r="F804" s="11"/>
      <c r="G804" s="12"/>
      <c r="H804" s="7"/>
      <c r="I804" s="7"/>
      <c r="J804" s="7"/>
      <c r="K804" s="7"/>
      <c r="L804" s="7"/>
      <c r="M804" s="7"/>
    </row>
    <row r="805" spans="1:13">
      <c r="A805" s="7"/>
      <c r="B805" s="7"/>
      <c r="C805" s="11"/>
      <c r="D805" s="11"/>
      <c r="E805" s="11"/>
      <c r="F805" s="11"/>
      <c r="G805" s="12"/>
      <c r="H805" s="7"/>
      <c r="I805" s="7"/>
      <c r="J805" s="7"/>
      <c r="K805" s="7"/>
      <c r="L805" s="7"/>
      <c r="M805" s="7"/>
    </row>
    <row r="806" spans="1:13">
      <c r="A806" s="7"/>
      <c r="B806" s="7"/>
      <c r="C806" s="11"/>
      <c r="D806" s="11"/>
      <c r="E806" s="11"/>
      <c r="F806" s="11"/>
      <c r="G806" s="12"/>
      <c r="H806" s="7"/>
      <c r="I806" s="7"/>
      <c r="J806" s="7"/>
      <c r="K806" s="7"/>
      <c r="L806" s="7"/>
      <c r="M806" s="7"/>
    </row>
    <row r="807" spans="1:13">
      <c r="A807" s="7"/>
      <c r="B807" s="7"/>
      <c r="C807" s="11"/>
      <c r="D807" s="11"/>
      <c r="E807" s="11"/>
      <c r="F807" s="11"/>
      <c r="G807" s="12"/>
      <c r="H807" s="7"/>
      <c r="I807" s="7"/>
      <c r="J807" s="7"/>
      <c r="K807" s="7"/>
      <c r="L807" s="7"/>
      <c r="M807" s="7"/>
    </row>
    <row r="808" spans="1:13">
      <c r="A808" s="7"/>
      <c r="B808" s="7"/>
      <c r="C808" s="11"/>
      <c r="D808" s="11"/>
      <c r="E808" s="11"/>
      <c r="F808" s="11"/>
      <c r="G808" s="12"/>
      <c r="H808" s="7"/>
      <c r="I808" s="7"/>
      <c r="J808" s="7"/>
      <c r="K808" s="7"/>
      <c r="L808" s="7"/>
      <c r="M808" s="7"/>
    </row>
    <row r="809" spans="1:13">
      <c r="A809" s="7"/>
      <c r="B809" s="7"/>
      <c r="C809" s="11"/>
      <c r="D809" s="11"/>
      <c r="E809" s="11"/>
      <c r="F809" s="11"/>
      <c r="G809" s="12"/>
      <c r="H809" s="7"/>
      <c r="I809" s="7"/>
      <c r="J809" s="7"/>
      <c r="K809" s="7"/>
      <c r="L809" s="7"/>
      <c r="M809" s="7"/>
    </row>
    <row r="810" spans="1:13">
      <c r="A810" s="7"/>
      <c r="B810" s="7"/>
      <c r="C810" s="11"/>
      <c r="D810" s="11"/>
      <c r="E810" s="11"/>
      <c r="F810" s="11"/>
      <c r="G810" s="12"/>
      <c r="H810" s="7"/>
      <c r="I810" s="7"/>
      <c r="J810" s="7"/>
      <c r="K810" s="7"/>
      <c r="L810" s="7"/>
      <c r="M810" s="7"/>
    </row>
    <row r="811" spans="1:13">
      <c r="A811" s="7"/>
      <c r="B811" s="7"/>
      <c r="C811" s="11"/>
      <c r="D811" s="11"/>
      <c r="E811" s="11"/>
      <c r="F811" s="11"/>
      <c r="G811" s="12"/>
      <c r="H811" s="7"/>
      <c r="I811" s="7"/>
      <c r="J811" s="7"/>
      <c r="K811" s="7"/>
      <c r="L811" s="7"/>
      <c r="M811" s="7"/>
    </row>
    <row r="812" spans="1:13">
      <c r="A812" s="7"/>
      <c r="B812" s="7"/>
      <c r="C812" s="11"/>
      <c r="D812" s="11"/>
      <c r="E812" s="11"/>
      <c r="F812" s="11"/>
      <c r="G812" s="12"/>
      <c r="H812" s="7"/>
      <c r="I812" s="7"/>
      <c r="J812" s="7"/>
      <c r="K812" s="7"/>
      <c r="L812" s="7"/>
      <c r="M812" s="7"/>
    </row>
    <row r="813" spans="1:13">
      <c r="A813" s="7"/>
      <c r="B813" s="7"/>
      <c r="C813" s="11"/>
      <c r="D813" s="11"/>
      <c r="E813" s="11"/>
      <c r="F813" s="11"/>
      <c r="G813" s="12"/>
      <c r="H813" s="7"/>
      <c r="I813" s="7"/>
      <c r="J813" s="7"/>
      <c r="K813" s="7"/>
      <c r="L813" s="7"/>
      <c r="M813" s="7"/>
    </row>
    <row r="814" spans="1:13">
      <c r="A814" s="7"/>
      <c r="B814" s="7"/>
      <c r="C814" s="11"/>
      <c r="D814" s="11"/>
      <c r="E814" s="11"/>
      <c r="F814" s="11"/>
      <c r="G814" s="12"/>
      <c r="H814" s="7"/>
      <c r="I814" s="7"/>
      <c r="J814" s="7"/>
      <c r="K814" s="7"/>
      <c r="L814" s="7"/>
      <c r="M814" s="7"/>
    </row>
    <row r="815" spans="1:13">
      <c r="A815" s="7"/>
      <c r="B815" s="7"/>
      <c r="C815" s="11"/>
      <c r="D815" s="11"/>
      <c r="E815" s="11"/>
      <c r="F815" s="11"/>
      <c r="G815" s="12"/>
      <c r="H815" s="7"/>
      <c r="I815" s="7"/>
      <c r="J815" s="7"/>
      <c r="K815" s="7"/>
      <c r="L815" s="7"/>
      <c r="M815" s="7"/>
    </row>
    <row r="816" spans="1:13">
      <c r="A816" s="7"/>
      <c r="B816" s="7"/>
      <c r="C816" s="11"/>
      <c r="D816" s="11"/>
      <c r="E816" s="11"/>
      <c r="F816" s="11"/>
      <c r="G816" s="12"/>
      <c r="H816" s="7"/>
      <c r="I816" s="7"/>
      <c r="J816" s="7"/>
      <c r="K816" s="7"/>
      <c r="L816" s="7"/>
      <c r="M816" s="7"/>
    </row>
    <row r="817" spans="1:13">
      <c r="A817" s="7"/>
      <c r="B817" s="7"/>
      <c r="C817" s="11"/>
      <c r="D817" s="11"/>
      <c r="E817" s="11"/>
      <c r="F817" s="11"/>
      <c r="G817" s="12"/>
      <c r="H817" s="7"/>
      <c r="I817" s="7"/>
      <c r="J817" s="7"/>
      <c r="K817" s="7"/>
      <c r="L817" s="7"/>
      <c r="M817" s="7"/>
    </row>
    <row r="818" spans="1:13">
      <c r="A818" s="7"/>
      <c r="B818" s="7"/>
      <c r="C818" s="11"/>
      <c r="D818" s="11"/>
      <c r="E818" s="11"/>
      <c r="F818" s="11"/>
      <c r="G818" s="12"/>
      <c r="H818" s="7"/>
      <c r="I818" s="7"/>
      <c r="J818" s="7"/>
      <c r="K818" s="7"/>
      <c r="L818" s="7"/>
      <c r="M818" s="7"/>
    </row>
    <row r="819" spans="1:13">
      <c r="A819" s="7"/>
      <c r="B819" s="7"/>
      <c r="C819" s="11"/>
      <c r="D819" s="11"/>
      <c r="E819" s="11"/>
      <c r="F819" s="11"/>
      <c r="G819" s="12"/>
      <c r="H819" s="7"/>
      <c r="I819" s="7"/>
      <c r="J819" s="7"/>
      <c r="K819" s="7"/>
      <c r="L819" s="7"/>
      <c r="M819" s="7"/>
    </row>
    <row r="820" spans="1:13">
      <c r="A820" s="7"/>
      <c r="B820" s="7"/>
      <c r="C820" s="11"/>
      <c r="D820" s="11"/>
      <c r="E820" s="11"/>
      <c r="F820" s="11"/>
      <c r="G820" s="12"/>
      <c r="H820" s="7"/>
      <c r="I820" s="7"/>
      <c r="J820" s="7"/>
      <c r="K820" s="7"/>
      <c r="L820" s="7"/>
      <c r="M820" s="7"/>
    </row>
    <row r="821" spans="1:13">
      <c r="A821" s="7"/>
      <c r="B821" s="7"/>
      <c r="C821" s="11"/>
      <c r="D821" s="11"/>
      <c r="E821" s="11"/>
      <c r="F821" s="11"/>
      <c r="G821" s="12"/>
      <c r="H821" s="7"/>
      <c r="I821" s="7"/>
      <c r="J821" s="7"/>
      <c r="K821" s="7"/>
      <c r="L821" s="7"/>
      <c r="M821" s="7"/>
    </row>
    <row r="822" spans="1:13">
      <c r="A822" s="7"/>
      <c r="B822" s="7"/>
      <c r="C822" s="11"/>
      <c r="D822" s="11"/>
      <c r="E822" s="11"/>
      <c r="F822" s="11"/>
      <c r="G822" s="12"/>
      <c r="H822" s="7"/>
      <c r="I822" s="7"/>
      <c r="J822" s="7"/>
      <c r="K822" s="7"/>
      <c r="L822" s="7"/>
      <c r="M822" s="7"/>
    </row>
    <row r="823" spans="1:13">
      <c r="A823" s="7"/>
      <c r="B823" s="7"/>
      <c r="C823" s="11"/>
      <c r="D823" s="11"/>
      <c r="E823" s="11"/>
      <c r="F823" s="11"/>
      <c r="G823" s="12"/>
      <c r="H823" s="7"/>
      <c r="I823" s="7"/>
      <c r="J823" s="7"/>
      <c r="K823" s="7"/>
      <c r="L823" s="7"/>
      <c r="M823" s="7"/>
    </row>
    <row r="824" spans="1:13">
      <c r="A824" s="7"/>
      <c r="B824" s="7"/>
      <c r="C824" s="11"/>
      <c r="D824" s="11"/>
      <c r="E824" s="11"/>
      <c r="F824" s="11"/>
      <c r="G824" s="12"/>
      <c r="H824" s="7"/>
      <c r="I824" s="7"/>
      <c r="J824" s="7"/>
      <c r="K824" s="7"/>
      <c r="L824" s="7"/>
      <c r="M824" s="7"/>
    </row>
    <row r="825" spans="1:13">
      <c r="A825" s="7"/>
      <c r="B825" s="7"/>
      <c r="C825" s="11"/>
      <c r="D825" s="11"/>
      <c r="E825" s="11"/>
      <c r="F825" s="11"/>
      <c r="G825" s="12"/>
      <c r="H825" s="7"/>
      <c r="I825" s="7"/>
      <c r="J825" s="7"/>
      <c r="K825" s="7"/>
      <c r="L825" s="7"/>
      <c r="M825" s="7"/>
    </row>
    <row r="826" spans="1:13">
      <c r="A826" s="7"/>
      <c r="B826" s="7"/>
      <c r="C826" s="11"/>
      <c r="D826" s="11"/>
      <c r="E826" s="11"/>
      <c r="F826" s="11"/>
      <c r="G826" s="12"/>
      <c r="H826" s="7"/>
      <c r="I826" s="7"/>
      <c r="J826" s="7"/>
      <c r="K826" s="7"/>
      <c r="L826" s="7"/>
      <c r="M826" s="7"/>
    </row>
    <row r="827" spans="1:13">
      <c r="A827" s="7"/>
      <c r="B827" s="7"/>
      <c r="C827" s="11"/>
      <c r="D827" s="11"/>
      <c r="E827" s="11"/>
      <c r="F827" s="11"/>
      <c r="G827" s="12"/>
      <c r="H827" s="7"/>
      <c r="I827" s="7"/>
      <c r="J827" s="7"/>
      <c r="K827" s="7"/>
      <c r="L827" s="7"/>
      <c r="M827" s="7"/>
    </row>
    <row r="828" spans="1:13">
      <c r="A828" s="7"/>
      <c r="B828" s="7"/>
      <c r="C828" s="11"/>
      <c r="D828" s="11"/>
      <c r="E828" s="11"/>
      <c r="F828" s="11"/>
      <c r="G828" s="12"/>
      <c r="H828" s="7"/>
      <c r="I828" s="7"/>
      <c r="J828" s="7"/>
      <c r="K828" s="7"/>
      <c r="L828" s="7"/>
      <c r="M828" s="7"/>
    </row>
    <row r="829" spans="1:13">
      <c r="A829" s="7"/>
      <c r="B829" s="7"/>
      <c r="C829" s="11"/>
      <c r="D829" s="11"/>
      <c r="E829" s="11"/>
      <c r="F829" s="11"/>
      <c r="G829" s="12"/>
      <c r="H829" s="7"/>
      <c r="I829" s="7"/>
      <c r="J829" s="7"/>
      <c r="K829" s="7"/>
      <c r="L829" s="7"/>
      <c r="M829" s="7"/>
    </row>
    <row r="830" spans="1:13">
      <c r="A830" s="7"/>
      <c r="B830" s="7"/>
      <c r="C830" s="11"/>
      <c r="D830" s="11"/>
      <c r="E830" s="11"/>
      <c r="F830" s="11"/>
      <c r="G830" s="12"/>
      <c r="H830" s="7"/>
      <c r="I830" s="7"/>
      <c r="J830" s="7"/>
      <c r="K830" s="7"/>
      <c r="L830" s="7"/>
      <c r="M830" s="7"/>
    </row>
    <row r="831" spans="1:13">
      <c r="A831" s="7"/>
      <c r="B831" s="7"/>
      <c r="C831" s="11"/>
      <c r="D831" s="11"/>
      <c r="E831" s="11"/>
      <c r="F831" s="11"/>
      <c r="G831" s="12"/>
      <c r="H831" s="7"/>
      <c r="I831" s="7"/>
      <c r="J831" s="7"/>
      <c r="K831" s="7"/>
      <c r="L831" s="7"/>
      <c r="M831" s="7"/>
    </row>
    <row r="832" spans="1:13">
      <c r="A832" s="7"/>
      <c r="B832" s="7"/>
      <c r="C832" s="11"/>
      <c r="D832" s="11"/>
      <c r="E832" s="11"/>
      <c r="F832" s="11"/>
      <c r="G832" s="12"/>
      <c r="H832" s="7"/>
      <c r="I832" s="7"/>
      <c r="J832" s="7"/>
      <c r="K832" s="7"/>
      <c r="L832" s="7"/>
      <c r="M832" s="7"/>
    </row>
    <row r="833" spans="1:13">
      <c r="A833" s="7"/>
      <c r="B833" s="7"/>
      <c r="C833" s="11"/>
      <c r="D833" s="11"/>
      <c r="E833" s="11"/>
      <c r="F833" s="11"/>
      <c r="G833" s="12"/>
      <c r="H833" s="7"/>
      <c r="I833" s="7"/>
      <c r="J833" s="7"/>
      <c r="K833" s="7"/>
      <c r="L833" s="7"/>
      <c r="M833" s="7"/>
    </row>
    <row r="834" spans="1:13">
      <c r="A834" s="7"/>
      <c r="B834" s="7"/>
      <c r="C834" s="11"/>
      <c r="D834" s="11"/>
      <c r="E834" s="11"/>
      <c r="F834" s="11"/>
      <c r="G834" s="12"/>
      <c r="H834" s="7"/>
      <c r="I834" s="7"/>
      <c r="J834" s="7"/>
      <c r="K834" s="7"/>
      <c r="L834" s="7"/>
      <c r="M834" s="7"/>
    </row>
    <row r="835" spans="1:13">
      <c r="A835" s="7"/>
      <c r="B835" s="7"/>
      <c r="C835" s="11"/>
      <c r="D835" s="11"/>
      <c r="E835" s="11"/>
      <c r="F835" s="11"/>
      <c r="G835" s="12"/>
      <c r="H835" s="7"/>
      <c r="I835" s="7"/>
      <c r="J835" s="7"/>
      <c r="K835" s="7"/>
      <c r="L835" s="7"/>
      <c r="M835" s="7"/>
    </row>
    <row r="836" spans="1:13">
      <c r="A836" s="7"/>
      <c r="B836" s="7"/>
      <c r="C836" s="11"/>
      <c r="D836" s="11"/>
      <c r="E836" s="11"/>
      <c r="F836" s="11"/>
      <c r="G836" s="12"/>
      <c r="H836" s="7"/>
      <c r="I836" s="7"/>
      <c r="J836" s="7"/>
      <c r="K836" s="7"/>
      <c r="L836" s="7"/>
      <c r="M836" s="7"/>
    </row>
    <row r="837" spans="1:13">
      <c r="A837" s="7"/>
      <c r="B837" s="7"/>
      <c r="C837" s="11"/>
      <c r="D837" s="11"/>
      <c r="E837" s="11"/>
      <c r="F837" s="11"/>
      <c r="G837" s="12"/>
      <c r="H837" s="7"/>
      <c r="I837" s="7"/>
      <c r="J837" s="7"/>
      <c r="K837" s="7"/>
      <c r="L837" s="7"/>
      <c r="M837" s="7"/>
    </row>
    <row r="838" spans="1:13">
      <c r="A838" s="7"/>
      <c r="B838" s="7"/>
      <c r="C838" s="11"/>
      <c r="D838" s="11"/>
      <c r="E838" s="11"/>
      <c r="F838" s="11"/>
      <c r="G838" s="12"/>
      <c r="H838" s="7"/>
      <c r="I838" s="7"/>
      <c r="J838" s="7"/>
      <c r="K838" s="7"/>
      <c r="L838" s="7"/>
      <c r="M838" s="7"/>
    </row>
    <row r="839" spans="1:13">
      <c r="A839" s="7"/>
      <c r="B839" s="7"/>
      <c r="C839" s="11"/>
      <c r="D839" s="11"/>
      <c r="E839" s="11"/>
      <c r="F839" s="11"/>
      <c r="G839" s="12"/>
      <c r="H839" s="7"/>
      <c r="I839" s="7"/>
      <c r="J839" s="7"/>
      <c r="K839" s="7"/>
      <c r="L839" s="7"/>
      <c r="M839" s="7"/>
    </row>
    <row r="840" spans="1:13">
      <c r="A840" s="7"/>
      <c r="B840" s="7"/>
      <c r="C840" s="11"/>
      <c r="D840" s="11"/>
      <c r="E840" s="11"/>
      <c r="F840" s="11"/>
      <c r="G840" s="12"/>
      <c r="H840" s="7"/>
      <c r="I840" s="7"/>
      <c r="J840" s="7"/>
      <c r="K840" s="7"/>
      <c r="L840" s="7"/>
      <c r="M840" s="7"/>
    </row>
    <row r="841" spans="1:13">
      <c r="A841" s="7"/>
      <c r="B841" s="7"/>
      <c r="C841" s="11"/>
      <c r="D841" s="11"/>
      <c r="E841" s="11"/>
      <c r="F841" s="11"/>
      <c r="G841" s="12"/>
      <c r="H841" s="7"/>
      <c r="I841" s="7"/>
      <c r="J841" s="7"/>
      <c r="K841" s="7"/>
      <c r="L841" s="7"/>
      <c r="M841" s="7"/>
    </row>
    <row r="842" spans="1:13">
      <c r="A842" s="7"/>
      <c r="B842" s="7"/>
      <c r="C842" s="11"/>
      <c r="D842" s="11"/>
      <c r="E842" s="11"/>
      <c r="F842" s="11"/>
      <c r="G842" s="12"/>
      <c r="H842" s="7"/>
      <c r="I842" s="7"/>
      <c r="J842" s="7"/>
      <c r="K842" s="7"/>
      <c r="L842" s="7"/>
      <c r="M842" s="7"/>
    </row>
    <row r="843" spans="1:13">
      <c r="A843" s="7"/>
      <c r="B843" s="7"/>
      <c r="C843" s="11"/>
      <c r="D843" s="11"/>
      <c r="E843" s="11"/>
      <c r="F843" s="11"/>
      <c r="G843" s="12"/>
      <c r="H843" s="7"/>
      <c r="I843" s="7"/>
      <c r="J843" s="7"/>
      <c r="K843" s="7"/>
      <c r="L843" s="7"/>
      <c r="M843" s="7"/>
    </row>
    <row r="844" spans="1:13">
      <c r="A844" s="7"/>
      <c r="B844" s="7"/>
      <c r="C844" s="11"/>
      <c r="D844" s="11"/>
      <c r="E844" s="11"/>
      <c r="F844" s="11"/>
      <c r="G844" s="12"/>
      <c r="H844" s="7"/>
      <c r="I844" s="7"/>
      <c r="J844" s="7"/>
      <c r="K844" s="7"/>
      <c r="L844" s="7"/>
      <c r="M844" s="7"/>
    </row>
    <row r="845" spans="1:13">
      <c r="A845" s="7"/>
      <c r="B845" s="7"/>
      <c r="C845" s="11"/>
      <c r="D845" s="11"/>
      <c r="E845" s="11"/>
      <c r="F845" s="11"/>
      <c r="G845" s="12"/>
      <c r="H845" s="7"/>
      <c r="I845" s="7"/>
      <c r="J845" s="7"/>
      <c r="K845" s="7"/>
      <c r="L845" s="7"/>
      <c r="M845" s="7"/>
    </row>
    <row r="846" spans="1:13">
      <c r="A846" s="7"/>
      <c r="B846" s="7"/>
      <c r="C846" s="11"/>
      <c r="D846" s="11"/>
      <c r="E846" s="11"/>
      <c r="F846" s="11"/>
      <c r="G846" s="12"/>
      <c r="H846" s="7"/>
      <c r="I846" s="7"/>
      <c r="J846" s="7"/>
      <c r="K846" s="7"/>
      <c r="L846" s="7"/>
      <c r="M846" s="7"/>
    </row>
    <row r="847" spans="1:13">
      <c r="A847" s="7"/>
      <c r="B847" s="7"/>
      <c r="C847" s="11"/>
      <c r="D847" s="11"/>
      <c r="E847" s="11"/>
      <c r="F847" s="11"/>
      <c r="G847" s="12"/>
      <c r="H847" s="7"/>
      <c r="I847" s="7"/>
      <c r="J847" s="7"/>
      <c r="K847" s="7"/>
      <c r="L847" s="7"/>
      <c r="M847" s="7"/>
    </row>
    <row r="848" spans="1:13">
      <c r="A848" s="7"/>
      <c r="B848" s="7"/>
      <c r="C848" s="11"/>
      <c r="D848" s="11"/>
      <c r="E848" s="11"/>
      <c r="F848" s="11"/>
      <c r="G848" s="12"/>
      <c r="H848" s="7"/>
      <c r="I848" s="7"/>
      <c r="J848" s="7"/>
      <c r="K848" s="7"/>
      <c r="L848" s="7"/>
      <c r="M848" s="7"/>
    </row>
    <row r="849" spans="1:13">
      <c r="A849" s="7"/>
      <c r="B849" s="7"/>
      <c r="C849" s="11"/>
      <c r="D849" s="11"/>
      <c r="E849" s="11"/>
      <c r="F849" s="11"/>
      <c r="G849" s="12"/>
      <c r="H849" s="7"/>
      <c r="I849" s="7"/>
      <c r="J849" s="7"/>
      <c r="K849" s="7"/>
      <c r="L849" s="7"/>
      <c r="M849" s="7"/>
    </row>
    <row r="850" spans="1:13">
      <c r="A850" s="7"/>
      <c r="B850" s="7"/>
      <c r="C850" s="11"/>
      <c r="D850" s="11"/>
      <c r="E850" s="11"/>
      <c r="F850" s="11"/>
      <c r="G850" s="12"/>
      <c r="H850" s="7"/>
      <c r="I850" s="7"/>
      <c r="J850" s="7"/>
      <c r="K850" s="7"/>
      <c r="L850" s="7"/>
      <c r="M850" s="7"/>
    </row>
    <row r="851" spans="1:13">
      <c r="A851" s="7"/>
      <c r="B851" s="7"/>
      <c r="C851" s="11"/>
      <c r="D851" s="11"/>
      <c r="E851" s="11"/>
      <c r="F851" s="11"/>
      <c r="G851" s="12"/>
      <c r="H851" s="7"/>
      <c r="I851" s="7"/>
      <c r="J851" s="7"/>
      <c r="K851" s="7"/>
      <c r="L851" s="7"/>
      <c r="M851" s="7"/>
    </row>
    <row r="852" spans="1:13">
      <c r="A852" s="7"/>
      <c r="B852" s="7"/>
      <c r="C852" s="11"/>
      <c r="D852" s="11"/>
      <c r="E852" s="11"/>
      <c r="F852" s="11"/>
      <c r="G852" s="12"/>
      <c r="H852" s="7"/>
      <c r="I852" s="7"/>
      <c r="J852" s="7"/>
      <c r="K852" s="7"/>
      <c r="L852" s="7"/>
      <c r="M852" s="7"/>
    </row>
    <row r="853" spans="1:13">
      <c r="A853" s="7"/>
      <c r="B853" s="7"/>
      <c r="C853" s="11"/>
      <c r="D853" s="11"/>
      <c r="E853" s="11"/>
      <c r="F853" s="11"/>
      <c r="G853" s="12"/>
      <c r="H853" s="7"/>
      <c r="I853" s="7"/>
      <c r="J853" s="7"/>
      <c r="K853" s="7"/>
      <c r="L853" s="7"/>
      <c r="M853" s="7"/>
    </row>
    <row r="854" spans="1:13">
      <c r="A854" s="7"/>
      <c r="B854" s="7"/>
      <c r="C854" s="11"/>
      <c r="D854" s="11"/>
      <c r="E854" s="11"/>
      <c r="F854" s="11"/>
      <c r="G854" s="12"/>
      <c r="H854" s="7"/>
      <c r="I854" s="7"/>
      <c r="J854" s="7"/>
      <c r="K854" s="7"/>
      <c r="L854" s="7"/>
      <c r="M854" s="7"/>
    </row>
    <row r="855" spans="1:13">
      <c r="A855" s="7"/>
      <c r="B855" s="7"/>
      <c r="C855" s="11"/>
      <c r="D855" s="11"/>
      <c r="E855" s="11"/>
      <c r="F855" s="11"/>
      <c r="G855" s="12"/>
      <c r="H855" s="7"/>
      <c r="I855" s="7"/>
      <c r="J855" s="7"/>
      <c r="K855" s="7"/>
      <c r="L855" s="7"/>
      <c r="M855" s="7"/>
    </row>
    <row r="856" spans="1:13">
      <c r="A856" s="7"/>
      <c r="B856" s="7"/>
      <c r="C856" s="11"/>
      <c r="D856" s="11"/>
      <c r="E856" s="11"/>
      <c r="F856" s="11"/>
      <c r="G856" s="12"/>
      <c r="H856" s="7"/>
      <c r="I856" s="7"/>
      <c r="J856" s="7"/>
      <c r="K856" s="7"/>
      <c r="L856" s="7"/>
      <c r="M856" s="7"/>
    </row>
    <row r="857" spans="1:13">
      <c r="A857" s="7"/>
      <c r="B857" s="7"/>
      <c r="C857" s="11"/>
      <c r="D857" s="11"/>
      <c r="E857" s="11"/>
      <c r="F857" s="11"/>
      <c r="G857" s="12"/>
      <c r="H857" s="7"/>
      <c r="I857" s="7"/>
      <c r="J857" s="7"/>
      <c r="K857" s="7"/>
      <c r="L857" s="7"/>
      <c r="M857" s="7"/>
    </row>
    <row r="858" spans="1:13">
      <c r="A858" s="7"/>
      <c r="B858" s="7"/>
      <c r="C858" s="11"/>
      <c r="D858" s="11"/>
      <c r="E858" s="11"/>
      <c r="F858" s="11"/>
      <c r="G858" s="12"/>
      <c r="H858" s="7"/>
      <c r="I858" s="7"/>
      <c r="J858" s="7"/>
      <c r="K858" s="7"/>
      <c r="L858" s="7"/>
      <c r="M858" s="7"/>
    </row>
    <row r="859" spans="1:13">
      <c r="A859" s="7"/>
      <c r="B859" s="7"/>
      <c r="C859" s="11"/>
      <c r="D859" s="11"/>
      <c r="E859" s="11"/>
      <c r="F859" s="11"/>
      <c r="G859" s="12"/>
      <c r="H859" s="7"/>
      <c r="I859" s="7"/>
      <c r="J859" s="7"/>
      <c r="K859" s="7"/>
      <c r="L859" s="7"/>
      <c r="M859" s="7"/>
    </row>
    <row r="860" spans="1:13">
      <c r="A860" s="7"/>
      <c r="B860" s="7"/>
      <c r="C860" s="11"/>
      <c r="D860" s="11"/>
      <c r="E860" s="11"/>
      <c r="F860" s="11"/>
      <c r="G860" s="12"/>
      <c r="H860" s="7"/>
      <c r="I860" s="7"/>
      <c r="J860" s="7"/>
      <c r="K860" s="7"/>
      <c r="L860" s="7"/>
      <c r="M860" s="7"/>
    </row>
    <row r="861" spans="1:13">
      <c r="A861" s="7"/>
      <c r="B861" s="7"/>
      <c r="C861" s="11"/>
      <c r="D861" s="11"/>
      <c r="E861" s="11"/>
      <c r="F861" s="11"/>
      <c r="G861" s="12"/>
      <c r="H861" s="7"/>
      <c r="I861" s="7"/>
      <c r="J861" s="7"/>
      <c r="K861" s="7"/>
      <c r="L861" s="7"/>
      <c r="M861" s="7"/>
    </row>
    <row r="862" spans="1:13">
      <c r="A862" s="7"/>
      <c r="B862" s="7"/>
      <c r="C862" s="11"/>
      <c r="D862" s="11"/>
      <c r="E862" s="11"/>
      <c r="F862" s="11"/>
      <c r="G862" s="12"/>
      <c r="H862" s="7"/>
      <c r="I862" s="7"/>
      <c r="J862" s="7"/>
      <c r="K862" s="7"/>
      <c r="L862" s="7"/>
      <c r="M862" s="7"/>
    </row>
    <row r="863" spans="1:13">
      <c r="A863" s="7"/>
      <c r="B863" s="7"/>
      <c r="C863" s="11"/>
      <c r="D863" s="11"/>
      <c r="E863" s="11"/>
      <c r="F863" s="11"/>
      <c r="G863" s="12"/>
      <c r="H863" s="7"/>
      <c r="I863" s="7"/>
      <c r="J863" s="7"/>
      <c r="K863" s="7"/>
      <c r="L863" s="7"/>
      <c r="M863" s="7"/>
    </row>
    <row r="864" spans="1:13">
      <c r="A864" s="7"/>
      <c r="B864" s="7"/>
      <c r="C864" s="11"/>
      <c r="D864" s="11"/>
      <c r="E864" s="11"/>
      <c r="F864" s="11"/>
      <c r="G864" s="12"/>
      <c r="H864" s="7"/>
      <c r="I864" s="7"/>
      <c r="J864" s="7"/>
      <c r="K864" s="7"/>
      <c r="L864" s="7"/>
      <c r="M864" s="7"/>
    </row>
    <row r="865" spans="1:13">
      <c r="A865" s="7"/>
      <c r="B865" s="7"/>
      <c r="C865" s="11"/>
      <c r="D865" s="11"/>
      <c r="E865" s="11"/>
      <c r="F865" s="11"/>
      <c r="G865" s="12"/>
      <c r="H865" s="7"/>
      <c r="I865" s="7"/>
      <c r="J865" s="7"/>
      <c r="K865" s="7"/>
      <c r="L865" s="7"/>
      <c r="M865" s="7"/>
    </row>
    <row r="866" spans="1:13">
      <c r="A866" s="7"/>
      <c r="B866" s="7"/>
      <c r="C866" s="11"/>
      <c r="D866" s="11"/>
      <c r="E866" s="11"/>
      <c r="F866" s="11"/>
      <c r="G866" s="12"/>
      <c r="H866" s="7"/>
      <c r="I866" s="7"/>
      <c r="J866" s="7"/>
      <c r="K866" s="7"/>
      <c r="L866" s="7"/>
      <c r="M866" s="7"/>
    </row>
    <row r="867" spans="1:13">
      <c r="A867" s="7"/>
      <c r="B867" s="7"/>
      <c r="C867" s="11"/>
      <c r="D867" s="11"/>
      <c r="E867" s="11"/>
      <c r="F867" s="11"/>
      <c r="G867" s="12"/>
      <c r="H867" s="7"/>
      <c r="I867" s="7"/>
      <c r="J867" s="7"/>
      <c r="K867" s="7"/>
      <c r="L867" s="7"/>
      <c r="M867" s="7"/>
    </row>
    <row r="868" spans="1:13">
      <c r="A868" s="7"/>
      <c r="B868" s="7"/>
      <c r="C868" s="11"/>
      <c r="D868" s="11"/>
      <c r="E868" s="11"/>
      <c r="F868" s="11"/>
      <c r="G868" s="12"/>
      <c r="H868" s="7"/>
      <c r="I868" s="7"/>
      <c r="J868" s="7"/>
      <c r="K868" s="7"/>
      <c r="L868" s="7"/>
      <c r="M868" s="7"/>
    </row>
    <row r="869" spans="1:13">
      <c r="A869" s="7"/>
      <c r="B869" s="7"/>
      <c r="C869" s="11"/>
      <c r="D869" s="11"/>
      <c r="E869" s="11"/>
      <c r="F869" s="11"/>
      <c r="G869" s="12"/>
      <c r="H869" s="7"/>
      <c r="I869" s="7"/>
      <c r="J869" s="7"/>
      <c r="K869" s="7"/>
      <c r="L869" s="7"/>
      <c r="M869" s="7"/>
    </row>
    <row r="870" spans="1:13">
      <c r="A870" s="7"/>
      <c r="B870" s="7"/>
      <c r="C870" s="11"/>
      <c r="D870" s="11"/>
      <c r="E870" s="11"/>
      <c r="F870" s="11"/>
      <c r="G870" s="12"/>
      <c r="H870" s="7"/>
      <c r="I870" s="7"/>
      <c r="J870" s="7"/>
      <c r="K870" s="7"/>
      <c r="L870" s="7"/>
      <c r="M870" s="7"/>
    </row>
    <row r="871" spans="1:13">
      <c r="A871" s="7"/>
      <c r="B871" s="7"/>
      <c r="C871" s="11"/>
      <c r="D871" s="11"/>
      <c r="E871" s="11"/>
      <c r="F871" s="11"/>
      <c r="G871" s="12"/>
      <c r="H871" s="7"/>
      <c r="I871" s="7"/>
      <c r="J871" s="7"/>
      <c r="K871" s="7"/>
      <c r="L871" s="7"/>
      <c r="M871" s="7"/>
    </row>
    <row r="872" spans="1:13">
      <c r="A872" s="7"/>
      <c r="B872" s="7"/>
      <c r="C872" s="11"/>
      <c r="D872" s="11"/>
      <c r="E872" s="11"/>
      <c r="F872" s="11"/>
      <c r="G872" s="12"/>
      <c r="H872" s="7"/>
      <c r="I872" s="7"/>
      <c r="J872" s="7"/>
      <c r="K872" s="7"/>
      <c r="L872" s="7"/>
      <c r="M872" s="7"/>
    </row>
    <row r="873" spans="1:13">
      <c r="A873" s="7"/>
      <c r="B873" s="7"/>
      <c r="C873" s="11"/>
      <c r="D873" s="11"/>
      <c r="E873" s="11"/>
      <c r="F873" s="11"/>
      <c r="G873" s="12"/>
      <c r="H873" s="7"/>
      <c r="I873" s="7"/>
      <c r="J873" s="7"/>
      <c r="K873" s="7"/>
      <c r="L873" s="7"/>
      <c r="M873" s="7"/>
    </row>
    <row r="874" spans="1:13">
      <c r="A874" s="7"/>
      <c r="B874" s="7"/>
      <c r="C874" s="11"/>
      <c r="D874" s="11"/>
      <c r="E874" s="11"/>
      <c r="F874" s="11"/>
      <c r="G874" s="12"/>
      <c r="H874" s="7"/>
      <c r="I874" s="7"/>
      <c r="J874" s="7"/>
      <c r="K874" s="7"/>
      <c r="L874" s="7"/>
      <c r="M874" s="7"/>
    </row>
    <row r="875" spans="1:13">
      <c r="A875" s="7"/>
      <c r="B875" s="7"/>
      <c r="C875" s="11"/>
      <c r="D875" s="11"/>
      <c r="E875" s="11"/>
      <c r="F875" s="11"/>
      <c r="G875" s="12"/>
      <c r="H875" s="7"/>
      <c r="I875" s="7"/>
      <c r="J875" s="7"/>
      <c r="K875" s="7"/>
      <c r="L875" s="7"/>
      <c r="M875" s="7"/>
    </row>
    <row r="876" spans="1:13">
      <c r="A876" s="7"/>
      <c r="B876" s="7"/>
      <c r="C876" s="11"/>
      <c r="D876" s="11"/>
      <c r="E876" s="11"/>
      <c r="F876" s="11"/>
      <c r="G876" s="12"/>
      <c r="H876" s="7"/>
      <c r="I876" s="7"/>
      <c r="J876" s="7"/>
      <c r="K876" s="7"/>
      <c r="L876" s="7"/>
      <c r="M876" s="7"/>
    </row>
    <row r="877" spans="1:13">
      <c r="A877" s="7"/>
      <c r="B877" s="7"/>
      <c r="C877" s="11"/>
      <c r="D877" s="11"/>
      <c r="E877" s="11"/>
      <c r="F877" s="11"/>
      <c r="G877" s="12"/>
      <c r="H877" s="7"/>
      <c r="I877" s="7"/>
      <c r="J877" s="7"/>
      <c r="K877" s="7"/>
      <c r="L877" s="7"/>
      <c r="M877" s="7"/>
    </row>
    <row r="878" spans="1:13">
      <c r="A878" s="7"/>
      <c r="B878" s="7"/>
      <c r="C878" s="11"/>
      <c r="D878" s="11"/>
      <c r="E878" s="11"/>
      <c r="F878" s="11"/>
      <c r="G878" s="12"/>
      <c r="H878" s="7"/>
      <c r="I878" s="7"/>
      <c r="J878" s="7"/>
      <c r="K878" s="7"/>
      <c r="L878" s="7"/>
      <c r="M878" s="7"/>
    </row>
    <row r="879" spans="1:13">
      <c r="A879" s="7"/>
      <c r="B879" s="7"/>
      <c r="C879" s="11"/>
      <c r="D879" s="11"/>
      <c r="E879" s="11"/>
      <c r="F879" s="11"/>
      <c r="G879" s="12"/>
      <c r="H879" s="7"/>
      <c r="I879" s="7"/>
      <c r="J879" s="7"/>
      <c r="K879" s="7"/>
      <c r="L879" s="7"/>
      <c r="M879" s="7"/>
    </row>
    <row r="880" spans="1:13">
      <c r="A880" s="7"/>
      <c r="B880" s="7"/>
      <c r="C880" s="11"/>
      <c r="D880" s="11"/>
      <c r="E880" s="11"/>
      <c r="F880" s="11"/>
      <c r="G880" s="12"/>
      <c r="H880" s="7"/>
      <c r="I880" s="7"/>
      <c r="J880" s="7"/>
      <c r="K880" s="7"/>
      <c r="L880" s="7"/>
      <c r="M880" s="7"/>
    </row>
    <row r="881" spans="1:13">
      <c r="A881" s="7"/>
      <c r="B881" s="7"/>
      <c r="C881" s="11"/>
      <c r="D881" s="11"/>
      <c r="E881" s="11"/>
      <c r="F881" s="11"/>
      <c r="G881" s="12"/>
      <c r="H881" s="7"/>
      <c r="I881" s="7"/>
      <c r="J881" s="7"/>
      <c r="K881" s="7"/>
      <c r="L881" s="7"/>
      <c r="M881" s="7"/>
    </row>
    <row r="882" spans="1:13">
      <c r="A882" s="7"/>
      <c r="B882" s="7"/>
      <c r="C882" s="11"/>
      <c r="D882" s="11"/>
      <c r="E882" s="11"/>
      <c r="F882" s="11"/>
      <c r="G882" s="12"/>
      <c r="H882" s="7"/>
      <c r="I882" s="7"/>
      <c r="J882" s="7"/>
      <c r="K882" s="7"/>
      <c r="L882" s="7"/>
      <c r="M882" s="7"/>
    </row>
    <row r="883" spans="1:13">
      <c r="A883" s="7"/>
      <c r="B883" s="7"/>
      <c r="C883" s="11"/>
      <c r="D883" s="11"/>
      <c r="E883" s="11"/>
      <c r="F883" s="11"/>
      <c r="G883" s="12"/>
      <c r="H883" s="7"/>
      <c r="I883" s="7"/>
      <c r="J883" s="7"/>
      <c r="K883" s="7"/>
      <c r="L883" s="7"/>
      <c r="M883" s="7"/>
    </row>
    <row r="884" spans="1:13">
      <c r="A884" s="7"/>
      <c r="B884" s="7"/>
      <c r="C884" s="11"/>
      <c r="D884" s="11"/>
      <c r="E884" s="11"/>
      <c r="F884" s="11"/>
      <c r="G884" s="12"/>
      <c r="H884" s="7"/>
      <c r="I884" s="7"/>
      <c r="J884" s="7"/>
      <c r="K884" s="7"/>
      <c r="L884" s="7"/>
      <c r="M884" s="7"/>
    </row>
    <row r="885" spans="1:13">
      <c r="A885" s="7"/>
      <c r="B885" s="7"/>
      <c r="C885" s="11"/>
      <c r="D885" s="11"/>
      <c r="E885" s="11"/>
      <c r="F885" s="11"/>
      <c r="G885" s="12"/>
      <c r="H885" s="7"/>
      <c r="I885" s="7"/>
      <c r="J885" s="7"/>
      <c r="K885" s="7"/>
      <c r="L885" s="7"/>
      <c r="M885" s="7"/>
    </row>
    <row r="886" spans="1:13">
      <c r="A886" s="7"/>
      <c r="B886" s="7"/>
      <c r="C886" s="11"/>
      <c r="D886" s="11"/>
      <c r="E886" s="11"/>
      <c r="F886" s="11"/>
      <c r="G886" s="12"/>
      <c r="H886" s="7"/>
      <c r="I886" s="7"/>
      <c r="J886" s="7"/>
      <c r="K886" s="7"/>
      <c r="L886" s="7"/>
      <c r="M886" s="7"/>
    </row>
    <row r="887" spans="1:13">
      <c r="A887" s="7"/>
      <c r="B887" s="7"/>
      <c r="C887" s="11"/>
      <c r="D887" s="11"/>
      <c r="E887" s="11"/>
      <c r="F887" s="11"/>
      <c r="G887" s="12"/>
      <c r="H887" s="7"/>
      <c r="I887" s="7"/>
      <c r="J887" s="7"/>
      <c r="K887" s="7"/>
      <c r="L887" s="7"/>
      <c r="M887" s="7"/>
    </row>
    <row r="888" spans="1:13">
      <c r="A888" s="7"/>
      <c r="B888" s="7"/>
      <c r="C888" s="11"/>
      <c r="D888" s="11"/>
      <c r="E888" s="11"/>
      <c r="F888" s="11"/>
      <c r="G888" s="12"/>
      <c r="H888" s="7"/>
      <c r="I888" s="7"/>
      <c r="J888" s="7"/>
      <c r="K888" s="7"/>
      <c r="L888" s="7"/>
      <c r="M888" s="7"/>
    </row>
    <row r="889" spans="1:13">
      <c r="A889" s="7"/>
      <c r="B889" s="7"/>
      <c r="C889" s="11"/>
      <c r="D889" s="11"/>
      <c r="E889" s="11"/>
      <c r="F889" s="11"/>
      <c r="G889" s="12"/>
      <c r="H889" s="7"/>
      <c r="I889" s="7"/>
      <c r="J889" s="7"/>
      <c r="K889" s="7"/>
      <c r="L889" s="7"/>
      <c r="M889" s="7"/>
    </row>
    <row r="890" spans="1:13">
      <c r="A890" s="7"/>
      <c r="B890" s="7"/>
      <c r="C890" s="11"/>
      <c r="D890" s="11"/>
      <c r="E890" s="11"/>
      <c r="F890" s="11"/>
      <c r="G890" s="12"/>
      <c r="H890" s="7"/>
      <c r="I890" s="7"/>
      <c r="J890" s="7"/>
      <c r="K890" s="7"/>
      <c r="L890" s="7"/>
      <c r="M890" s="7"/>
    </row>
    <row r="891" spans="1:13">
      <c r="A891" s="7"/>
      <c r="B891" s="7"/>
      <c r="C891" s="11"/>
      <c r="D891" s="11"/>
      <c r="E891" s="11"/>
      <c r="F891" s="11"/>
      <c r="G891" s="12"/>
      <c r="H891" s="7"/>
      <c r="I891" s="7"/>
      <c r="J891" s="7"/>
      <c r="K891" s="7"/>
      <c r="L891" s="7"/>
      <c r="M891" s="7"/>
    </row>
    <row r="892" spans="1:13">
      <c r="A892" s="7"/>
      <c r="B892" s="7"/>
      <c r="C892" s="11"/>
      <c r="D892" s="11"/>
      <c r="E892" s="11"/>
      <c r="F892" s="11"/>
      <c r="G892" s="12"/>
      <c r="H892" s="7"/>
      <c r="I892" s="7"/>
      <c r="J892" s="7"/>
      <c r="K892" s="7"/>
      <c r="L892" s="7"/>
      <c r="M892" s="7"/>
    </row>
    <row r="893" spans="1:13">
      <c r="A893" s="7"/>
      <c r="B893" s="7"/>
      <c r="C893" s="11"/>
      <c r="D893" s="11"/>
      <c r="E893" s="11"/>
      <c r="F893" s="11"/>
      <c r="G893" s="12"/>
      <c r="H893" s="7"/>
      <c r="I893" s="7"/>
      <c r="J893" s="7"/>
      <c r="K893" s="7"/>
      <c r="L893" s="7"/>
      <c r="M893" s="7"/>
    </row>
    <row r="894" spans="1:13">
      <c r="A894" s="7"/>
      <c r="B894" s="7"/>
      <c r="C894" s="11"/>
      <c r="D894" s="11"/>
      <c r="E894" s="11"/>
      <c r="F894" s="11"/>
      <c r="G894" s="12"/>
      <c r="H894" s="7"/>
      <c r="I894" s="7"/>
      <c r="J894" s="7"/>
      <c r="K894" s="7"/>
      <c r="L894" s="7"/>
      <c r="M894" s="7"/>
    </row>
    <row r="895" spans="1:13">
      <c r="A895" s="7"/>
      <c r="B895" s="7"/>
      <c r="C895" s="11"/>
      <c r="D895" s="11"/>
      <c r="E895" s="11"/>
      <c r="F895" s="11"/>
      <c r="G895" s="12"/>
      <c r="H895" s="7"/>
      <c r="I895" s="7"/>
      <c r="J895" s="7"/>
      <c r="K895" s="7"/>
      <c r="L895" s="7"/>
      <c r="M895" s="7"/>
    </row>
    <row r="896" spans="1:13">
      <c r="A896" s="7"/>
      <c r="B896" s="7"/>
      <c r="C896" s="11"/>
      <c r="D896" s="11"/>
      <c r="E896" s="11"/>
      <c r="F896" s="11"/>
      <c r="G896" s="12"/>
      <c r="H896" s="7"/>
      <c r="I896" s="7"/>
      <c r="J896" s="7"/>
      <c r="K896" s="7"/>
      <c r="L896" s="7"/>
      <c r="M896" s="7"/>
    </row>
    <row r="897" spans="1:13">
      <c r="A897" s="7"/>
      <c r="B897" s="7"/>
      <c r="C897" s="11"/>
      <c r="D897" s="11"/>
      <c r="E897" s="11"/>
      <c r="F897" s="11"/>
      <c r="G897" s="12"/>
      <c r="H897" s="7"/>
      <c r="I897" s="7"/>
      <c r="J897" s="7"/>
      <c r="K897" s="7"/>
      <c r="L897" s="7"/>
      <c r="M897" s="7"/>
    </row>
    <row r="898" spans="1:13">
      <c r="A898" s="7"/>
      <c r="B898" s="7"/>
      <c r="C898" s="11"/>
      <c r="D898" s="11"/>
      <c r="E898" s="11"/>
      <c r="F898" s="11"/>
      <c r="G898" s="12"/>
      <c r="H898" s="7"/>
      <c r="I898" s="7"/>
      <c r="J898" s="7"/>
      <c r="K898" s="7"/>
      <c r="L898" s="7"/>
      <c r="M898" s="7"/>
    </row>
    <row r="899" spans="1:13">
      <c r="A899" s="7"/>
      <c r="B899" s="7"/>
      <c r="C899" s="11"/>
      <c r="D899" s="11"/>
      <c r="E899" s="11"/>
      <c r="F899" s="11"/>
      <c r="G899" s="12"/>
      <c r="H899" s="7"/>
      <c r="I899" s="7"/>
      <c r="J899" s="7"/>
      <c r="K899" s="7"/>
      <c r="L899" s="7"/>
      <c r="M899" s="7"/>
    </row>
    <row r="900" spans="1:13">
      <c r="A900" s="7"/>
      <c r="B900" s="7"/>
      <c r="C900" s="11"/>
      <c r="D900" s="11"/>
      <c r="E900" s="11"/>
      <c r="F900" s="11"/>
      <c r="G900" s="12"/>
      <c r="H900" s="7"/>
      <c r="I900" s="7"/>
      <c r="J900" s="7"/>
      <c r="K900" s="7"/>
      <c r="L900" s="7"/>
      <c r="M900" s="7"/>
    </row>
    <row r="901" spans="1:13">
      <c r="A901" s="7"/>
      <c r="B901" s="7"/>
      <c r="C901" s="11"/>
      <c r="D901" s="11"/>
      <c r="E901" s="11"/>
      <c r="F901" s="11"/>
      <c r="G901" s="12"/>
      <c r="H901" s="7"/>
      <c r="I901" s="7"/>
      <c r="J901" s="7"/>
      <c r="K901" s="7"/>
      <c r="L901" s="7"/>
      <c r="M901" s="7"/>
    </row>
    <row r="902" spans="1:13">
      <c r="A902" s="7"/>
      <c r="B902" s="7"/>
      <c r="C902" s="11"/>
      <c r="D902" s="11"/>
      <c r="E902" s="11"/>
      <c r="F902" s="11"/>
      <c r="G902" s="12"/>
      <c r="H902" s="7"/>
      <c r="I902" s="7"/>
      <c r="J902" s="7"/>
      <c r="K902" s="7"/>
      <c r="L902" s="7"/>
      <c r="M902" s="7"/>
    </row>
    <row r="903" spans="1:13">
      <c r="A903" s="7"/>
      <c r="B903" s="7"/>
      <c r="C903" s="11"/>
      <c r="D903" s="11"/>
      <c r="E903" s="11"/>
      <c r="F903" s="11"/>
      <c r="G903" s="12"/>
      <c r="H903" s="7"/>
      <c r="I903" s="7"/>
      <c r="J903" s="7"/>
      <c r="K903" s="7"/>
      <c r="L903" s="7"/>
      <c r="M903" s="7"/>
    </row>
    <row r="904" spans="1:13">
      <c r="A904" s="7"/>
      <c r="B904" s="7"/>
      <c r="C904" s="11"/>
      <c r="D904" s="11"/>
      <c r="E904" s="11"/>
      <c r="F904" s="11"/>
      <c r="G904" s="12"/>
      <c r="H904" s="7"/>
      <c r="I904" s="7"/>
      <c r="J904" s="7"/>
      <c r="K904" s="7"/>
      <c r="L904" s="7"/>
      <c r="M904" s="7"/>
    </row>
    <row r="905" spans="1:13">
      <c r="A905" s="7"/>
      <c r="B905" s="7"/>
      <c r="C905" s="11"/>
      <c r="D905" s="11"/>
      <c r="E905" s="11"/>
      <c r="F905" s="11"/>
      <c r="G905" s="12"/>
      <c r="H905" s="7"/>
      <c r="I905" s="7"/>
      <c r="J905" s="7"/>
      <c r="K905" s="7"/>
      <c r="L905" s="7"/>
      <c r="M905" s="7"/>
    </row>
    <row r="906" spans="1:13">
      <c r="A906" s="7"/>
      <c r="B906" s="7"/>
      <c r="C906" s="11"/>
      <c r="D906" s="11"/>
      <c r="E906" s="11"/>
      <c r="F906" s="11"/>
      <c r="G906" s="12"/>
      <c r="H906" s="7"/>
      <c r="I906" s="7"/>
      <c r="J906" s="7"/>
      <c r="K906" s="7"/>
      <c r="L906" s="7"/>
      <c r="M906" s="7"/>
    </row>
    <row r="907" spans="1:13">
      <c r="A907" s="7"/>
      <c r="B907" s="7"/>
      <c r="C907" s="11"/>
      <c r="D907" s="11"/>
      <c r="E907" s="11"/>
      <c r="F907" s="11"/>
      <c r="G907" s="12"/>
      <c r="H907" s="7"/>
      <c r="I907" s="7"/>
      <c r="J907" s="7"/>
      <c r="K907" s="7"/>
      <c r="L907" s="7"/>
      <c r="M907" s="7"/>
    </row>
    <row r="908" spans="1:13">
      <c r="A908" s="7"/>
      <c r="B908" s="7"/>
      <c r="C908" s="11"/>
      <c r="D908" s="11"/>
      <c r="E908" s="11"/>
      <c r="F908" s="11"/>
      <c r="G908" s="12"/>
      <c r="H908" s="7"/>
      <c r="I908" s="7"/>
      <c r="J908" s="7"/>
      <c r="K908" s="7"/>
      <c r="L908" s="7"/>
      <c r="M908" s="7"/>
    </row>
    <row r="909" spans="1:13">
      <c r="A909" s="7"/>
      <c r="B909" s="7"/>
      <c r="C909" s="11"/>
      <c r="D909" s="11"/>
      <c r="E909" s="11"/>
      <c r="F909" s="11"/>
      <c r="G909" s="12"/>
      <c r="H909" s="7"/>
      <c r="I909" s="7"/>
      <c r="J909" s="7"/>
      <c r="K909" s="7"/>
      <c r="L909" s="7"/>
      <c r="M909" s="7"/>
    </row>
    <row r="910" spans="1:13">
      <c r="A910" s="7"/>
      <c r="B910" s="7"/>
      <c r="C910" s="11"/>
      <c r="D910" s="11"/>
      <c r="E910" s="11"/>
      <c r="F910" s="11"/>
      <c r="G910" s="12"/>
      <c r="H910" s="7"/>
      <c r="I910" s="7"/>
      <c r="J910" s="7"/>
      <c r="K910" s="7"/>
      <c r="L910" s="7"/>
      <c r="M910" s="7"/>
    </row>
    <row r="911" spans="1:13">
      <c r="A911" s="7"/>
      <c r="B911" s="7"/>
      <c r="C911" s="11"/>
      <c r="D911" s="11"/>
      <c r="E911" s="11"/>
      <c r="F911" s="11"/>
      <c r="G911" s="12"/>
      <c r="H911" s="7"/>
      <c r="I911" s="7"/>
      <c r="J911" s="7"/>
      <c r="K911" s="7"/>
      <c r="L911" s="7"/>
      <c r="M911" s="7"/>
    </row>
    <row r="912" spans="1:13">
      <c r="A912" s="7"/>
      <c r="B912" s="7"/>
      <c r="C912" s="11"/>
      <c r="D912" s="11"/>
      <c r="E912" s="11"/>
      <c r="F912" s="11"/>
      <c r="G912" s="12"/>
      <c r="H912" s="7"/>
      <c r="I912" s="7"/>
      <c r="J912" s="7"/>
      <c r="K912" s="7"/>
      <c r="L912" s="7"/>
      <c r="M912" s="7"/>
    </row>
    <row r="913" spans="1:13">
      <c r="A913" s="7"/>
      <c r="B913" s="7"/>
      <c r="C913" s="11"/>
      <c r="D913" s="11"/>
      <c r="E913" s="11"/>
      <c r="F913" s="11"/>
      <c r="G913" s="12"/>
      <c r="H913" s="7"/>
      <c r="I913" s="7"/>
      <c r="J913" s="7"/>
      <c r="K913" s="7"/>
      <c r="L913" s="7"/>
      <c r="M913" s="7"/>
    </row>
    <row r="914" spans="1:13">
      <c r="A914" s="7"/>
      <c r="B914" s="7"/>
      <c r="C914" s="11"/>
      <c r="D914" s="11"/>
      <c r="E914" s="11"/>
      <c r="F914" s="11"/>
      <c r="G914" s="12"/>
      <c r="H914" s="7"/>
      <c r="I914" s="7"/>
      <c r="J914" s="7"/>
      <c r="K914" s="7"/>
      <c r="L914" s="7"/>
      <c r="M914" s="7"/>
    </row>
    <row r="915" spans="1:13">
      <c r="A915" s="7"/>
      <c r="B915" s="7"/>
      <c r="C915" s="11"/>
      <c r="D915" s="11"/>
      <c r="E915" s="11"/>
      <c r="F915" s="11"/>
      <c r="G915" s="12"/>
      <c r="H915" s="7"/>
      <c r="I915" s="7"/>
      <c r="J915" s="7"/>
      <c r="K915" s="7"/>
      <c r="L915" s="7"/>
      <c r="M915" s="7"/>
    </row>
    <row r="916" spans="1:13">
      <c r="A916" s="7"/>
      <c r="B916" s="7"/>
      <c r="C916" s="11"/>
      <c r="D916" s="11"/>
      <c r="E916" s="11"/>
      <c r="F916" s="11"/>
      <c r="G916" s="12"/>
      <c r="H916" s="7"/>
      <c r="I916" s="7"/>
      <c r="J916" s="7"/>
      <c r="K916" s="7"/>
      <c r="L916" s="7"/>
      <c r="M916" s="7"/>
    </row>
    <row r="917" spans="1:13">
      <c r="A917" s="7"/>
      <c r="B917" s="7"/>
      <c r="C917" s="11"/>
      <c r="D917" s="11"/>
      <c r="E917" s="11"/>
      <c r="F917" s="11"/>
      <c r="G917" s="12"/>
      <c r="H917" s="7"/>
      <c r="I917" s="7"/>
      <c r="J917" s="7"/>
      <c r="K917" s="7"/>
      <c r="L917" s="7"/>
      <c r="M917" s="7"/>
    </row>
    <row r="918" spans="1:13">
      <c r="A918" s="7"/>
      <c r="B918" s="7"/>
      <c r="C918" s="11"/>
      <c r="D918" s="11"/>
      <c r="E918" s="11"/>
      <c r="F918" s="11"/>
      <c r="G918" s="12"/>
      <c r="H918" s="7"/>
      <c r="I918" s="7"/>
      <c r="J918" s="7"/>
      <c r="K918" s="7"/>
      <c r="L918" s="7"/>
      <c r="M918" s="7"/>
    </row>
    <row r="919" spans="1:13">
      <c r="A919" s="7"/>
      <c r="B919" s="7"/>
      <c r="C919" s="11"/>
      <c r="D919" s="11"/>
      <c r="E919" s="11"/>
      <c r="F919" s="11"/>
      <c r="G919" s="12"/>
      <c r="H919" s="7"/>
      <c r="I919" s="7"/>
      <c r="J919" s="7"/>
      <c r="K919" s="7"/>
      <c r="L919" s="7"/>
      <c r="M919" s="7"/>
    </row>
    <row r="920" spans="1:13">
      <c r="A920" s="7"/>
      <c r="B920" s="7"/>
      <c r="C920" s="11"/>
      <c r="D920" s="11"/>
      <c r="E920" s="11"/>
      <c r="F920" s="11"/>
      <c r="G920" s="12"/>
      <c r="H920" s="7"/>
      <c r="I920" s="7"/>
      <c r="J920" s="7"/>
      <c r="K920" s="7"/>
      <c r="L920" s="7"/>
      <c r="M920" s="7"/>
    </row>
    <row r="921" spans="1:13">
      <c r="A921" s="7"/>
      <c r="B921" s="7"/>
      <c r="C921" s="11"/>
      <c r="D921" s="11"/>
      <c r="E921" s="11"/>
      <c r="F921" s="11"/>
      <c r="G921" s="12"/>
      <c r="H921" s="7"/>
      <c r="I921" s="7"/>
      <c r="J921" s="7"/>
      <c r="K921" s="7"/>
      <c r="L921" s="7"/>
      <c r="M921" s="7"/>
    </row>
    <row r="922" spans="1:13">
      <c r="A922" s="7"/>
      <c r="B922" s="7"/>
      <c r="C922" s="11"/>
      <c r="D922" s="11"/>
      <c r="E922" s="11"/>
      <c r="F922" s="11"/>
      <c r="G922" s="12"/>
      <c r="H922" s="7"/>
      <c r="I922" s="7"/>
      <c r="J922" s="7"/>
      <c r="K922" s="7"/>
      <c r="L922" s="7"/>
      <c r="M922" s="7"/>
    </row>
    <row r="923" spans="1:13">
      <c r="A923" s="7"/>
      <c r="B923" s="7"/>
      <c r="C923" s="11"/>
      <c r="D923" s="11"/>
      <c r="E923" s="11"/>
      <c r="F923" s="11"/>
      <c r="G923" s="12"/>
      <c r="H923" s="7"/>
      <c r="I923" s="7"/>
      <c r="J923" s="7"/>
      <c r="K923" s="7"/>
      <c r="L923" s="7"/>
      <c r="M923" s="7"/>
    </row>
    <row r="924" spans="1:13">
      <c r="A924" s="7"/>
      <c r="B924" s="7"/>
      <c r="C924" s="11"/>
      <c r="D924" s="11"/>
      <c r="E924" s="11"/>
      <c r="F924" s="11"/>
      <c r="G924" s="12"/>
      <c r="H924" s="7"/>
      <c r="I924" s="7"/>
      <c r="J924" s="7"/>
      <c r="K924" s="7"/>
      <c r="L924" s="7"/>
      <c r="M924" s="7"/>
    </row>
    <row r="925" spans="1:13">
      <c r="A925" s="7"/>
      <c r="B925" s="7"/>
      <c r="C925" s="11"/>
      <c r="D925" s="11"/>
      <c r="E925" s="11"/>
      <c r="F925" s="11"/>
      <c r="G925" s="12"/>
      <c r="H925" s="7"/>
      <c r="I925" s="7"/>
      <c r="J925" s="7"/>
      <c r="K925" s="7"/>
      <c r="L925" s="7"/>
      <c r="M925" s="7"/>
    </row>
    <row r="926" spans="1:13">
      <c r="A926" s="7"/>
      <c r="B926" s="7"/>
      <c r="C926" s="11"/>
      <c r="D926" s="11"/>
      <c r="E926" s="11"/>
      <c r="F926" s="11"/>
      <c r="G926" s="12"/>
      <c r="H926" s="7"/>
      <c r="I926" s="7"/>
      <c r="J926" s="7"/>
      <c r="K926" s="7"/>
      <c r="L926" s="7"/>
      <c r="M926" s="7"/>
    </row>
    <row r="927" spans="1:13">
      <c r="A927" s="7"/>
      <c r="B927" s="7"/>
      <c r="C927" s="11"/>
      <c r="D927" s="11"/>
      <c r="E927" s="11"/>
      <c r="F927" s="11"/>
      <c r="G927" s="12"/>
      <c r="H927" s="7"/>
      <c r="I927" s="7"/>
      <c r="J927" s="7"/>
      <c r="K927" s="7"/>
      <c r="L927" s="7"/>
      <c r="M927" s="7"/>
    </row>
    <row r="928" spans="1:13">
      <c r="A928" s="7"/>
      <c r="B928" s="7"/>
      <c r="C928" s="11"/>
      <c r="D928" s="11"/>
      <c r="E928" s="11"/>
      <c r="F928" s="11"/>
      <c r="G928" s="12"/>
      <c r="H928" s="7"/>
      <c r="I928" s="7"/>
      <c r="J928" s="7"/>
      <c r="K928" s="7"/>
      <c r="L928" s="7"/>
      <c r="M928" s="7"/>
    </row>
    <row r="929" spans="1:13">
      <c r="A929" s="7"/>
      <c r="B929" s="7"/>
      <c r="C929" s="11"/>
      <c r="D929" s="11"/>
      <c r="E929" s="11"/>
      <c r="F929" s="11"/>
      <c r="G929" s="12"/>
      <c r="H929" s="7"/>
      <c r="I929" s="7"/>
      <c r="J929" s="7"/>
      <c r="K929" s="7"/>
      <c r="L929" s="7"/>
      <c r="M929" s="7"/>
    </row>
    <row r="930" spans="1:13">
      <c r="A930" s="7"/>
      <c r="B930" s="7"/>
      <c r="C930" s="11"/>
      <c r="D930" s="11"/>
      <c r="E930" s="11"/>
      <c r="F930" s="11"/>
      <c r="G930" s="12"/>
      <c r="H930" s="7"/>
      <c r="I930" s="7"/>
      <c r="J930" s="7"/>
      <c r="K930" s="7"/>
      <c r="L930" s="7"/>
      <c r="M930" s="7"/>
    </row>
    <row r="931" spans="1:13">
      <c r="A931" s="7"/>
      <c r="B931" s="7"/>
      <c r="C931" s="11"/>
      <c r="D931" s="11"/>
      <c r="E931" s="11"/>
      <c r="F931" s="11"/>
      <c r="G931" s="12"/>
      <c r="H931" s="7"/>
      <c r="I931" s="7"/>
      <c r="J931" s="7"/>
      <c r="K931" s="7"/>
      <c r="L931" s="7"/>
      <c r="M931" s="7"/>
    </row>
    <row r="932" spans="1:13">
      <c r="A932" s="7"/>
      <c r="B932" s="7"/>
      <c r="C932" s="11"/>
      <c r="D932" s="11"/>
      <c r="E932" s="11"/>
      <c r="F932" s="11"/>
      <c r="G932" s="12"/>
      <c r="H932" s="7"/>
      <c r="I932" s="7"/>
      <c r="J932" s="7"/>
      <c r="K932" s="7"/>
      <c r="L932" s="7"/>
      <c r="M932" s="7"/>
    </row>
    <row r="933" spans="1:13">
      <c r="A933" s="7"/>
      <c r="B933" s="7"/>
      <c r="C933" s="11"/>
      <c r="D933" s="11"/>
      <c r="E933" s="11"/>
      <c r="F933" s="11"/>
      <c r="G933" s="12"/>
      <c r="H933" s="7"/>
      <c r="I933" s="7"/>
      <c r="J933" s="7"/>
      <c r="K933" s="7"/>
      <c r="L933" s="7"/>
      <c r="M933" s="7"/>
    </row>
    <row r="934" spans="1:13">
      <c r="A934" s="7"/>
      <c r="B934" s="7"/>
      <c r="C934" s="11"/>
      <c r="D934" s="11"/>
      <c r="E934" s="11"/>
      <c r="F934" s="11"/>
      <c r="G934" s="12"/>
      <c r="H934" s="7"/>
      <c r="I934" s="7"/>
      <c r="J934" s="7"/>
      <c r="K934" s="7"/>
      <c r="L934" s="7"/>
      <c r="M934" s="7"/>
    </row>
    <row r="935" spans="1:13">
      <c r="A935" s="7"/>
      <c r="B935" s="7"/>
      <c r="C935" s="11"/>
      <c r="D935" s="11"/>
      <c r="E935" s="11"/>
      <c r="F935" s="11"/>
      <c r="G935" s="12"/>
      <c r="H935" s="7"/>
      <c r="I935" s="7"/>
      <c r="J935" s="7"/>
      <c r="K935" s="7"/>
      <c r="L935" s="7"/>
      <c r="M935" s="7"/>
    </row>
    <row r="936" spans="1:13">
      <c r="A936" s="7"/>
      <c r="B936" s="7"/>
      <c r="C936" s="11"/>
      <c r="D936" s="11"/>
      <c r="E936" s="11"/>
      <c r="F936" s="11"/>
      <c r="G936" s="12"/>
      <c r="H936" s="7"/>
      <c r="I936" s="7"/>
      <c r="J936" s="7"/>
      <c r="K936" s="7"/>
      <c r="L936" s="7"/>
      <c r="M936" s="7"/>
    </row>
    <row r="937" spans="1:13">
      <c r="A937" s="7"/>
      <c r="B937" s="7"/>
      <c r="C937" s="11"/>
      <c r="D937" s="11"/>
      <c r="E937" s="11"/>
      <c r="F937" s="11"/>
      <c r="G937" s="12"/>
      <c r="H937" s="7"/>
      <c r="I937" s="7"/>
      <c r="J937" s="7"/>
      <c r="K937" s="7"/>
      <c r="L937" s="7"/>
      <c r="M937" s="7"/>
    </row>
    <row r="938" spans="1:13">
      <c r="A938" s="7"/>
      <c r="B938" s="7"/>
      <c r="C938" s="11"/>
      <c r="D938" s="11"/>
      <c r="E938" s="11"/>
      <c r="F938" s="11"/>
      <c r="G938" s="12"/>
      <c r="H938" s="7"/>
      <c r="I938" s="7"/>
      <c r="J938" s="7"/>
      <c r="K938" s="7"/>
      <c r="L938" s="7"/>
      <c r="M938" s="7"/>
    </row>
    <row r="939" spans="1:13">
      <c r="A939" s="7"/>
      <c r="B939" s="7"/>
      <c r="C939" s="11"/>
      <c r="D939" s="11"/>
      <c r="E939" s="11"/>
      <c r="F939" s="11"/>
      <c r="G939" s="12"/>
      <c r="H939" s="7"/>
      <c r="I939" s="7"/>
      <c r="J939" s="7"/>
      <c r="K939" s="7"/>
      <c r="L939" s="7"/>
      <c r="M939" s="7"/>
    </row>
    <row r="940" spans="1:13">
      <c r="A940" s="7"/>
      <c r="B940" s="7"/>
      <c r="C940" s="11"/>
      <c r="D940" s="11"/>
      <c r="E940" s="11"/>
      <c r="F940" s="11"/>
      <c r="G940" s="12"/>
      <c r="H940" s="7"/>
      <c r="I940" s="7"/>
      <c r="J940" s="7"/>
      <c r="K940" s="7"/>
      <c r="L940" s="7"/>
      <c r="M940" s="7"/>
    </row>
    <row r="941" spans="1:13">
      <c r="A941" s="7"/>
      <c r="B941" s="7"/>
      <c r="C941" s="11"/>
      <c r="D941" s="11"/>
      <c r="E941" s="11"/>
      <c r="F941" s="11"/>
      <c r="G941" s="12"/>
      <c r="H941" s="7"/>
      <c r="I941" s="7"/>
      <c r="J941" s="7"/>
      <c r="K941" s="7"/>
      <c r="L941" s="7"/>
      <c r="M941" s="7"/>
    </row>
    <row r="942" spans="1:13">
      <c r="A942" s="7"/>
      <c r="B942" s="7"/>
      <c r="C942" s="11"/>
      <c r="D942" s="11"/>
      <c r="E942" s="11"/>
      <c r="F942" s="11"/>
      <c r="G942" s="12"/>
      <c r="H942" s="7"/>
      <c r="I942" s="7"/>
      <c r="J942" s="7"/>
      <c r="K942" s="7"/>
      <c r="L942" s="7"/>
      <c r="M942" s="7"/>
    </row>
    <row r="943" spans="1:13">
      <c r="A943" s="7"/>
      <c r="B943" s="7"/>
      <c r="C943" s="11"/>
      <c r="D943" s="11"/>
      <c r="E943" s="11"/>
      <c r="F943" s="11"/>
      <c r="G943" s="12"/>
      <c r="H943" s="7"/>
      <c r="I943" s="7"/>
      <c r="J943" s="7"/>
      <c r="K943" s="7"/>
      <c r="L943" s="7"/>
      <c r="M943" s="7"/>
    </row>
    <row r="944" spans="1:13">
      <c r="A944" s="7"/>
      <c r="B944" s="7"/>
      <c r="C944" s="11"/>
      <c r="D944" s="11"/>
      <c r="E944" s="11"/>
      <c r="F944" s="11"/>
      <c r="G944" s="12"/>
      <c r="H944" s="7"/>
      <c r="I944" s="7"/>
      <c r="J944" s="7"/>
      <c r="K944" s="7"/>
      <c r="L944" s="7"/>
      <c r="M944" s="7"/>
    </row>
    <row r="945" spans="1:13">
      <c r="A945" s="7"/>
      <c r="B945" s="7"/>
      <c r="C945" s="11"/>
      <c r="D945" s="11"/>
      <c r="E945" s="11"/>
      <c r="F945" s="11"/>
      <c r="G945" s="12"/>
      <c r="H945" s="7"/>
      <c r="I945" s="7"/>
      <c r="J945" s="7"/>
      <c r="K945" s="7"/>
      <c r="L945" s="7"/>
      <c r="M945" s="7"/>
    </row>
    <row r="946" spans="1:13">
      <c r="A946" s="7"/>
      <c r="B946" s="7"/>
      <c r="C946" s="11"/>
      <c r="D946" s="11"/>
      <c r="E946" s="11"/>
      <c r="F946" s="11"/>
      <c r="G946" s="12"/>
      <c r="H946" s="7"/>
      <c r="I946" s="7"/>
      <c r="J946" s="7"/>
      <c r="K946" s="7"/>
      <c r="L946" s="7"/>
      <c r="M946" s="7"/>
    </row>
    <row r="947" spans="1:13">
      <c r="A947" s="7"/>
      <c r="B947" s="7"/>
      <c r="C947" s="11"/>
      <c r="D947" s="11"/>
      <c r="E947" s="11"/>
      <c r="F947" s="11"/>
      <c r="G947" s="12"/>
      <c r="H947" s="7"/>
      <c r="I947" s="7"/>
      <c r="J947" s="7"/>
      <c r="K947" s="7"/>
      <c r="L947" s="7"/>
      <c r="M947" s="7"/>
    </row>
    <row r="948" spans="1:13">
      <c r="A948" s="7"/>
      <c r="B948" s="7"/>
      <c r="C948" s="11"/>
      <c r="D948" s="11"/>
      <c r="E948" s="11"/>
      <c r="F948" s="11"/>
      <c r="G948" s="12"/>
      <c r="H948" s="7"/>
      <c r="I948" s="7"/>
      <c r="J948" s="7"/>
      <c r="K948" s="7"/>
      <c r="L948" s="7"/>
      <c r="M948" s="7"/>
    </row>
    <row r="949" spans="1:13">
      <c r="A949" s="7"/>
      <c r="B949" s="7"/>
      <c r="C949" s="11"/>
      <c r="D949" s="11"/>
      <c r="E949" s="11"/>
      <c r="F949" s="11"/>
      <c r="G949" s="12"/>
      <c r="H949" s="7"/>
      <c r="I949" s="7"/>
      <c r="J949" s="7"/>
      <c r="K949" s="7"/>
      <c r="L949" s="7"/>
      <c r="M949" s="7"/>
    </row>
    <row r="950" spans="1:13">
      <c r="A950" s="7"/>
      <c r="B950" s="7"/>
      <c r="C950" s="11"/>
      <c r="D950" s="11"/>
      <c r="E950" s="11"/>
      <c r="F950" s="11"/>
      <c r="G950" s="12"/>
      <c r="H950" s="7"/>
      <c r="I950" s="7"/>
      <c r="J950" s="7"/>
      <c r="K950" s="7"/>
      <c r="L950" s="7"/>
      <c r="M950" s="7"/>
    </row>
    <row r="951" spans="1:13">
      <c r="A951" s="7"/>
      <c r="B951" s="7"/>
      <c r="C951" s="11"/>
      <c r="D951" s="11"/>
      <c r="E951" s="11"/>
      <c r="F951" s="11"/>
      <c r="G951" s="12"/>
      <c r="H951" s="7"/>
      <c r="I951" s="7"/>
      <c r="J951" s="7"/>
      <c r="K951" s="7"/>
      <c r="L951" s="7"/>
      <c r="M951" s="7"/>
    </row>
    <row r="952" spans="1:13">
      <c r="A952" s="7"/>
      <c r="B952" s="7"/>
      <c r="C952" s="11"/>
      <c r="D952" s="11"/>
      <c r="E952" s="11"/>
      <c r="F952" s="11"/>
      <c r="G952" s="12"/>
      <c r="H952" s="7"/>
      <c r="I952" s="7"/>
      <c r="J952" s="7"/>
      <c r="K952" s="7"/>
      <c r="L952" s="7"/>
      <c r="M952" s="7"/>
    </row>
    <row r="953" spans="1:13">
      <c r="A953" s="7"/>
      <c r="B953" s="7"/>
      <c r="C953" s="11"/>
      <c r="D953" s="11"/>
      <c r="E953" s="11"/>
      <c r="F953" s="11"/>
      <c r="G953" s="12"/>
      <c r="H953" s="7"/>
      <c r="I953" s="7"/>
      <c r="J953" s="7"/>
      <c r="K953" s="7"/>
      <c r="L953" s="7"/>
      <c r="M953" s="7"/>
    </row>
    <row r="954" spans="1:13">
      <c r="A954" s="7"/>
      <c r="B954" s="7"/>
      <c r="C954" s="11"/>
      <c r="D954" s="11"/>
      <c r="E954" s="11"/>
      <c r="F954" s="11"/>
      <c r="G954" s="12"/>
      <c r="H954" s="7"/>
      <c r="I954" s="7"/>
      <c r="J954" s="7"/>
      <c r="K954" s="7"/>
      <c r="L954" s="7"/>
      <c r="M954" s="7"/>
    </row>
    <row r="955" spans="1:13">
      <c r="A955" s="7"/>
      <c r="B955" s="7"/>
      <c r="C955" s="11"/>
      <c r="D955" s="11"/>
      <c r="E955" s="11"/>
      <c r="F955" s="11"/>
      <c r="G955" s="12"/>
      <c r="H955" s="7"/>
      <c r="I955" s="7"/>
      <c r="J955" s="7"/>
      <c r="K955" s="7"/>
      <c r="L955" s="7"/>
      <c r="M955" s="7"/>
    </row>
    <row r="956" spans="1:13">
      <c r="A956" s="7"/>
      <c r="B956" s="7"/>
      <c r="C956" s="11"/>
      <c r="D956" s="11"/>
      <c r="E956" s="11"/>
      <c r="F956" s="11"/>
      <c r="G956" s="12"/>
      <c r="H956" s="7"/>
      <c r="I956" s="7"/>
      <c r="J956" s="7"/>
      <c r="K956" s="7"/>
      <c r="L956" s="7"/>
      <c r="M956" s="7"/>
    </row>
    <row r="957" spans="1:13">
      <c r="A957" s="7"/>
      <c r="B957" s="7"/>
      <c r="C957" s="11"/>
      <c r="D957" s="11"/>
      <c r="E957" s="11"/>
      <c r="F957" s="11"/>
      <c r="G957" s="12"/>
      <c r="H957" s="7"/>
      <c r="I957" s="7"/>
      <c r="J957" s="7"/>
      <c r="K957" s="7"/>
      <c r="L957" s="7"/>
      <c r="M957" s="7"/>
    </row>
    <row r="958" spans="1:13">
      <c r="A958" s="7"/>
      <c r="B958" s="7"/>
      <c r="C958" s="11"/>
      <c r="D958" s="11"/>
      <c r="E958" s="11"/>
      <c r="F958" s="11"/>
      <c r="G958" s="12"/>
      <c r="H958" s="7"/>
      <c r="I958" s="7"/>
      <c r="J958" s="7"/>
      <c r="K958" s="7"/>
      <c r="L958" s="7"/>
      <c r="M958" s="7"/>
    </row>
    <row r="959" spans="1:13">
      <c r="A959" s="7"/>
      <c r="B959" s="7"/>
      <c r="C959" s="11"/>
      <c r="D959" s="11"/>
      <c r="E959" s="11"/>
      <c r="F959" s="11"/>
      <c r="G959" s="12"/>
      <c r="H959" s="7"/>
      <c r="I959" s="7"/>
      <c r="J959" s="7"/>
      <c r="K959" s="7"/>
      <c r="L959" s="7"/>
      <c r="M959" s="7"/>
    </row>
    <row r="960" spans="1:13">
      <c r="A960" s="7"/>
      <c r="B960" s="7"/>
      <c r="C960" s="11"/>
      <c r="D960" s="11"/>
      <c r="E960" s="11"/>
      <c r="F960" s="11"/>
      <c r="G960" s="12"/>
      <c r="H960" s="7"/>
      <c r="I960" s="7"/>
      <c r="J960" s="7"/>
      <c r="K960" s="7"/>
      <c r="L960" s="7"/>
      <c r="M960" s="7"/>
    </row>
    <row r="961" spans="1:13">
      <c r="A961" s="7"/>
      <c r="B961" s="7"/>
      <c r="C961" s="11"/>
      <c r="D961" s="11"/>
      <c r="E961" s="11"/>
      <c r="F961" s="11"/>
      <c r="G961" s="12"/>
      <c r="H961" s="7"/>
      <c r="I961" s="7"/>
      <c r="J961" s="7"/>
      <c r="K961" s="7"/>
      <c r="L961" s="7"/>
      <c r="M961" s="7"/>
    </row>
    <row r="962" spans="1:13">
      <c r="A962" s="7"/>
      <c r="B962" s="7"/>
      <c r="C962" s="11"/>
      <c r="D962" s="11"/>
      <c r="E962" s="11"/>
      <c r="F962" s="11"/>
      <c r="G962" s="12"/>
      <c r="H962" s="7"/>
      <c r="I962" s="7"/>
      <c r="J962" s="7"/>
      <c r="K962" s="7"/>
      <c r="L962" s="7"/>
      <c r="M962" s="7"/>
    </row>
    <row r="963" spans="1:13">
      <c r="A963" s="7"/>
      <c r="B963" s="7"/>
      <c r="C963" s="11"/>
      <c r="D963" s="11"/>
      <c r="E963" s="11"/>
      <c r="F963" s="11"/>
      <c r="G963" s="12"/>
      <c r="H963" s="7"/>
      <c r="I963" s="7"/>
      <c r="J963" s="7"/>
      <c r="K963" s="7"/>
      <c r="L963" s="7"/>
      <c r="M963" s="7"/>
    </row>
    <row r="964" spans="1:13">
      <c r="A964" s="7"/>
      <c r="B964" s="7"/>
      <c r="C964" s="11"/>
      <c r="D964" s="11"/>
      <c r="E964" s="11"/>
      <c r="F964" s="11"/>
      <c r="G964" s="12"/>
      <c r="H964" s="7"/>
      <c r="I964" s="7"/>
      <c r="J964" s="7"/>
      <c r="K964" s="7"/>
      <c r="L964" s="7"/>
      <c r="M964" s="7"/>
    </row>
    <row r="965" spans="1:13">
      <c r="A965" s="7"/>
      <c r="B965" s="7"/>
      <c r="C965" s="11"/>
      <c r="D965" s="11"/>
      <c r="E965" s="11"/>
      <c r="F965" s="11"/>
      <c r="G965" s="12"/>
      <c r="H965" s="7"/>
      <c r="I965" s="7"/>
      <c r="J965" s="7"/>
      <c r="K965" s="7"/>
      <c r="L965" s="7"/>
      <c r="M965" s="7"/>
    </row>
    <row r="966" spans="1:13">
      <c r="A966" s="7"/>
      <c r="B966" s="7"/>
      <c r="C966" s="11"/>
      <c r="D966" s="11"/>
      <c r="E966" s="11"/>
      <c r="F966" s="11"/>
      <c r="G966" s="12"/>
      <c r="H966" s="7"/>
      <c r="I966" s="7"/>
      <c r="J966" s="7"/>
      <c r="K966" s="7"/>
      <c r="L966" s="7"/>
      <c r="M966" s="7"/>
    </row>
    <row r="967" spans="1:13">
      <c r="A967" s="7"/>
      <c r="B967" s="7"/>
      <c r="C967" s="11"/>
      <c r="D967" s="11"/>
      <c r="E967" s="11"/>
      <c r="F967" s="11"/>
      <c r="G967" s="12"/>
      <c r="H967" s="7"/>
      <c r="I967" s="7"/>
      <c r="J967" s="7"/>
      <c r="K967" s="7"/>
      <c r="L967" s="7"/>
      <c r="M967" s="7"/>
    </row>
    <row r="968" spans="1:13">
      <c r="A968" s="7"/>
      <c r="B968" s="7"/>
      <c r="C968" s="11"/>
      <c r="D968" s="11"/>
      <c r="E968" s="11"/>
      <c r="F968" s="11"/>
      <c r="G968" s="12"/>
      <c r="H968" s="7"/>
      <c r="I968" s="7"/>
      <c r="J968" s="7"/>
      <c r="K968" s="7"/>
      <c r="L968" s="7"/>
      <c r="M968" s="7"/>
    </row>
    <row r="969" spans="1:13">
      <c r="A969" s="7"/>
      <c r="B969" s="7"/>
      <c r="C969" s="11"/>
      <c r="D969" s="11"/>
      <c r="E969" s="11"/>
      <c r="F969" s="11"/>
      <c r="G969" s="12"/>
      <c r="H969" s="7"/>
      <c r="I969" s="7"/>
      <c r="J969" s="7"/>
      <c r="K969" s="7"/>
      <c r="L969" s="7"/>
      <c r="M969" s="7"/>
    </row>
    <row r="970" spans="1:13">
      <c r="A970" s="7"/>
      <c r="B970" s="7"/>
      <c r="C970" s="11"/>
      <c r="D970" s="11"/>
      <c r="E970" s="11"/>
      <c r="F970" s="11"/>
      <c r="G970" s="12"/>
      <c r="H970" s="7"/>
      <c r="I970" s="7"/>
      <c r="J970" s="7"/>
      <c r="K970" s="7"/>
      <c r="L970" s="7"/>
      <c r="M970" s="7"/>
    </row>
    <row r="971" spans="1:13">
      <c r="A971" s="7"/>
      <c r="B971" s="7"/>
      <c r="C971" s="11"/>
      <c r="D971" s="11"/>
      <c r="E971" s="11"/>
      <c r="F971" s="11"/>
      <c r="G971" s="12"/>
      <c r="H971" s="7"/>
      <c r="I971" s="7"/>
      <c r="J971" s="7"/>
      <c r="K971" s="7"/>
      <c r="L971" s="7"/>
      <c r="M971" s="7"/>
    </row>
    <row r="972" spans="1:13">
      <c r="A972" s="7"/>
      <c r="B972" s="7"/>
      <c r="C972" s="11"/>
      <c r="D972" s="11"/>
      <c r="E972" s="11"/>
      <c r="F972" s="11"/>
      <c r="G972" s="12"/>
      <c r="H972" s="7"/>
      <c r="I972" s="7"/>
      <c r="J972" s="7"/>
      <c r="K972" s="7"/>
      <c r="L972" s="7"/>
      <c r="M972" s="7"/>
    </row>
    <row r="973" spans="1:13">
      <c r="A973" s="7"/>
      <c r="B973" s="7"/>
      <c r="C973" s="11"/>
      <c r="D973" s="11"/>
      <c r="E973" s="11"/>
      <c r="F973" s="11"/>
      <c r="G973" s="12"/>
      <c r="H973" s="7"/>
      <c r="I973" s="7"/>
      <c r="J973" s="7"/>
      <c r="K973" s="7"/>
      <c r="L973" s="7"/>
      <c r="M973" s="7"/>
    </row>
    <row r="974" spans="1:13">
      <c r="A974" s="7"/>
      <c r="B974" s="7"/>
      <c r="C974" s="11"/>
      <c r="D974" s="11"/>
      <c r="E974" s="11"/>
      <c r="F974" s="11"/>
      <c r="G974" s="12"/>
      <c r="H974" s="7"/>
      <c r="I974" s="7"/>
      <c r="J974" s="7"/>
      <c r="K974" s="7"/>
      <c r="L974" s="7"/>
      <c r="M974" s="7"/>
    </row>
    <row r="975" spans="1:13">
      <c r="A975" s="7"/>
      <c r="B975" s="7"/>
      <c r="C975" s="11"/>
      <c r="D975" s="11"/>
      <c r="E975" s="11"/>
      <c r="F975" s="11"/>
      <c r="G975" s="12"/>
      <c r="H975" s="7"/>
      <c r="I975" s="7"/>
      <c r="J975" s="7"/>
      <c r="K975" s="7"/>
      <c r="L975" s="7"/>
      <c r="M975" s="7"/>
    </row>
    <row r="976" spans="1:13">
      <c r="A976" s="7"/>
      <c r="B976" s="7"/>
      <c r="C976" s="11"/>
      <c r="D976" s="11"/>
      <c r="E976" s="11"/>
      <c r="F976" s="11"/>
      <c r="G976" s="12"/>
      <c r="H976" s="7"/>
      <c r="I976" s="7"/>
      <c r="J976" s="7"/>
      <c r="K976" s="7"/>
      <c r="L976" s="7"/>
      <c r="M976" s="7"/>
    </row>
    <row r="977" spans="1:13">
      <c r="A977" s="7"/>
      <c r="B977" s="7"/>
      <c r="C977" s="11"/>
      <c r="D977" s="11"/>
      <c r="E977" s="11"/>
      <c r="F977" s="11"/>
      <c r="G977" s="12"/>
      <c r="H977" s="7"/>
      <c r="I977" s="7"/>
      <c r="J977" s="7"/>
      <c r="K977" s="7"/>
      <c r="L977" s="7"/>
      <c r="M977" s="7"/>
    </row>
    <row r="978" spans="1:13">
      <c r="A978" s="7"/>
      <c r="B978" s="7"/>
      <c r="C978" s="11"/>
      <c r="D978" s="11"/>
      <c r="E978" s="11"/>
      <c r="F978" s="11"/>
      <c r="G978" s="12"/>
      <c r="H978" s="7"/>
      <c r="I978" s="7"/>
      <c r="J978" s="7"/>
      <c r="K978" s="7"/>
      <c r="L978" s="7"/>
      <c r="M978" s="7"/>
    </row>
    <row r="979" spans="1:13">
      <c r="A979" s="7"/>
      <c r="B979" s="7"/>
      <c r="C979" s="11"/>
      <c r="D979" s="11"/>
      <c r="E979" s="11"/>
      <c r="F979" s="11"/>
      <c r="G979" s="12"/>
      <c r="H979" s="7"/>
      <c r="I979" s="7"/>
      <c r="J979" s="7"/>
      <c r="K979" s="7"/>
      <c r="L979" s="7"/>
      <c r="M979" s="7"/>
    </row>
    <row r="980" spans="1:13">
      <c r="A980" s="7"/>
      <c r="B980" s="7"/>
      <c r="C980" s="11"/>
      <c r="D980" s="11"/>
      <c r="E980" s="11"/>
      <c r="F980" s="11"/>
      <c r="G980" s="12"/>
      <c r="H980" s="7"/>
      <c r="I980" s="7"/>
      <c r="J980" s="7"/>
      <c r="K980" s="7"/>
      <c r="L980" s="7"/>
      <c r="M980" s="7"/>
    </row>
    <row r="981" spans="1:13">
      <c r="A981" s="7"/>
      <c r="B981" s="7"/>
      <c r="C981" s="11"/>
      <c r="D981" s="11"/>
      <c r="E981" s="11"/>
      <c r="F981" s="11"/>
      <c r="G981" s="12"/>
      <c r="H981" s="7"/>
      <c r="I981" s="7"/>
      <c r="J981" s="7"/>
      <c r="K981" s="7"/>
      <c r="L981" s="7"/>
      <c r="M981" s="7"/>
    </row>
    <row r="982" spans="1:13">
      <c r="A982" s="7"/>
      <c r="B982" s="7"/>
      <c r="C982" s="11"/>
      <c r="D982" s="11"/>
      <c r="E982" s="11"/>
      <c r="F982" s="11"/>
      <c r="G982" s="12"/>
      <c r="H982" s="7"/>
      <c r="I982" s="7"/>
      <c r="J982" s="7"/>
      <c r="K982" s="7"/>
      <c r="L982" s="7"/>
      <c r="M982" s="7"/>
    </row>
    <row r="983" spans="1:13">
      <c r="A983" s="7"/>
      <c r="B983" s="7"/>
      <c r="C983" s="11"/>
      <c r="D983" s="11"/>
      <c r="E983" s="11"/>
      <c r="F983" s="11"/>
      <c r="G983" s="12"/>
      <c r="H983" s="7"/>
      <c r="I983" s="7"/>
      <c r="J983" s="7"/>
      <c r="K983" s="7"/>
      <c r="L983" s="7"/>
      <c r="M983" s="7"/>
    </row>
    <row r="984" spans="1:13">
      <c r="A984" s="7"/>
      <c r="B984" s="7"/>
      <c r="C984" s="11"/>
      <c r="D984" s="11"/>
      <c r="E984" s="11"/>
      <c r="F984" s="11"/>
      <c r="G984" s="12"/>
      <c r="H984" s="7"/>
      <c r="I984" s="7"/>
      <c r="J984" s="7"/>
      <c r="K984" s="7"/>
      <c r="L984" s="7"/>
      <c r="M984" s="7"/>
    </row>
    <row r="985" spans="1:13">
      <c r="A985" s="7"/>
      <c r="B985" s="7"/>
      <c r="C985" s="11"/>
      <c r="D985" s="11"/>
      <c r="E985" s="11"/>
      <c r="F985" s="11"/>
      <c r="G985" s="12"/>
      <c r="H985" s="7"/>
      <c r="I985" s="7"/>
      <c r="J985" s="7"/>
      <c r="K985" s="7"/>
      <c r="L985" s="7"/>
      <c r="M985" s="7"/>
    </row>
    <row r="986" spans="1:13">
      <c r="A986" s="7"/>
      <c r="B986" s="7"/>
      <c r="C986" s="11"/>
      <c r="D986" s="11"/>
      <c r="E986" s="11"/>
      <c r="F986" s="11"/>
      <c r="G986" s="12"/>
      <c r="H986" s="7"/>
      <c r="I986" s="7"/>
      <c r="J986" s="7"/>
      <c r="K986" s="7"/>
      <c r="L986" s="7"/>
      <c r="M986" s="7"/>
    </row>
    <row r="987" spans="1:13">
      <c r="A987" s="7"/>
      <c r="B987" s="7"/>
      <c r="C987" s="11"/>
      <c r="D987" s="11"/>
      <c r="E987" s="11"/>
      <c r="F987" s="11"/>
      <c r="G987" s="12"/>
      <c r="H987" s="7"/>
      <c r="I987" s="7"/>
      <c r="J987" s="7"/>
      <c r="K987" s="7"/>
      <c r="L987" s="7"/>
      <c r="M987" s="7"/>
    </row>
    <row r="988" spans="1:13">
      <c r="A988" s="7"/>
      <c r="B988" s="7"/>
      <c r="C988" s="11"/>
      <c r="D988" s="11"/>
      <c r="E988" s="11"/>
      <c r="F988" s="11"/>
      <c r="G988" s="12"/>
      <c r="H988" s="7"/>
      <c r="I988" s="7"/>
      <c r="J988" s="7"/>
      <c r="K988" s="7"/>
      <c r="L988" s="7"/>
      <c r="M988" s="7"/>
    </row>
    <row r="989" spans="1:13">
      <c r="A989" s="7"/>
      <c r="B989" s="7"/>
      <c r="C989" s="11"/>
      <c r="D989" s="11"/>
      <c r="E989" s="11"/>
      <c r="F989" s="11"/>
      <c r="G989" s="12"/>
      <c r="H989" s="7"/>
      <c r="I989" s="7"/>
      <c r="J989" s="7"/>
      <c r="K989" s="7"/>
      <c r="L989" s="7"/>
      <c r="M989" s="7"/>
    </row>
    <row r="990" spans="1:13">
      <c r="A990" s="7"/>
      <c r="B990" s="7"/>
      <c r="C990" s="11"/>
      <c r="D990" s="11"/>
      <c r="E990" s="11"/>
      <c r="F990" s="11"/>
      <c r="G990" s="12"/>
      <c r="H990" s="7"/>
      <c r="I990" s="7"/>
      <c r="J990" s="7"/>
      <c r="K990" s="7"/>
      <c r="L990" s="7"/>
      <c r="M990" s="7"/>
    </row>
    <row r="991" spans="1:13">
      <c r="A991" s="7"/>
      <c r="B991" s="7"/>
      <c r="C991" s="11"/>
      <c r="D991" s="11"/>
      <c r="E991" s="11"/>
      <c r="F991" s="11"/>
      <c r="G991" s="12"/>
      <c r="H991" s="7"/>
      <c r="I991" s="7"/>
      <c r="J991" s="7"/>
      <c r="K991" s="7"/>
      <c r="L991" s="7"/>
      <c r="M991" s="7"/>
    </row>
    <row r="992" spans="1:13">
      <c r="A992" s="7"/>
      <c r="B992" s="7"/>
      <c r="C992" s="11"/>
      <c r="D992" s="11"/>
      <c r="E992" s="11"/>
      <c r="F992" s="11"/>
      <c r="G992" s="12"/>
      <c r="H992" s="7"/>
      <c r="I992" s="7"/>
      <c r="J992" s="7"/>
      <c r="K992" s="7"/>
      <c r="L992" s="7"/>
      <c r="M992" s="7"/>
    </row>
    <row r="993" spans="1:13">
      <c r="A993" s="7"/>
      <c r="B993" s="7"/>
      <c r="C993" s="11"/>
      <c r="D993" s="11"/>
      <c r="E993" s="11"/>
      <c r="F993" s="11"/>
      <c r="G993" s="12"/>
      <c r="H993" s="7"/>
      <c r="I993" s="7"/>
      <c r="J993" s="7"/>
      <c r="K993" s="7"/>
      <c r="L993" s="7"/>
      <c r="M993" s="7"/>
    </row>
    <row r="994" spans="1:13">
      <c r="A994" s="7"/>
      <c r="B994" s="7"/>
      <c r="C994" s="11"/>
      <c r="D994" s="11"/>
      <c r="E994" s="11"/>
      <c r="F994" s="11"/>
      <c r="G994" s="12"/>
      <c r="H994" s="7"/>
      <c r="I994" s="7"/>
      <c r="J994" s="7"/>
      <c r="K994" s="7"/>
      <c r="L994" s="7"/>
      <c r="M994" s="7"/>
    </row>
    <row r="995" spans="1:13">
      <c r="A995" s="7"/>
      <c r="B995" s="7"/>
      <c r="C995" s="11"/>
      <c r="D995" s="11"/>
      <c r="E995" s="11"/>
      <c r="F995" s="11"/>
      <c r="G995" s="12"/>
      <c r="H995" s="7"/>
      <c r="I995" s="7"/>
      <c r="J995" s="7"/>
      <c r="K995" s="7"/>
      <c r="L995" s="7"/>
      <c r="M995" s="7"/>
    </row>
    <row r="996" spans="1:13">
      <c r="A996" s="7"/>
      <c r="B996" s="7"/>
      <c r="C996" s="11"/>
      <c r="D996" s="11"/>
      <c r="E996" s="11"/>
      <c r="F996" s="11"/>
      <c r="G996" s="12"/>
      <c r="H996" s="7"/>
      <c r="I996" s="7"/>
      <c r="J996" s="7"/>
      <c r="K996" s="7"/>
      <c r="L996" s="7"/>
      <c r="M996" s="7"/>
    </row>
    <row r="997" spans="1:13">
      <c r="A997" s="7"/>
      <c r="B997" s="7"/>
      <c r="C997" s="11"/>
      <c r="D997" s="11"/>
      <c r="E997" s="11"/>
      <c r="F997" s="11"/>
      <c r="G997" s="12"/>
      <c r="H997" s="7"/>
      <c r="I997" s="7"/>
      <c r="J997" s="7"/>
      <c r="K997" s="7"/>
      <c r="L997" s="7"/>
      <c r="M997" s="7"/>
    </row>
    <row r="998" spans="1:13">
      <c r="A998" s="7"/>
      <c r="B998" s="7"/>
      <c r="C998" s="11"/>
      <c r="D998" s="11"/>
      <c r="E998" s="11"/>
      <c r="F998" s="11"/>
      <c r="G998" s="12"/>
      <c r="H998" s="7"/>
      <c r="I998" s="7"/>
      <c r="J998" s="7"/>
      <c r="K998" s="7"/>
      <c r="L998" s="7"/>
      <c r="M998" s="7"/>
    </row>
    <row r="999" spans="1:13">
      <c r="A999" s="7"/>
      <c r="B999" s="7"/>
      <c r="C999" s="11"/>
      <c r="D999" s="11"/>
      <c r="E999" s="11"/>
      <c r="F999" s="11"/>
      <c r="G999" s="12"/>
      <c r="H999" s="7"/>
      <c r="I999" s="7"/>
      <c r="J999" s="7"/>
      <c r="K999" s="7"/>
      <c r="L999" s="7"/>
      <c r="M999" s="7"/>
    </row>
    <row r="1000" spans="1:13">
      <c r="A1000" s="7"/>
      <c r="B1000" s="7"/>
      <c r="C1000" s="11"/>
      <c r="D1000" s="11"/>
      <c r="E1000" s="11"/>
      <c r="F1000" s="11"/>
      <c r="G1000" s="12"/>
      <c r="H1000" s="7"/>
      <c r="I1000" s="7"/>
      <c r="J1000" s="7"/>
      <c r="K1000" s="7"/>
      <c r="L1000" s="7"/>
      <c r="M1000" s="7"/>
    </row>
  </sheetData>
  <sortState xmlns:xlrd2="http://schemas.microsoft.com/office/spreadsheetml/2017/richdata2" ref="A2:M1002">
    <sortCondition ref="D2:D1002"/>
    <sortCondition ref="G2:G1002"/>
  </sortState>
  <phoneticPr fontId="11" type="noConversion"/>
  <conditionalFormatting sqref="C1:C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9662-C55C-4D2C-86AF-DE3489F47DBE}">
  <dimension ref="A1:B23"/>
  <sheetViews>
    <sheetView workbookViewId="0">
      <selection activeCell="B1" sqref="B1"/>
    </sheetView>
  </sheetViews>
  <sheetFormatPr defaultRowHeight="14.4"/>
  <cols>
    <col min="1" max="1" width="28.44140625" customWidth="1"/>
    <col min="2" max="2" width="38.88671875" customWidth="1"/>
  </cols>
  <sheetData>
    <row r="1" spans="1:2">
      <c r="A1" t="s">
        <v>1013</v>
      </c>
      <c r="B1" t="s">
        <v>1012</v>
      </c>
    </row>
    <row r="2" spans="1:2">
      <c r="A2" t="s">
        <v>881</v>
      </c>
      <c r="B2" t="s">
        <v>1014</v>
      </c>
    </row>
    <row r="3" spans="1:2">
      <c r="A3" t="s">
        <v>662</v>
      </c>
      <c r="B3" t="s">
        <v>1015</v>
      </c>
    </row>
    <row r="4" spans="1:2">
      <c r="A4" t="s">
        <v>516</v>
      </c>
      <c r="B4" t="s">
        <v>1016</v>
      </c>
    </row>
    <row r="5" spans="1:2">
      <c r="A5" t="s">
        <v>1018</v>
      </c>
      <c r="B5" t="s">
        <v>1017</v>
      </c>
    </row>
    <row r="6" spans="1:2">
      <c r="A6" t="s">
        <v>1020</v>
      </c>
      <c r="B6" t="s">
        <v>1019</v>
      </c>
    </row>
    <row r="7" spans="1:2">
      <c r="A7" t="s">
        <v>1022</v>
      </c>
      <c r="B7" t="s">
        <v>1021</v>
      </c>
    </row>
    <row r="8" spans="1:2">
      <c r="A8" t="s">
        <v>808</v>
      </c>
      <c r="B8" t="s">
        <v>1023</v>
      </c>
    </row>
    <row r="9" spans="1:2">
      <c r="A9" t="s">
        <v>1025</v>
      </c>
      <c r="B9" t="s">
        <v>1024</v>
      </c>
    </row>
    <row r="10" spans="1:2">
      <c r="A10" t="s">
        <v>1027</v>
      </c>
      <c r="B10" t="s">
        <v>1026</v>
      </c>
    </row>
    <row r="11" spans="1:2">
      <c r="A11" t="s">
        <v>1029</v>
      </c>
      <c r="B11" t="s">
        <v>1028</v>
      </c>
    </row>
    <row r="12" spans="1:2">
      <c r="A12" t="s">
        <v>1031</v>
      </c>
      <c r="B12" t="s">
        <v>1030</v>
      </c>
    </row>
    <row r="13" spans="1:2">
      <c r="A13" t="s">
        <v>1033</v>
      </c>
      <c r="B13" t="s">
        <v>1032</v>
      </c>
    </row>
    <row r="14" spans="1:2">
      <c r="A14" t="s">
        <v>368</v>
      </c>
      <c r="B14" t="s">
        <v>1034</v>
      </c>
    </row>
    <row r="15" spans="1:2">
      <c r="A15" t="s">
        <v>589</v>
      </c>
      <c r="B15" t="s">
        <v>1035</v>
      </c>
    </row>
    <row r="16" spans="1:2">
      <c r="A16" t="s">
        <v>294</v>
      </c>
      <c r="B16" t="s">
        <v>1036</v>
      </c>
    </row>
    <row r="17" spans="1:2">
      <c r="A17" t="s">
        <v>1037</v>
      </c>
      <c r="B17" t="s">
        <v>1036</v>
      </c>
    </row>
    <row r="18" spans="1:2">
      <c r="A18" t="s">
        <v>1039</v>
      </c>
      <c r="B18" t="s">
        <v>1038</v>
      </c>
    </row>
    <row r="19" spans="1:2">
      <c r="A19" t="s">
        <v>1041</v>
      </c>
      <c r="B19" t="s">
        <v>1040</v>
      </c>
    </row>
    <row r="20" spans="1:2">
      <c r="A20" t="s">
        <v>1043</v>
      </c>
      <c r="B20" t="s">
        <v>1042</v>
      </c>
    </row>
    <row r="21" spans="1:2">
      <c r="A21" t="s">
        <v>1045</v>
      </c>
      <c r="B21" t="s">
        <v>1044</v>
      </c>
    </row>
    <row r="22" spans="1:2">
      <c r="A22" t="s">
        <v>735</v>
      </c>
      <c r="B22" t="s">
        <v>1046</v>
      </c>
    </row>
    <row r="23" spans="1:2">
      <c r="A23" t="s">
        <v>442</v>
      </c>
      <c r="B23" t="s">
        <v>1047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B3AC-8DF4-423C-BC6B-52DF86BFD238}">
  <dimension ref="A1:K673"/>
  <sheetViews>
    <sheetView workbookViewId="0">
      <selection sqref="A1:K1"/>
    </sheetView>
  </sheetViews>
  <sheetFormatPr defaultRowHeight="14.4"/>
  <cols>
    <col min="1" max="1" width="7.88671875" bestFit="1" customWidth="1"/>
    <col min="2" max="2" width="30.21875" bestFit="1" customWidth="1"/>
    <col min="3" max="3" width="22.109375" bestFit="1" customWidth="1"/>
    <col min="4" max="4" width="25.77734375" bestFit="1" customWidth="1"/>
    <col min="5" max="5" width="11.77734375" bestFit="1" customWidth="1"/>
    <col min="6" max="6" width="13.33203125" bestFit="1" customWidth="1"/>
    <col min="7" max="7" width="11.33203125" bestFit="1" customWidth="1"/>
    <col min="8" max="8" width="11.21875" bestFit="1" customWidth="1"/>
    <col min="9" max="9" width="11.6640625" bestFit="1" customWidth="1"/>
    <col min="10" max="10" width="11.109375" bestFit="1" customWidth="1"/>
    <col min="11" max="11" width="13" bestFit="1" customWidth="1"/>
  </cols>
  <sheetData>
    <row r="1" spans="1:11">
      <c r="A1" t="s">
        <v>282</v>
      </c>
      <c r="B1" t="s">
        <v>281</v>
      </c>
      <c r="C1" t="s">
        <v>283</v>
      </c>
      <c r="D1" t="s">
        <v>284</v>
      </c>
      <c r="E1" t="s">
        <v>285</v>
      </c>
      <c r="F1" t="s">
        <v>286</v>
      </c>
      <c r="G1" t="s">
        <v>287</v>
      </c>
      <c r="H1" t="s">
        <v>288</v>
      </c>
      <c r="I1" t="s">
        <v>289</v>
      </c>
      <c r="J1" t="s">
        <v>290</v>
      </c>
      <c r="K1" t="s">
        <v>291</v>
      </c>
    </row>
    <row r="2" spans="1:11">
      <c r="A2">
        <v>753780</v>
      </c>
      <c r="B2" t="s">
        <v>292</v>
      </c>
      <c r="C2" t="s">
        <v>293</v>
      </c>
      <c r="D2" t="s">
        <v>294</v>
      </c>
      <c r="E2">
        <v>1</v>
      </c>
      <c r="F2">
        <v>1</v>
      </c>
      <c r="H2">
        <v>1</v>
      </c>
      <c r="K2">
        <v>1</v>
      </c>
    </row>
    <row r="3" spans="1:11">
      <c r="A3">
        <v>753781</v>
      </c>
      <c r="B3" t="s">
        <v>295</v>
      </c>
      <c r="C3" t="s">
        <v>293</v>
      </c>
      <c r="D3" t="s">
        <v>294</v>
      </c>
      <c r="E3">
        <v>1</v>
      </c>
      <c r="F3">
        <v>1</v>
      </c>
      <c r="H3">
        <v>1</v>
      </c>
      <c r="K3">
        <v>2</v>
      </c>
    </row>
    <row r="4" spans="1:11">
      <c r="A4">
        <v>753782</v>
      </c>
      <c r="B4" t="s">
        <v>296</v>
      </c>
      <c r="C4" t="s">
        <v>293</v>
      </c>
      <c r="D4" t="s">
        <v>294</v>
      </c>
      <c r="E4">
        <v>1</v>
      </c>
      <c r="F4">
        <v>1</v>
      </c>
      <c r="H4">
        <v>1</v>
      </c>
      <c r="K4">
        <v>3</v>
      </c>
    </row>
    <row r="5" spans="1:11">
      <c r="A5">
        <v>753783</v>
      </c>
      <c r="B5" t="s">
        <v>297</v>
      </c>
      <c r="C5" t="s">
        <v>293</v>
      </c>
      <c r="D5" t="s">
        <v>294</v>
      </c>
      <c r="E5">
        <v>1</v>
      </c>
      <c r="F5">
        <v>1</v>
      </c>
      <c r="H5">
        <v>1</v>
      </c>
      <c r="K5">
        <v>4</v>
      </c>
    </row>
    <row r="6" spans="1:11">
      <c r="A6">
        <v>753784</v>
      </c>
      <c r="B6" t="s">
        <v>298</v>
      </c>
      <c r="C6" t="s">
        <v>293</v>
      </c>
      <c r="D6" t="s">
        <v>294</v>
      </c>
      <c r="E6">
        <v>1</v>
      </c>
      <c r="F6">
        <v>1</v>
      </c>
      <c r="H6">
        <v>1</v>
      </c>
      <c r="K6">
        <v>5</v>
      </c>
    </row>
    <row r="7" spans="1:11">
      <c r="A7">
        <v>753785</v>
      </c>
      <c r="B7" t="s">
        <v>299</v>
      </c>
      <c r="C7" t="s">
        <v>293</v>
      </c>
      <c r="D7" t="s">
        <v>294</v>
      </c>
      <c r="E7">
        <v>1</v>
      </c>
      <c r="F7">
        <v>1</v>
      </c>
      <c r="H7">
        <v>1</v>
      </c>
      <c r="K7">
        <v>6</v>
      </c>
    </row>
    <row r="8" spans="1:11">
      <c r="A8">
        <v>753786</v>
      </c>
      <c r="B8" t="s">
        <v>300</v>
      </c>
      <c r="C8" t="s">
        <v>293</v>
      </c>
      <c r="D8" t="s">
        <v>294</v>
      </c>
      <c r="E8">
        <v>1</v>
      </c>
      <c r="F8">
        <v>1</v>
      </c>
      <c r="H8">
        <v>1</v>
      </c>
      <c r="K8">
        <v>7</v>
      </c>
    </row>
    <row r="9" spans="1:11">
      <c r="A9">
        <v>753787</v>
      </c>
      <c r="B9" t="s">
        <v>301</v>
      </c>
      <c r="C9" t="s">
        <v>293</v>
      </c>
      <c r="D9" t="s">
        <v>294</v>
      </c>
      <c r="E9">
        <v>1</v>
      </c>
      <c r="F9">
        <v>1</v>
      </c>
      <c r="H9">
        <v>1</v>
      </c>
      <c r="K9">
        <v>8</v>
      </c>
    </row>
    <row r="10" spans="1:11">
      <c r="A10">
        <v>753788</v>
      </c>
      <c r="B10" t="s">
        <v>302</v>
      </c>
      <c r="C10" t="s">
        <v>293</v>
      </c>
      <c r="D10" t="s">
        <v>294</v>
      </c>
      <c r="E10">
        <v>1</v>
      </c>
      <c r="F10">
        <v>1</v>
      </c>
      <c r="H10">
        <v>1</v>
      </c>
      <c r="K10">
        <v>9</v>
      </c>
    </row>
    <row r="11" spans="1:11">
      <c r="A11">
        <v>753789</v>
      </c>
      <c r="B11" t="s">
        <v>303</v>
      </c>
      <c r="C11" t="s">
        <v>293</v>
      </c>
      <c r="D11" t="s">
        <v>294</v>
      </c>
      <c r="E11">
        <v>1</v>
      </c>
      <c r="F11">
        <v>1</v>
      </c>
      <c r="H11">
        <v>1</v>
      </c>
      <c r="K11">
        <v>10</v>
      </c>
    </row>
    <row r="12" spans="1:11">
      <c r="A12">
        <v>753790</v>
      </c>
      <c r="B12" t="s">
        <v>304</v>
      </c>
      <c r="C12" t="s">
        <v>293</v>
      </c>
      <c r="D12" t="s">
        <v>294</v>
      </c>
      <c r="E12">
        <v>1</v>
      </c>
      <c r="F12">
        <v>1</v>
      </c>
      <c r="H12">
        <v>1</v>
      </c>
      <c r="K12">
        <v>11</v>
      </c>
    </row>
    <row r="13" spans="1:11">
      <c r="A13">
        <v>753791</v>
      </c>
      <c r="B13" t="s">
        <v>305</v>
      </c>
      <c r="C13" t="s">
        <v>293</v>
      </c>
      <c r="D13" t="s">
        <v>294</v>
      </c>
      <c r="E13">
        <v>1</v>
      </c>
      <c r="F13">
        <v>1</v>
      </c>
      <c r="H13">
        <v>1</v>
      </c>
      <c r="K13">
        <v>12</v>
      </c>
    </row>
    <row r="14" spans="1:11">
      <c r="A14">
        <v>753792</v>
      </c>
      <c r="B14" t="s">
        <v>306</v>
      </c>
      <c r="C14" t="s">
        <v>293</v>
      </c>
      <c r="D14" t="s">
        <v>294</v>
      </c>
      <c r="E14">
        <v>1</v>
      </c>
      <c r="F14">
        <v>1</v>
      </c>
      <c r="H14">
        <v>1</v>
      </c>
      <c r="K14">
        <v>13</v>
      </c>
    </row>
    <row r="15" spans="1:11">
      <c r="A15">
        <v>753793</v>
      </c>
      <c r="B15" t="s">
        <v>307</v>
      </c>
      <c r="C15" t="s">
        <v>293</v>
      </c>
      <c r="D15" t="s">
        <v>294</v>
      </c>
      <c r="E15">
        <v>1</v>
      </c>
      <c r="F15">
        <v>1</v>
      </c>
      <c r="H15">
        <v>1</v>
      </c>
      <c r="K15">
        <v>14</v>
      </c>
    </row>
    <row r="16" spans="1:11">
      <c r="A16">
        <v>753794</v>
      </c>
      <c r="B16" t="s">
        <v>308</v>
      </c>
      <c r="C16" t="s">
        <v>293</v>
      </c>
      <c r="D16" t="s">
        <v>294</v>
      </c>
      <c r="E16">
        <v>1</v>
      </c>
      <c r="F16">
        <v>1</v>
      </c>
      <c r="H16">
        <v>1</v>
      </c>
      <c r="K16">
        <v>15</v>
      </c>
    </row>
    <row r="17" spans="1:11">
      <c r="A17">
        <v>753795</v>
      </c>
      <c r="B17" t="s">
        <v>309</v>
      </c>
      <c r="C17" t="s">
        <v>293</v>
      </c>
      <c r="D17" t="s">
        <v>294</v>
      </c>
      <c r="E17">
        <v>1</v>
      </c>
      <c r="F17">
        <v>1</v>
      </c>
      <c r="H17">
        <v>1</v>
      </c>
      <c r="K17">
        <v>16</v>
      </c>
    </row>
    <row r="18" spans="1:11">
      <c r="A18">
        <v>753796</v>
      </c>
      <c r="B18" t="s">
        <v>310</v>
      </c>
      <c r="C18" t="s">
        <v>293</v>
      </c>
      <c r="D18" t="s">
        <v>294</v>
      </c>
      <c r="E18">
        <v>1</v>
      </c>
      <c r="F18">
        <v>1</v>
      </c>
      <c r="H18">
        <v>1</v>
      </c>
      <c r="K18">
        <v>17</v>
      </c>
    </row>
    <row r="19" spans="1:11">
      <c r="A19">
        <v>753797</v>
      </c>
      <c r="B19" t="s">
        <v>311</v>
      </c>
      <c r="C19" t="s">
        <v>293</v>
      </c>
      <c r="D19" t="s">
        <v>294</v>
      </c>
      <c r="E19">
        <v>1</v>
      </c>
      <c r="F19">
        <v>1</v>
      </c>
      <c r="H19">
        <v>1</v>
      </c>
      <c r="K19">
        <v>18</v>
      </c>
    </row>
    <row r="20" spans="1:11">
      <c r="A20">
        <v>753798</v>
      </c>
      <c r="B20" t="s">
        <v>312</v>
      </c>
      <c r="C20" t="s">
        <v>293</v>
      </c>
      <c r="D20" t="s">
        <v>294</v>
      </c>
      <c r="E20">
        <v>1</v>
      </c>
      <c r="F20">
        <v>1</v>
      </c>
      <c r="H20">
        <v>1</v>
      </c>
      <c r="K20">
        <v>19</v>
      </c>
    </row>
    <row r="21" spans="1:11">
      <c r="A21">
        <v>753799</v>
      </c>
      <c r="B21" t="s">
        <v>313</v>
      </c>
      <c r="C21" t="s">
        <v>293</v>
      </c>
      <c r="D21" t="s">
        <v>294</v>
      </c>
      <c r="E21">
        <v>1</v>
      </c>
      <c r="F21">
        <v>1</v>
      </c>
      <c r="H21">
        <v>1</v>
      </c>
      <c r="K21">
        <v>20</v>
      </c>
    </row>
    <row r="22" spans="1:11">
      <c r="A22">
        <v>753800</v>
      </c>
      <c r="B22" t="s">
        <v>314</v>
      </c>
      <c r="C22" t="s">
        <v>293</v>
      </c>
      <c r="D22" t="s">
        <v>294</v>
      </c>
      <c r="E22">
        <v>1</v>
      </c>
      <c r="F22">
        <v>1</v>
      </c>
      <c r="H22">
        <v>1</v>
      </c>
      <c r="K22">
        <v>21</v>
      </c>
    </row>
    <row r="23" spans="1:11">
      <c r="A23">
        <v>753801</v>
      </c>
      <c r="B23" t="s">
        <v>315</v>
      </c>
      <c r="C23" t="s">
        <v>293</v>
      </c>
      <c r="D23" t="s">
        <v>294</v>
      </c>
      <c r="E23">
        <v>1</v>
      </c>
      <c r="F23">
        <v>1</v>
      </c>
      <c r="H23">
        <v>1</v>
      </c>
      <c r="K23">
        <v>22</v>
      </c>
    </row>
    <row r="24" spans="1:11">
      <c r="A24">
        <v>753802</v>
      </c>
      <c r="B24" t="s">
        <v>316</v>
      </c>
      <c r="C24" t="s">
        <v>293</v>
      </c>
      <c r="D24" t="s">
        <v>294</v>
      </c>
      <c r="E24">
        <v>1</v>
      </c>
      <c r="F24">
        <v>1</v>
      </c>
      <c r="H24">
        <v>1</v>
      </c>
      <c r="K24">
        <v>23</v>
      </c>
    </row>
    <row r="25" spans="1:11">
      <c r="A25">
        <v>753803</v>
      </c>
      <c r="B25" t="s">
        <v>317</v>
      </c>
      <c r="C25" t="s">
        <v>293</v>
      </c>
      <c r="D25" t="s">
        <v>294</v>
      </c>
      <c r="E25">
        <v>1</v>
      </c>
      <c r="F25">
        <v>1</v>
      </c>
      <c r="H25">
        <v>1</v>
      </c>
      <c r="K25">
        <v>24</v>
      </c>
    </row>
    <row r="26" spans="1:11">
      <c r="A26">
        <v>753804</v>
      </c>
      <c r="B26" t="s">
        <v>318</v>
      </c>
      <c r="C26" t="s">
        <v>293</v>
      </c>
      <c r="D26" t="s">
        <v>294</v>
      </c>
      <c r="E26">
        <v>1</v>
      </c>
      <c r="F26">
        <v>1</v>
      </c>
      <c r="H26">
        <v>1</v>
      </c>
      <c r="K26">
        <v>25</v>
      </c>
    </row>
    <row r="27" spans="1:11">
      <c r="A27">
        <v>753805</v>
      </c>
      <c r="B27" t="s">
        <v>319</v>
      </c>
      <c r="C27" t="s">
        <v>293</v>
      </c>
      <c r="D27" t="s">
        <v>294</v>
      </c>
      <c r="E27">
        <v>1</v>
      </c>
      <c r="F27">
        <v>1</v>
      </c>
      <c r="H27">
        <v>1</v>
      </c>
      <c r="K27">
        <v>26</v>
      </c>
    </row>
    <row r="28" spans="1:11">
      <c r="A28">
        <v>753806</v>
      </c>
      <c r="B28" t="s">
        <v>320</v>
      </c>
      <c r="C28" t="s">
        <v>293</v>
      </c>
      <c r="D28" t="s">
        <v>294</v>
      </c>
      <c r="E28">
        <v>1</v>
      </c>
      <c r="F28">
        <v>1</v>
      </c>
      <c r="H28">
        <v>1</v>
      </c>
      <c r="K28">
        <v>27</v>
      </c>
    </row>
    <row r="29" spans="1:11">
      <c r="A29">
        <v>753807</v>
      </c>
      <c r="B29" t="s">
        <v>321</v>
      </c>
      <c r="C29" t="s">
        <v>293</v>
      </c>
      <c r="D29" t="s">
        <v>294</v>
      </c>
      <c r="E29">
        <v>1</v>
      </c>
      <c r="F29">
        <v>1</v>
      </c>
      <c r="H29">
        <v>1</v>
      </c>
      <c r="K29">
        <v>28</v>
      </c>
    </row>
    <row r="30" spans="1:11">
      <c r="A30">
        <v>753808</v>
      </c>
      <c r="B30" t="s">
        <v>322</v>
      </c>
      <c r="C30" t="s">
        <v>293</v>
      </c>
      <c r="D30" t="s">
        <v>294</v>
      </c>
      <c r="E30">
        <v>1</v>
      </c>
      <c r="F30">
        <v>1</v>
      </c>
      <c r="H30">
        <v>1</v>
      </c>
      <c r="K30">
        <v>29</v>
      </c>
    </row>
    <row r="31" spans="1:11">
      <c r="A31">
        <v>753809</v>
      </c>
      <c r="B31" t="s">
        <v>323</v>
      </c>
      <c r="C31" t="s">
        <v>293</v>
      </c>
      <c r="D31" t="s">
        <v>294</v>
      </c>
      <c r="E31">
        <v>1</v>
      </c>
      <c r="F31">
        <v>1</v>
      </c>
      <c r="H31">
        <v>1</v>
      </c>
      <c r="K31">
        <v>30</v>
      </c>
    </row>
    <row r="32" spans="1:11">
      <c r="A32">
        <v>753810</v>
      </c>
      <c r="B32" t="s">
        <v>324</v>
      </c>
      <c r="C32" t="s">
        <v>293</v>
      </c>
      <c r="D32" t="s">
        <v>294</v>
      </c>
      <c r="E32">
        <v>1</v>
      </c>
      <c r="F32">
        <v>1</v>
      </c>
      <c r="H32">
        <v>1</v>
      </c>
      <c r="K32">
        <v>31</v>
      </c>
    </row>
    <row r="33" spans="1:11">
      <c r="A33">
        <v>753811</v>
      </c>
      <c r="B33" t="s">
        <v>325</v>
      </c>
      <c r="C33" t="s">
        <v>293</v>
      </c>
      <c r="D33" t="s">
        <v>294</v>
      </c>
      <c r="E33">
        <v>1</v>
      </c>
      <c r="F33">
        <v>1</v>
      </c>
      <c r="H33">
        <v>1</v>
      </c>
      <c r="K33">
        <v>32</v>
      </c>
    </row>
    <row r="34" spans="1:11">
      <c r="A34">
        <v>753812</v>
      </c>
      <c r="B34" t="s">
        <v>326</v>
      </c>
      <c r="C34" t="s">
        <v>293</v>
      </c>
      <c r="D34" t="s">
        <v>294</v>
      </c>
      <c r="E34">
        <v>1</v>
      </c>
      <c r="F34">
        <v>1</v>
      </c>
      <c r="H34">
        <v>1</v>
      </c>
      <c r="K34">
        <v>33</v>
      </c>
    </row>
    <row r="35" spans="1:11">
      <c r="A35">
        <v>753813</v>
      </c>
      <c r="B35" t="s">
        <v>327</v>
      </c>
      <c r="C35" t="s">
        <v>293</v>
      </c>
      <c r="D35" t="s">
        <v>294</v>
      </c>
      <c r="E35">
        <v>1</v>
      </c>
      <c r="F35">
        <v>1</v>
      </c>
      <c r="H35">
        <v>1</v>
      </c>
      <c r="K35">
        <v>34</v>
      </c>
    </row>
    <row r="36" spans="1:11">
      <c r="A36">
        <v>753814</v>
      </c>
      <c r="B36" t="s">
        <v>328</v>
      </c>
      <c r="C36" t="s">
        <v>293</v>
      </c>
      <c r="D36" t="s">
        <v>294</v>
      </c>
      <c r="E36">
        <v>1</v>
      </c>
      <c r="F36">
        <v>1</v>
      </c>
      <c r="H36">
        <v>1</v>
      </c>
      <c r="K36">
        <v>35</v>
      </c>
    </row>
    <row r="37" spans="1:11">
      <c r="A37">
        <v>753815</v>
      </c>
      <c r="B37" t="s">
        <v>329</v>
      </c>
      <c r="C37" t="s">
        <v>293</v>
      </c>
      <c r="D37" t="s">
        <v>294</v>
      </c>
      <c r="E37">
        <v>1</v>
      </c>
      <c r="F37">
        <v>1</v>
      </c>
      <c r="H37">
        <v>1</v>
      </c>
      <c r="K37">
        <v>36</v>
      </c>
    </row>
    <row r="38" spans="1:11">
      <c r="A38">
        <v>753816</v>
      </c>
      <c r="B38" t="s">
        <v>330</v>
      </c>
      <c r="C38" t="s">
        <v>293</v>
      </c>
      <c r="D38" t="s">
        <v>294</v>
      </c>
      <c r="E38">
        <v>1</v>
      </c>
      <c r="F38">
        <v>1</v>
      </c>
      <c r="H38">
        <v>1</v>
      </c>
      <c r="K38">
        <v>37</v>
      </c>
    </row>
    <row r="39" spans="1:11">
      <c r="A39">
        <v>753817</v>
      </c>
      <c r="B39" t="s">
        <v>331</v>
      </c>
      <c r="C39" t="s">
        <v>293</v>
      </c>
      <c r="D39" t="s">
        <v>294</v>
      </c>
      <c r="E39">
        <v>1</v>
      </c>
      <c r="F39">
        <v>1</v>
      </c>
      <c r="H39">
        <v>1</v>
      </c>
      <c r="K39">
        <v>38</v>
      </c>
    </row>
    <row r="40" spans="1:11">
      <c r="A40">
        <v>753818</v>
      </c>
      <c r="B40" t="s">
        <v>332</v>
      </c>
      <c r="C40" t="s">
        <v>293</v>
      </c>
      <c r="D40" t="s">
        <v>294</v>
      </c>
      <c r="E40">
        <v>1</v>
      </c>
      <c r="F40">
        <v>1</v>
      </c>
      <c r="H40">
        <v>1</v>
      </c>
      <c r="K40">
        <v>39</v>
      </c>
    </row>
    <row r="41" spans="1:11">
      <c r="A41">
        <v>753819</v>
      </c>
      <c r="B41" t="s">
        <v>333</v>
      </c>
      <c r="C41" t="s">
        <v>293</v>
      </c>
      <c r="D41" t="s">
        <v>294</v>
      </c>
      <c r="E41">
        <v>1</v>
      </c>
      <c r="F41">
        <v>1</v>
      </c>
      <c r="H41">
        <v>1</v>
      </c>
      <c r="K41">
        <v>40</v>
      </c>
    </row>
    <row r="42" spans="1:11">
      <c r="A42">
        <v>753820</v>
      </c>
      <c r="B42" t="s">
        <v>334</v>
      </c>
      <c r="C42" t="s">
        <v>293</v>
      </c>
      <c r="D42" t="s">
        <v>294</v>
      </c>
      <c r="E42">
        <v>1</v>
      </c>
      <c r="F42">
        <v>1</v>
      </c>
      <c r="H42">
        <v>1</v>
      </c>
      <c r="K42">
        <v>41</v>
      </c>
    </row>
    <row r="43" spans="1:11">
      <c r="A43">
        <v>753821</v>
      </c>
      <c r="B43" t="s">
        <v>335</v>
      </c>
      <c r="C43" t="s">
        <v>293</v>
      </c>
      <c r="D43" t="s">
        <v>294</v>
      </c>
      <c r="E43">
        <v>1</v>
      </c>
      <c r="F43">
        <v>1</v>
      </c>
      <c r="H43">
        <v>1</v>
      </c>
      <c r="K43">
        <v>42</v>
      </c>
    </row>
    <row r="44" spans="1:11">
      <c r="A44">
        <v>753822</v>
      </c>
      <c r="B44" t="s">
        <v>336</v>
      </c>
      <c r="C44" t="s">
        <v>293</v>
      </c>
      <c r="D44" t="s">
        <v>294</v>
      </c>
      <c r="E44">
        <v>1</v>
      </c>
      <c r="F44">
        <v>1</v>
      </c>
      <c r="H44">
        <v>1</v>
      </c>
      <c r="K44">
        <v>43</v>
      </c>
    </row>
    <row r="45" spans="1:11">
      <c r="A45">
        <v>753823</v>
      </c>
      <c r="B45" t="s">
        <v>337</v>
      </c>
      <c r="C45" t="s">
        <v>293</v>
      </c>
      <c r="D45" t="s">
        <v>294</v>
      </c>
      <c r="E45">
        <v>1</v>
      </c>
      <c r="F45">
        <v>1</v>
      </c>
      <c r="H45">
        <v>1</v>
      </c>
      <c r="K45">
        <v>44</v>
      </c>
    </row>
    <row r="46" spans="1:11">
      <c r="A46">
        <v>753824</v>
      </c>
      <c r="B46" t="s">
        <v>338</v>
      </c>
      <c r="C46" t="s">
        <v>293</v>
      </c>
      <c r="D46" t="s">
        <v>294</v>
      </c>
      <c r="E46">
        <v>1</v>
      </c>
      <c r="F46">
        <v>1</v>
      </c>
      <c r="H46">
        <v>1</v>
      </c>
      <c r="K46">
        <v>45</v>
      </c>
    </row>
    <row r="47" spans="1:11">
      <c r="A47">
        <v>753825</v>
      </c>
      <c r="B47" t="s">
        <v>339</v>
      </c>
      <c r="C47" t="s">
        <v>293</v>
      </c>
      <c r="D47" t="s">
        <v>294</v>
      </c>
      <c r="E47">
        <v>1</v>
      </c>
      <c r="F47">
        <v>1</v>
      </c>
      <c r="H47">
        <v>1</v>
      </c>
      <c r="K47">
        <v>46</v>
      </c>
    </row>
    <row r="48" spans="1:11">
      <c r="A48">
        <v>753826</v>
      </c>
      <c r="B48" t="s">
        <v>340</v>
      </c>
      <c r="C48" t="s">
        <v>293</v>
      </c>
      <c r="D48" t="s">
        <v>294</v>
      </c>
      <c r="E48">
        <v>1</v>
      </c>
      <c r="F48">
        <v>1</v>
      </c>
      <c r="H48">
        <v>1</v>
      </c>
      <c r="K48">
        <v>47</v>
      </c>
    </row>
    <row r="49" spans="1:11">
      <c r="A49">
        <v>753827</v>
      </c>
      <c r="B49" t="s">
        <v>341</v>
      </c>
      <c r="C49" t="s">
        <v>293</v>
      </c>
      <c r="D49" t="s">
        <v>294</v>
      </c>
      <c r="E49">
        <v>1</v>
      </c>
      <c r="F49">
        <v>1</v>
      </c>
      <c r="H49">
        <v>1</v>
      </c>
      <c r="K49">
        <v>48</v>
      </c>
    </row>
    <row r="50" spans="1:11">
      <c r="A50">
        <v>753828</v>
      </c>
      <c r="B50" t="s">
        <v>342</v>
      </c>
      <c r="C50" t="s">
        <v>293</v>
      </c>
      <c r="D50" t="s">
        <v>294</v>
      </c>
      <c r="E50">
        <v>1</v>
      </c>
      <c r="F50">
        <v>1</v>
      </c>
      <c r="H50">
        <v>1</v>
      </c>
      <c r="K50">
        <v>49</v>
      </c>
    </row>
    <row r="51" spans="1:11">
      <c r="A51">
        <v>753829</v>
      </c>
      <c r="B51" t="s">
        <v>343</v>
      </c>
      <c r="C51" t="s">
        <v>293</v>
      </c>
      <c r="D51" t="s">
        <v>294</v>
      </c>
      <c r="E51">
        <v>1</v>
      </c>
      <c r="F51">
        <v>1</v>
      </c>
      <c r="H51">
        <v>1</v>
      </c>
      <c r="K51">
        <v>50</v>
      </c>
    </row>
    <row r="52" spans="1:11">
      <c r="A52">
        <v>753830</v>
      </c>
      <c r="B52" t="s">
        <v>344</v>
      </c>
      <c r="C52" t="s">
        <v>293</v>
      </c>
      <c r="D52" t="s">
        <v>294</v>
      </c>
      <c r="E52">
        <v>1</v>
      </c>
      <c r="F52">
        <v>1</v>
      </c>
      <c r="H52">
        <v>1</v>
      </c>
      <c r="K52">
        <v>51</v>
      </c>
    </row>
    <row r="53" spans="1:11">
      <c r="A53">
        <v>753831</v>
      </c>
      <c r="B53" t="s">
        <v>345</v>
      </c>
      <c r="C53" t="s">
        <v>293</v>
      </c>
      <c r="D53" t="s">
        <v>294</v>
      </c>
      <c r="E53">
        <v>1</v>
      </c>
      <c r="F53">
        <v>1</v>
      </c>
      <c r="H53">
        <v>1</v>
      </c>
      <c r="K53">
        <v>52</v>
      </c>
    </row>
    <row r="54" spans="1:11">
      <c r="A54">
        <v>753832</v>
      </c>
      <c r="B54" t="s">
        <v>346</v>
      </c>
      <c r="C54" t="s">
        <v>293</v>
      </c>
      <c r="D54" t="s">
        <v>294</v>
      </c>
      <c r="E54">
        <v>1</v>
      </c>
      <c r="F54">
        <v>1</v>
      </c>
      <c r="H54">
        <v>1</v>
      </c>
      <c r="K54">
        <v>53</v>
      </c>
    </row>
    <row r="55" spans="1:11">
      <c r="A55">
        <v>753833</v>
      </c>
      <c r="B55" t="s">
        <v>347</v>
      </c>
      <c r="C55" t="s">
        <v>293</v>
      </c>
      <c r="D55" t="s">
        <v>294</v>
      </c>
      <c r="E55">
        <v>1</v>
      </c>
      <c r="F55">
        <v>1</v>
      </c>
      <c r="H55">
        <v>1</v>
      </c>
      <c r="K55">
        <v>54</v>
      </c>
    </row>
    <row r="56" spans="1:11">
      <c r="A56">
        <v>753834</v>
      </c>
      <c r="B56" t="s">
        <v>348</v>
      </c>
      <c r="C56" t="s">
        <v>293</v>
      </c>
      <c r="D56" t="s">
        <v>294</v>
      </c>
      <c r="E56">
        <v>1</v>
      </c>
      <c r="F56">
        <v>1</v>
      </c>
      <c r="H56">
        <v>1</v>
      </c>
      <c r="K56">
        <v>55</v>
      </c>
    </row>
    <row r="57" spans="1:11">
      <c r="A57">
        <v>753835</v>
      </c>
      <c r="B57" t="s">
        <v>349</v>
      </c>
      <c r="C57" t="s">
        <v>293</v>
      </c>
      <c r="D57" t="s">
        <v>294</v>
      </c>
      <c r="E57">
        <v>1</v>
      </c>
      <c r="F57">
        <v>1</v>
      </c>
      <c r="H57">
        <v>1</v>
      </c>
      <c r="K57">
        <v>56</v>
      </c>
    </row>
    <row r="58" spans="1:11">
      <c r="A58">
        <v>753836</v>
      </c>
      <c r="B58" t="s">
        <v>350</v>
      </c>
      <c r="C58" t="s">
        <v>293</v>
      </c>
      <c r="D58" t="s">
        <v>294</v>
      </c>
      <c r="E58">
        <v>1</v>
      </c>
      <c r="F58">
        <v>1</v>
      </c>
      <c r="H58">
        <v>1</v>
      </c>
      <c r="K58">
        <v>57</v>
      </c>
    </row>
    <row r="59" spans="1:11">
      <c r="A59">
        <v>753837</v>
      </c>
      <c r="B59" t="s">
        <v>351</v>
      </c>
      <c r="C59" t="s">
        <v>293</v>
      </c>
      <c r="D59" t="s">
        <v>294</v>
      </c>
      <c r="E59">
        <v>1</v>
      </c>
      <c r="F59">
        <v>1</v>
      </c>
      <c r="H59">
        <v>1</v>
      </c>
      <c r="K59">
        <v>58</v>
      </c>
    </row>
    <row r="60" spans="1:11">
      <c r="A60">
        <v>753838</v>
      </c>
      <c r="B60" t="s">
        <v>352</v>
      </c>
      <c r="C60" t="s">
        <v>293</v>
      </c>
      <c r="D60" t="s">
        <v>294</v>
      </c>
      <c r="E60">
        <v>1</v>
      </c>
      <c r="F60">
        <v>1</v>
      </c>
      <c r="H60">
        <v>1</v>
      </c>
      <c r="K60">
        <v>59</v>
      </c>
    </row>
    <row r="61" spans="1:11">
      <c r="A61">
        <v>753839</v>
      </c>
      <c r="B61" t="s">
        <v>353</v>
      </c>
      <c r="C61" t="s">
        <v>293</v>
      </c>
      <c r="D61" t="s">
        <v>294</v>
      </c>
      <c r="E61">
        <v>1</v>
      </c>
      <c r="F61">
        <v>1</v>
      </c>
      <c r="H61">
        <v>1</v>
      </c>
      <c r="K61">
        <v>60</v>
      </c>
    </row>
    <row r="62" spans="1:11">
      <c r="A62">
        <v>753840</v>
      </c>
      <c r="B62" t="s">
        <v>354</v>
      </c>
      <c r="C62" t="s">
        <v>293</v>
      </c>
      <c r="D62" t="s">
        <v>294</v>
      </c>
      <c r="E62">
        <v>1</v>
      </c>
      <c r="F62">
        <v>1</v>
      </c>
      <c r="H62">
        <v>1</v>
      </c>
      <c r="K62">
        <v>61</v>
      </c>
    </row>
    <row r="63" spans="1:11">
      <c r="A63">
        <v>753841</v>
      </c>
      <c r="B63" t="s">
        <v>355</v>
      </c>
      <c r="C63" t="s">
        <v>293</v>
      </c>
      <c r="D63" t="s">
        <v>294</v>
      </c>
      <c r="E63">
        <v>1</v>
      </c>
      <c r="F63">
        <v>1</v>
      </c>
      <c r="H63">
        <v>1</v>
      </c>
      <c r="K63">
        <v>62</v>
      </c>
    </row>
    <row r="64" spans="1:11">
      <c r="A64">
        <v>753842</v>
      </c>
      <c r="B64" t="s">
        <v>356</v>
      </c>
      <c r="C64" t="s">
        <v>293</v>
      </c>
      <c r="D64" t="s">
        <v>294</v>
      </c>
      <c r="E64">
        <v>1</v>
      </c>
      <c r="F64">
        <v>1</v>
      </c>
      <c r="H64">
        <v>1</v>
      </c>
      <c r="K64">
        <v>63</v>
      </c>
    </row>
    <row r="65" spans="1:11">
      <c r="A65">
        <v>753843</v>
      </c>
      <c r="B65" t="s">
        <v>357</v>
      </c>
      <c r="C65" t="s">
        <v>293</v>
      </c>
      <c r="D65" t="s">
        <v>294</v>
      </c>
      <c r="E65">
        <v>1</v>
      </c>
      <c r="F65">
        <v>1</v>
      </c>
      <c r="H65">
        <v>1</v>
      </c>
      <c r="K65">
        <v>64</v>
      </c>
    </row>
    <row r="66" spans="1:11">
      <c r="A66">
        <v>753844</v>
      </c>
      <c r="B66" t="s">
        <v>358</v>
      </c>
      <c r="C66" t="s">
        <v>293</v>
      </c>
      <c r="D66" t="s">
        <v>294</v>
      </c>
      <c r="E66">
        <v>1</v>
      </c>
      <c r="F66">
        <v>1</v>
      </c>
      <c r="H66">
        <v>1</v>
      </c>
      <c r="K66">
        <v>65</v>
      </c>
    </row>
    <row r="67" spans="1:11">
      <c r="A67">
        <v>753845</v>
      </c>
      <c r="B67" t="s">
        <v>359</v>
      </c>
      <c r="C67" t="s">
        <v>293</v>
      </c>
      <c r="D67" t="s">
        <v>294</v>
      </c>
      <c r="E67">
        <v>1</v>
      </c>
      <c r="F67">
        <v>1</v>
      </c>
      <c r="H67">
        <v>1</v>
      </c>
      <c r="K67">
        <v>66</v>
      </c>
    </row>
    <row r="68" spans="1:11">
      <c r="A68">
        <v>753846</v>
      </c>
      <c r="B68" t="s">
        <v>360</v>
      </c>
      <c r="C68" t="s">
        <v>293</v>
      </c>
      <c r="D68" t="s">
        <v>294</v>
      </c>
      <c r="E68">
        <v>1</v>
      </c>
      <c r="F68">
        <v>1</v>
      </c>
      <c r="H68">
        <v>1</v>
      </c>
      <c r="K68">
        <v>67</v>
      </c>
    </row>
    <row r="69" spans="1:11">
      <c r="A69">
        <v>753847</v>
      </c>
      <c r="B69" t="s">
        <v>361</v>
      </c>
      <c r="C69" t="s">
        <v>293</v>
      </c>
      <c r="D69" t="s">
        <v>294</v>
      </c>
      <c r="E69">
        <v>1</v>
      </c>
      <c r="F69">
        <v>1</v>
      </c>
      <c r="H69">
        <v>1</v>
      </c>
      <c r="K69">
        <v>68</v>
      </c>
    </row>
    <row r="70" spans="1:11">
      <c r="A70">
        <v>753848</v>
      </c>
      <c r="B70" t="s">
        <v>362</v>
      </c>
      <c r="C70" t="s">
        <v>293</v>
      </c>
      <c r="D70" t="s">
        <v>294</v>
      </c>
      <c r="E70">
        <v>1</v>
      </c>
      <c r="F70">
        <v>1</v>
      </c>
      <c r="H70">
        <v>1</v>
      </c>
      <c r="K70">
        <v>69</v>
      </c>
    </row>
    <row r="71" spans="1:11">
      <c r="A71">
        <v>753849</v>
      </c>
      <c r="B71" t="s">
        <v>363</v>
      </c>
      <c r="C71" t="s">
        <v>293</v>
      </c>
      <c r="D71" t="s">
        <v>294</v>
      </c>
      <c r="E71">
        <v>1</v>
      </c>
      <c r="F71">
        <v>1</v>
      </c>
      <c r="H71">
        <v>1</v>
      </c>
      <c r="K71">
        <v>70</v>
      </c>
    </row>
    <row r="72" spans="1:11">
      <c r="A72">
        <v>753850</v>
      </c>
      <c r="B72" t="s">
        <v>364</v>
      </c>
      <c r="C72" t="s">
        <v>293</v>
      </c>
      <c r="D72" t="s">
        <v>294</v>
      </c>
      <c r="E72">
        <v>1</v>
      </c>
      <c r="F72">
        <v>1</v>
      </c>
      <c r="H72">
        <v>1</v>
      </c>
      <c r="K72">
        <v>71</v>
      </c>
    </row>
    <row r="73" spans="1:11">
      <c r="A73">
        <v>753851</v>
      </c>
      <c r="B73" t="s">
        <v>365</v>
      </c>
      <c r="C73" t="s">
        <v>293</v>
      </c>
      <c r="D73" t="s">
        <v>294</v>
      </c>
      <c r="E73">
        <v>1</v>
      </c>
      <c r="F73">
        <v>1</v>
      </c>
      <c r="H73">
        <v>1</v>
      </c>
      <c r="K73">
        <v>72</v>
      </c>
    </row>
    <row r="74" spans="1:11">
      <c r="A74">
        <v>753489</v>
      </c>
      <c r="B74" t="s">
        <v>366</v>
      </c>
      <c r="C74" t="s">
        <v>367</v>
      </c>
      <c r="D74" t="s">
        <v>368</v>
      </c>
      <c r="E74">
        <v>2</v>
      </c>
      <c r="F74">
        <v>1</v>
      </c>
      <c r="H74">
        <v>1</v>
      </c>
      <c r="K74">
        <v>1</v>
      </c>
    </row>
    <row r="75" spans="1:11">
      <c r="A75">
        <v>753490</v>
      </c>
      <c r="B75" t="s">
        <v>369</v>
      </c>
      <c r="C75" t="s">
        <v>367</v>
      </c>
      <c r="D75" t="s">
        <v>368</v>
      </c>
      <c r="E75">
        <v>2</v>
      </c>
      <c r="F75">
        <v>1</v>
      </c>
      <c r="H75">
        <v>1</v>
      </c>
      <c r="K75">
        <v>2</v>
      </c>
    </row>
    <row r="76" spans="1:11">
      <c r="A76">
        <v>753491</v>
      </c>
      <c r="B76" t="s">
        <v>370</v>
      </c>
      <c r="C76" t="s">
        <v>367</v>
      </c>
      <c r="D76" t="s">
        <v>368</v>
      </c>
      <c r="E76">
        <v>2</v>
      </c>
      <c r="F76">
        <v>1</v>
      </c>
      <c r="H76">
        <v>1</v>
      </c>
      <c r="K76">
        <v>3</v>
      </c>
    </row>
    <row r="77" spans="1:11">
      <c r="A77">
        <v>753492</v>
      </c>
      <c r="B77" t="s">
        <v>371</v>
      </c>
      <c r="C77" t="s">
        <v>367</v>
      </c>
      <c r="D77" t="s">
        <v>368</v>
      </c>
      <c r="E77">
        <v>2</v>
      </c>
      <c r="F77">
        <v>1</v>
      </c>
      <c r="H77">
        <v>1</v>
      </c>
      <c r="K77">
        <v>4</v>
      </c>
    </row>
    <row r="78" spans="1:11">
      <c r="A78">
        <v>753493</v>
      </c>
      <c r="B78" t="s">
        <v>372</v>
      </c>
      <c r="C78" t="s">
        <v>367</v>
      </c>
      <c r="D78" t="s">
        <v>368</v>
      </c>
      <c r="E78">
        <v>2</v>
      </c>
      <c r="F78">
        <v>1</v>
      </c>
      <c r="H78">
        <v>1</v>
      </c>
      <c r="K78">
        <v>5</v>
      </c>
    </row>
    <row r="79" spans="1:11">
      <c r="A79">
        <v>753494</v>
      </c>
      <c r="B79" t="s">
        <v>373</v>
      </c>
      <c r="C79" t="s">
        <v>367</v>
      </c>
      <c r="D79" t="s">
        <v>368</v>
      </c>
      <c r="E79">
        <v>2</v>
      </c>
      <c r="F79">
        <v>1</v>
      </c>
      <c r="H79">
        <v>1</v>
      </c>
      <c r="K79">
        <v>6</v>
      </c>
    </row>
    <row r="80" spans="1:11">
      <c r="A80">
        <v>753495</v>
      </c>
      <c r="B80" t="s">
        <v>374</v>
      </c>
      <c r="C80" t="s">
        <v>367</v>
      </c>
      <c r="D80" t="s">
        <v>368</v>
      </c>
      <c r="E80">
        <v>2</v>
      </c>
      <c r="F80">
        <v>1</v>
      </c>
      <c r="H80">
        <v>1</v>
      </c>
      <c r="K80">
        <v>7</v>
      </c>
    </row>
    <row r="81" spans="1:11">
      <c r="A81">
        <v>753496</v>
      </c>
      <c r="B81" t="s">
        <v>375</v>
      </c>
      <c r="C81" t="s">
        <v>367</v>
      </c>
      <c r="D81" t="s">
        <v>368</v>
      </c>
      <c r="E81">
        <v>2</v>
      </c>
      <c r="F81">
        <v>1</v>
      </c>
      <c r="H81">
        <v>1</v>
      </c>
      <c r="K81">
        <v>8</v>
      </c>
    </row>
    <row r="82" spans="1:11">
      <c r="A82">
        <v>753497</v>
      </c>
      <c r="B82" t="s">
        <v>376</v>
      </c>
      <c r="C82" t="s">
        <v>367</v>
      </c>
      <c r="D82" t="s">
        <v>368</v>
      </c>
      <c r="E82">
        <v>2</v>
      </c>
      <c r="F82">
        <v>1</v>
      </c>
      <c r="H82">
        <v>1</v>
      </c>
      <c r="K82">
        <v>9</v>
      </c>
    </row>
    <row r="83" spans="1:11">
      <c r="A83">
        <v>753498</v>
      </c>
      <c r="B83" t="s">
        <v>377</v>
      </c>
      <c r="C83" t="s">
        <v>367</v>
      </c>
      <c r="D83" t="s">
        <v>368</v>
      </c>
      <c r="E83">
        <v>2</v>
      </c>
      <c r="F83">
        <v>1</v>
      </c>
      <c r="H83">
        <v>1</v>
      </c>
      <c r="K83">
        <v>10</v>
      </c>
    </row>
    <row r="84" spans="1:11">
      <c r="A84">
        <v>753499</v>
      </c>
      <c r="B84" t="s">
        <v>378</v>
      </c>
      <c r="C84" t="s">
        <v>367</v>
      </c>
      <c r="D84" t="s">
        <v>368</v>
      </c>
      <c r="E84">
        <v>2</v>
      </c>
      <c r="F84">
        <v>1</v>
      </c>
      <c r="H84">
        <v>1</v>
      </c>
      <c r="K84">
        <v>11</v>
      </c>
    </row>
    <row r="85" spans="1:11">
      <c r="A85">
        <v>753500</v>
      </c>
      <c r="B85" t="s">
        <v>379</v>
      </c>
      <c r="C85" t="s">
        <v>367</v>
      </c>
      <c r="D85" t="s">
        <v>368</v>
      </c>
      <c r="E85">
        <v>2</v>
      </c>
      <c r="F85">
        <v>1</v>
      </c>
      <c r="H85">
        <v>1</v>
      </c>
      <c r="K85">
        <v>12</v>
      </c>
    </row>
    <row r="86" spans="1:11">
      <c r="A86">
        <v>753501</v>
      </c>
      <c r="B86" t="s">
        <v>380</v>
      </c>
      <c r="C86" t="s">
        <v>367</v>
      </c>
      <c r="D86" t="s">
        <v>368</v>
      </c>
      <c r="E86">
        <v>2</v>
      </c>
      <c r="F86">
        <v>1</v>
      </c>
      <c r="H86">
        <v>1</v>
      </c>
      <c r="K86">
        <v>13</v>
      </c>
    </row>
    <row r="87" spans="1:11">
      <c r="A87">
        <v>753502</v>
      </c>
      <c r="B87" t="s">
        <v>381</v>
      </c>
      <c r="C87" t="s">
        <v>367</v>
      </c>
      <c r="D87" t="s">
        <v>368</v>
      </c>
      <c r="E87">
        <v>2</v>
      </c>
      <c r="F87">
        <v>1</v>
      </c>
      <c r="H87">
        <v>1</v>
      </c>
      <c r="K87">
        <v>14</v>
      </c>
    </row>
    <row r="88" spans="1:11">
      <c r="A88">
        <v>753503</v>
      </c>
      <c r="B88" t="s">
        <v>382</v>
      </c>
      <c r="C88" t="s">
        <v>367</v>
      </c>
      <c r="D88" t="s">
        <v>368</v>
      </c>
      <c r="E88">
        <v>2</v>
      </c>
      <c r="F88">
        <v>1</v>
      </c>
      <c r="H88">
        <v>1</v>
      </c>
      <c r="K88">
        <v>15</v>
      </c>
    </row>
    <row r="89" spans="1:11">
      <c r="A89">
        <v>753504</v>
      </c>
      <c r="B89" t="s">
        <v>383</v>
      </c>
      <c r="C89" t="s">
        <v>367</v>
      </c>
      <c r="D89" t="s">
        <v>368</v>
      </c>
      <c r="E89">
        <v>2</v>
      </c>
      <c r="F89">
        <v>1</v>
      </c>
      <c r="H89">
        <v>1</v>
      </c>
      <c r="K89">
        <v>16</v>
      </c>
    </row>
    <row r="90" spans="1:11">
      <c r="A90">
        <v>753505</v>
      </c>
      <c r="B90" t="s">
        <v>384</v>
      </c>
      <c r="C90" t="s">
        <v>367</v>
      </c>
      <c r="D90" t="s">
        <v>368</v>
      </c>
      <c r="E90">
        <v>2</v>
      </c>
      <c r="F90">
        <v>1</v>
      </c>
      <c r="H90">
        <v>1</v>
      </c>
      <c r="K90">
        <v>17</v>
      </c>
    </row>
    <row r="91" spans="1:11">
      <c r="A91">
        <v>753506</v>
      </c>
      <c r="B91" t="s">
        <v>385</v>
      </c>
      <c r="C91" t="s">
        <v>367</v>
      </c>
      <c r="D91" t="s">
        <v>368</v>
      </c>
      <c r="E91">
        <v>2</v>
      </c>
      <c r="F91">
        <v>1</v>
      </c>
      <c r="H91">
        <v>1</v>
      </c>
      <c r="K91">
        <v>18</v>
      </c>
    </row>
    <row r="92" spans="1:11">
      <c r="A92">
        <v>753507</v>
      </c>
      <c r="B92" t="s">
        <v>386</v>
      </c>
      <c r="C92" t="s">
        <v>367</v>
      </c>
      <c r="D92" t="s">
        <v>368</v>
      </c>
      <c r="E92">
        <v>2</v>
      </c>
      <c r="F92">
        <v>1</v>
      </c>
      <c r="H92">
        <v>1</v>
      </c>
      <c r="K92">
        <v>19</v>
      </c>
    </row>
    <row r="93" spans="1:11">
      <c r="A93">
        <v>753508</v>
      </c>
      <c r="B93" t="s">
        <v>387</v>
      </c>
      <c r="C93" t="s">
        <v>367</v>
      </c>
      <c r="D93" t="s">
        <v>368</v>
      </c>
      <c r="E93">
        <v>2</v>
      </c>
      <c r="F93">
        <v>1</v>
      </c>
      <c r="H93">
        <v>1</v>
      </c>
      <c r="K93">
        <v>20</v>
      </c>
    </row>
    <row r="94" spans="1:11">
      <c r="A94">
        <v>753509</v>
      </c>
      <c r="B94" t="s">
        <v>388</v>
      </c>
      <c r="C94" t="s">
        <v>367</v>
      </c>
      <c r="D94" t="s">
        <v>368</v>
      </c>
      <c r="E94">
        <v>2</v>
      </c>
      <c r="F94">
        <v>1</v>
      </c>
      <c r="H94">
        <v>1</v>
      </c>
      <c r="K94">
        <v>21</v>
      </c>
    </row>
    <row r="95" spans="1:11">
      <c r="A95">
        <v>753510</v>
      </c>
      <c r="B95" t="s">
        <v>389</v>
      </c>
      <c r="C95" t="s">
        <v>367</v>
      </c>
      <c r="D95" t="s">
        <v>368</v>
      </c>
      <c r="E95">
        <v>2</v>
      </c>
      <c r="F95">
        <v>1</v>
      </c>
      <c r="H95">
        <v>1</v>
      </c>
      <c r="K95">
        <v>22</v>
      </c>
    </row>
    <row r="96" spans="1:11">
      <c r="A96">
        <v>753511</v>
      </c>
      <c r="B96" t="s">
        <v>390</v>
      </c>
      <c r="C96" t="s">
        <v>367</v>
      </c>
      <c r="D96" t="s">
        <v>368</v>
      </c>
      <c r="E96">
        <v>2</v>
      </c>
      <c r="F96">
        <v>1</v>
      </c>
      <c r="H96">
        <v>1</v>
      </c>
      <c r="K96">
        <v>23</v>
      </c>
    </row>
    <row r="97" spans="1:11">
      <c r="A97">
        <v>753512</v>
      </c>
      <c r="B97" t="s">
        <v>391</v>
      </c>
      <c r="C97" t="s">
        <v>367</v>
      </c>
      <c r="D97" t="s">
        <v>368</v>
      </c>
      <c r="E97">
        <v>2</v>
      </c>
      <c r="F97">
        <v>1</v>
      </c>
      <c r="H97">
        <v>1</v>
      </c>
      <c r="K97">
        <v>24</v>
      </c>
    </row>
    <row r="98" spans="1:11">
      <c r="A98">
        <v>753513</v>
      </c>
      <c r="B98" t="s">
        <v>392</v>
      </c>
      <c r="C98" t="s">
        <v>367</v>
      </c>
      <c r="D98" t="s">
        <v>368</v>
      </c>
      <c r="E98">
        <v>2</v>
      </c>
      <c r="F98">
        <v>1</v>
      </c>
      <c r="H98">
        <v>1</v>
      </c>
      <c r="K98">
        <v>25</v>
      </c>
    </row>
    <row r="99" spans="1:11">
      <c r="A99">
        <v>753514</v>
      </c>
      <c r="B99" t="s">
        <v>393</v>
      </c>
      <c r="C99" t="s">
        <v>367</v>
      </c>
      <c r="D99" t="s">
        <v>368</v>
      </c>
      <c r="E99">
        <v>2</v>
      </c>
      <c r="F99">
        <v>1</v>
      </c>
      <c r="H99">
        <v>1</v>
      </c>
      <c r="K99">
        <v>26</v>
      </c>
    </row>
    <row r="100" spans="1:11">
      <c r="A100">
        <v>753515</v>
      </c>
      <c r="B100" t="s">
        <v>394</v>
      </c>
      <c r="C100" t="s">
        <v>367</v>
      </c>
      <c r="D100" t="s">
        <v>368</v>
      </c>
      <c r="E100">
        <v>2</v>
      </c>
      <c r="F100">
        <v>1</v>
      </c>
      <c r="H100">
        <v>1</v>
      </c>
      <c r="K100">
        <v>27</v>
      </c>
    </row>
    <row r="101" spans="1:11">
      <c r="A101">
        <v>753516</v>
      </c>
      <c r="B101" t="s">
        <v>395</v>
      </c>
      <c r="C101" t="s">
        <v>367</v>
      </c>
      <c r="D101" t="s">
        <v>368</v>
      </c>
      <c r="E101">
        <v>2</v>
      </c>
      <c r="F101">
        <v>1</v>
      </c>
      <c r="H101">
        <v>1</v>
      </c>
      <c r="K101">
        <v>28</v>
      </c>
    </row>
    <row r="102" spans="1:11">
      <c r="A102">
        <v>753517</v>
      </c>
      <c r="B102" t="s">
        <v>396</v>
      </c>
      <c r="C102" t="s">
        <v>367</v>
      </c>
      <c r="D102" t="s">
        <v>368</v>
      </c>
      <c r="E102">
        <v>2</v>
      </c>
      <c r="F102">
        <v>1</v>
      </c>
      <c r="H102">
        <v>1</v>
      </c>
      <c r="K102">
        <v>29</v>
      </c>
    </row>
    <row r="103" spans="1:11">
      <c r="A103">
        <v>753518</v>
      </c>
      <c r="B103" t="s">
        <v>397</v>
      </c>
      <c r="C103" t="s">
        <v>367</v>
      </c>
      <c r="D103" t="s">
        <v>368</v>
      </c>
      <c r="E103">
        <v>2</v>
      </c>
      <c r="F103">
        <v>1</v>
      </c>
      <c r="H103">
        <v>1</v>
      </c>
      <c r="K103">
        <v>30</v>
      </c>
    </row>
    <row r="104" spans="1:11">
      <c r="A104">
        <v>753519</v>
      </c>
      <c r="B104" t="s">
        <v>398</v>
      </c>
      <c r="C104" t="s">
        <v>367</v>
      </c>
      <c r="D104" t="s">
        <v>368</v>
      </c>
      <c r="E104">
        <v>2</v>
      </c>
      <c r="F104">
        <v>1</v>
      </c>
      <c r="H104">
        <v>1</v>
      </c>
      <c r="K104">
        <v>31</v>
      </c>
    </row>
    <row r="105" spans="1:11">
      <c r="A105">
        <v>753520</v>
      </c>
      <c r="B105" t="s">
        <v>399</v>
      </c>
      <c r="C105" t="s">
        <v>367</v>
      </c>
      <c r="D105" t="s">
        <v>368</v>
      </c>
      <c r="E105">
        <v>2</v>
      </c>
      <c r="F105">
        <v>1</v>
      </c>
      <c r="H105">
        <v>1</v>
      </c>
      <c r="K105">
        <v>32</v>
      </c>
    </row>
    <row r="106" spans="1:11">
      <c r="A106">
        <v>753521</v>
      </c>
      <c r="B106" t="s">
        <v>400</v>
      </c>
      <c r="C106" t="s">
        <v>367</v>
      </c>
      <c r="D106" t="s">
        <v>368</v>
      </c>
      <c r="E106">
        <v>2</v>
      </c>
      <c r="F106">
        <v>1</v>
      </c>
      <c r="H106">
        <v>1</v>
      </c>
      <c r="K106">
        <v>33</v>
      </c>
    </row>
    <row r="107" spans="1:11">
      <c r="A107">
        <v>753522</v>
      </c>
      <c r="B107" t="s">
        <v>401</v>
      </c>
      <c r="C107" t="s">
        <v>367</v>
      </c>
      <c r="D107" t="s">
        <v>368</v>
      </c>
      <c r="E107">
        <v>2</v>
      </c>
      <c r="F107">
        <v>1</v>
      </c>
      <c r="H107">
        <v>1</v>
      </c>
      <c r="K107">
        <v>34</v>
      </c>
    </row>
    <row r="108" spans="1:11">
      <c r="A108">
        <v>753523</v>
      </c>
      <c r="B108" t="s">
        <v>402</v>
      </c>
      <c r="C108" t="s">
        <v>367</v>
      </c>
      <c r="D108" t="s">
        <v>368</v>
      </c>
      <c r="E108">
        <v>2</v>
      </c>
      <c r="F108">
        <v>1</v>
      </c>
      <c r="H108">
        <v>1</v>
      </c>
      <c r="K108">
        <v>35</v>
      </c>
    </row>
    <row r="109" spans="1:11">
      <c r="A109">
        <v>753524</v>
      </c>
      <c r="B109" t="s">
        <v>403</v>
      </c>
      <c r="C109" t="s">
        <v>367</v>
      </c>
      <c r="D109" t="s">
        <v>368</v>
      </c>
      <c r="E109">
        <v>2</v>
      </c>
      <c r="F109">
        <v>1</v>
      </c>
      <c r="H109">
        <v>1</v>
      </c>
      <c r="K109">
        <v>36</v>
      </c>
    </row>
    <row r="110" spans="1:11">
      <c r="A110">
        <v>753525</v>
      </c>
      <c r="B110" t="s">
        <v>404</v>
      </c>
      <c r="C110" t="s">
        <v>367</v>
      </c>
      <c r="D110" t="s">
        <v>368</v>
      </c>
      <c r="E110">
        <v>2</v>
      </c>
      <c r="F110">
        <v>1</v>
      </c>
      <c r="H110">
        <v>1</v>
      </c>
      <c r="K110">
        <v>37</v>
      </c>
    </row>
    <row r="111" spans="1:11">
      <c r="A111">
        <v>753526</v>
      </c>
      <c r="B111" t="s">
        <v>405</v>
      </c>
      <c r="C111" t="s">
        <v>367</v>
      </c>
      <c r="D111" t="s">
        <v>368</v>
      </c>
      <c r="E111">
        <v>2</v>
      </c>
      <c r="F111">
        <v>1</v>
      </c>
      <c r="H111">
        <v>1</v>
      </c>
      <c r="K111">
        <v>38</v>
      </c>
    </row>
    <row r="112" spans="1:11">
      <c r="A112">
        <v>753527</v>
      </c>
      <c r="B112" t="s">
        <v>406</v>
      </c>
      <c r="C112" t="s">
        <v>367</v>
      </c>
      <c r="D112" t="s">
        <v>368</v>
      </c>
      <c r="E112">
        <v>2</v>
      </c>
      <c r="F112">
        <v>1</v>
      </c>
      <c r="H112">
        <v>1</v>
      </c>
      <c r="K112">
        <v>39</v>
      </c>
    </row>
    <row r="113" spans="1:11">
      <c r="A113">
        <v>753528</v>
      </c>
      <c r="B113" t="s">
        <v>407</v>
      </c>
      <c r="C113" t="s">
        <v>367</v>
      </c>
      <c r="D113" t="s">
        <v>368</v>
      </c>
      <c r="E113">
        <v>2</v>
      </c>
      <c r="F113">
        <v>1</v>
      </c>
      <c r="H113">
        <v>1</v>
      </c>
      <c r="K113">
        <v>40</v>
      </c>
    </row>
    <row r="114" spans="1:11">
      <c r="A114">
        <v>753529</v>
      </c>
      <c r="B114" t="s">
        <v>408</v>
      </c>
      <c r="C114" t="s">
        <v>367</v>
      </c>
      <c r="D114" t="s">
        <v>368</v>
      </c>
      <c r="E114">
        <v>2</v>
      </c>
      <c r="F114">
        <v>1</v>
      </c>
      <c r="H114">
        <v>1</v>
      </c>
      <c r="K114">
        <v>41</v>
      </c>
    </row>
    <row r="115" spans="1:11">
      <c r="A115">
        <v>753530</v>
      </c>
      <c r="B115" t="s">
        <v>409</v>
      </c>
      <c r="C115" t="s">
        <v>367</v>
      </c>
      <c r="D115" t="s">
        <v>368</v>
      </c>
      <c r="E115">
        <v>2</v>
      </c>
      <c r="F115">
        <v>1</v>
      </c>
      <c r="H115">
        <v>1</v>
      </c>
      <c r="K115">
        <v>42</v>
      </c>
    </row>
    <row r="116" spans="1:11">
      <c r="A116">
        <v>753531</v>
      </c>
      <c r="B116" t="s">
        <v>410</v>
      </c>
      <c r="C116" t="s">
        <v>367</v>
      </c>
      <c r="D116" t="s">
        <v>368</v>
      </c>
      <c r="E116">
        <v>2</v>
      </c>
      <c r="F116">
        <v>1</v>
      </c>
      <c r="H116">
        <v>1</v>
      </c>
      <c r="K116">
        <v>43</v>
      </c>
    </row>
    <row r="117" spans="1:11">
      <c r="A117">
        <v>753532</v>
      </c>
      <c r="B117" t="s">
        <v>411</v>
      </c>
      <c r="C117" t="s">
        <v>367</v>
      </c>
      <c r="D117" t="s">
        <v>368</v>
      </c>
      <c r="E117">
        <v>2</v>
      </c>
      <c r="F117">
        <v>1</v>
      </c>
      <c r="H117">
        <v>1</v>
      </c>
      <c r="K117">
        <v>44</v>
      </c>
    </row>
    <row r="118" spans="1:11">
      <c r="A118">
        <v>753533</v>
      </c>
      <c r="B118" t="s">
        <v>412</v>
      </c>
      <c r="C118" t="s">
        <v>367</v>
      </c>
      <c r="D118" t="s">
        <v>368</v>
      </c>
      <c r="E118">
        <v>2</v>
      </c>
      <c r="F118">
        <v>1</v>
      </c>
      <c r="H118">
        <v>1</v>
      </c>
      <c r="K118">
        <v>45</v>
      </c>
    </row>
    <row r="119" spans="1:11">
      <c r="A119">
        <v>753534</v>
      </c>
      <c r="B119" t="s">
        <v>413</v>
      </c>
      <c r="C119" t="s">
        <v>367</v>
      </c>
      <c r="D119" t="s">
        <v>368</v>
      </c>
      <c r="E119">
        <v>2</v>
      </c>
      <c r="F119">
        <v>1</v>
      </c>
      <c r="H119">
        <v>1</v>
      </c>
      <c r="K119">
        <v>46</v>
      </c>
    </row>
    <row r="120" spans="1:11">
      <c r="A120">
        <v>753535</v>
      </c>
      <c r="B120" t="s">
        <v>414</v>
      </c>
      <c r="C120" t="s">
        <v>367</v>
      </c>
      <c r="D120" t="s">
        <v>368</v>
      </c>
      <c r="E120">
        <v>2</v>
      </c>
      <c r="F120">
        <v>1</v>
      </c>
      <c r="H120">
        <v>1</v>
      </c>
      <c r="K120">
        <v>47</v>
      </c>
    </row>
    <row r="121" spans="1:11">
      <c r="A121">
        <v>753536</v>
      </c>
      <c r="B121" t="s">
        <v>415</v>
      </c>
      <c r="C121" t="s">
        <v>367</v>
      </c>
      <c r="D121" t="s">
        <v>368</v>
      </c>
      <c r="E121">
        <v>2</v>
      </c>
      <c r="F121">
        <v>1</v>
      </c>
      <c r="H121">
        <v>1</v>
      </c>
      <c r="K121">
        <v>48</v>
      </c>
    </row>
    <row r="122" spans="1:11">
      <c r="A122">
        <v>753537</v>
      </c>
      <c r="B122" t="s">
        <v>416</v>
      </c>
      <c r="C122" t="s">
        <v>367</v>
      </c>
      <c r="D122" t="s">
        <v>368</v>
      </c>
      <c r="E122">
        <v>2</v>
      </c>
      <c r="F122">
        <v>1</v>
      </c>
      <c r="H122">
        <v>1</v>
      </c>
      <c r="K122">
        <v>49</v>
      </c>
    </row>
    <row r="123" spans="1:11">
      <c r="A123">
        <v>753538</v>
      </c>
      <c r="B123" t="s">
        <v>417</v>
      </c>
      <c r="C123" t="s">
        <v>367</v>
      </c>
      <c r="D123" t="s">
        <v>368</v>
      </c>
      <c r="E123">
        <v>2</v>
      </c>
      <c r="F123">
        <v>1</v>
      </c>
      <c r="H123">
        <v>1</v>
      </c>
      <c r="K123">
        <v>50</v>
      </c>
    </row>
    <row r="124" spans="1:11">
      <c r="A124">
        <v>753539</v>
      </c>
      <c r="B124" t="s">
        <v>418</v>
      </c>
      <c r="C124" t="s">
        <v>367</v>
      </c>
      <c r="D124" t="s">
        <v>368</v>
      </c>
      <c r="E124">
        <v>2</v>
      </c>
      <c r="F124">
        <v>1</v>
      </c>
      <c r="H124">
        <v>1</v>
      </c>
      <c r="K124">
        <v>51</v>
      </c>
    </row>
    <row r="125" spans="1:11">
      <c r="A125">
        <v>753540</v>
      </c>
      <c r="B125" t="s">
        <v>419</v>
      </c>
      <c r="C125" t="s">
        <v>367</v>
      </c>
      <c r="D125" t="s">
        <v>368</v>
      </c>
      <c r="E125">
        <v>2</v>
      </c>
      <c r="F125">
        <v>1</v>
      </c>
      <c r="H125">
        <v>1</v>
      </c>
      <c r="K125">
        <v>52</v>
      </c>
    </row>
    <row r="126" spans="1:11">
      <c r="A126">
        <v>753541</v>
      </c>
      <c r="B126" t="s">
        <v>420</v>
      </c>
      <c r="C126" t="s">
        <v>367</v>
      </c>
      <c r="D126" t="s">
        <v>368</v>
      </c>
      <c r="E126">
        <v>2</v>
      </c>
      <c r="F126">
        <v>1</v>
      </c>
      <c r="H126">
        <v>1</v>
      </c>
      <c r="K126">
        <v>53</v>
      </c>
    </row>
    <row r="127" spans="1:11">
      <c r="A127">
        <v>753542</v>
      </c>
      <c r="B127" t="s">
        <v>421</v>
      </c>
      <c r="C127" t="s">
        <v>367</v>
      </c>
      <c r="D127" t="s">
        <v>368</v>
      </c>
      <c r="E127">
        <v>2</v>
      </c>
      <c r="F127">
        <v>1</v>
      </c>
      <c r="H127">
        <v>1</v>
      </c>
      <c r="K127">
        <v>54</v>
      </c>
    </row>
    <row r="128" spans="1:11">
      <c r="A128">
        <v>753543</v>
      </c>
      <c r="B128" t="s">
        <v>422</v>
      </c>
      <c r="C128" t="s">
        <v>367</v>
      </c>
      <c r="D128" t="s">
        <v>368</v>
      </c>
      <c r="E128">
        <v>2</v>
      </c>
      <c r="F128">
        <v>1</v>
      </c>
      <c r="H128">
        <v>1</v>
      </c>
      <c r="K128">
        <v>55</v>
      </c>
    </row>
    <row r="129" spans="1:11">
      <c r="A129">
        <v>753544</v>
      </c>
      <c r="B129" t="s">
        <v>423</v>
      </c>
      <c r="C129" t="s">
        <v>367</v>
      </c>
      <c r="D129" t="s">
        <v>368</v>
      </c>
      <c r="E129">
        <v>2</v>
      </c>
      <c r="F129">
        <v>1</v>
      </c>
      <c r="H129">
        <v>1</v>
      </c>
      <c r="K129">
        <v>56</v>
      </c>
    </row>
    <row r="130" spans="1:11">
      <c r="A130">
        <v>753545</v>
      </c>
      <c r="B130" t="s">
        <v>424</v>
      </c>
      <c r="C130" t="s">
        <v>367</v>
      </c>
      <c r="D130" t="s">
        <v>368</v>
      </c>
      <c r="E130">
        <v>2</v>
      </c>
      <c r="F130">
        <v>1</v>
      </c>
      <c r="H130">
        <v>1</v>
      </c>
      <c r="K130">
        <v>57</v>
      </c>
    </row>
    <row r="131" spans="1:11">
      <c r="A131">
        <v>753546</v>
      </c>
      <c r="B131" t="s">
        <v>425</v>
      </c>
      <c r="C131" t="s">
        <v>367</v>
      </c>
      <c r="D131" t="s">
        <v>368</v>
      </c>
      <c r="E131">
        <v>2</v>
      </c>
      <c r="F131">
        <v>1</v>
      </c>
      <c r="H131">
        <v>1</v>
      </c>
      <c r="K131">
        <v>58</v>
      </c>
    </row>
    <row r="132" spans="1:11">
      <c r="A132">
        <v>753547</v>
      </c>
      <c r="B132" t="s">
        <v>426</v>
      </c>
      <c r="C132" t="s">
        <v>367</v>
      </c>
      <c r="D132" t="s">
        <v>368</v>
      </c>
      <c r="E132">
        <v>2</v>
      </c>
      <c r="F132">
        <v>1</v>
      </c>
      <c r="H132">
        <v>1</v>
      </c>
      <c r="K132">
        <v>59</v>
      </c>
    </row>
    <row r="133" spans="1:11">
      <c r="A133">
        <v>753548</v>
      </c>
      <c r="B133" t="s">
        <v>427</v>
      </c>
      <c r="C133" t="s">
        <v>367</v>
      </c>
      <c r="D133" t="s">
        <v>368</v>
      </c>
      <c r="E133">
        <v>2</v>
      </c>
      <c r="F133">
        <v>1</v>
      </c>
      <c r="H133">
        <v>1</v>
      </c>
      <c r="K133">
        <v>60</v>
      </c>
    </row>
    <row r="134" spans="1:11">
      <c r="A134">
        <v>753549</v>
      </c>
      <c r="B134" t="s">
        <v>428</v>
      </c>
      <c r="C134" t="s">
        <v>367</v>
      </c>
      <c r="D134" t="s">
        <v>368</v>
      </c>
      <c r="E134">
        <v>2</v>
      </c>
      <c r="F134">
        <v>1</v>
      </c>
      <c r="H134">
        <v>1</v>
      </c>
      <c r="K134">
        <v>61</v>
      </c>
    </row>
    <row r="135" spans="1:11">
      <c r="A135">
        <v>753550</v>
      </c>
      <c r="B135" t="s">
        <v>429</v>
      </c>
      <c r="C135" t="s">
        <v>367</v>
      </c>
      <c r="D135" t="s">
        <v>368</v>
      </c>
      <c r="E135">
        <v>2</v>
      </c>
      <c r="F135">
        <v>1</v>
      </c>
      <c r="H135">
        <v>1</v>
      </c>
      <c r="K135">
        <v>62</v>
      </c>
    </row>
    <row r="136" spans="1:11">
      <c r="A136">
        <v>753551</v>
      </c>
      <c r="B136" t="s">
        <v>430</v>
      </c>
      <c r="C136" t="s">
        <v>367</v>
      </c>
      <c r="D136" t="s">
        <v>368</v>
      </c>
      <c r="E136">
        <v>2</v>
      </c>
      <c r="F136">
        <v>1</v>
      </c>
      <c r="H136">
        <v>1</v>
      </c>
      <c r="K136">
        <v>63</v>
      </c>
    </row>
    <row r="137" spans="1:11">
      <c r="A137">
        <v>753552</v>
      </c>
      <c r="B137" t="s">
        <v>431</v>
      </c>
      <c r="C137" t="s">
        <v>367</v>
      </c>
      <c r="D137" t="s">
        <v>368</v>
      </c>
      <c r="E137">
        <v>2</v>
      </c>
      <c r="F137">
        <v>1</v>
      </c>
      <c r="H137">
        <v>1</v>
      </c>
      <c r="K137">
        <v>64</v>
      </c>
    </row>
    <row r="138" spans="1:11">
      <c r="A138">
        <v>753553</v>
      </c>
      <c r="B138" t="s">
        <v>432</v>
      </c>
      <c r="C138" t="s">
        <v>367</v>
      </c>
      <c r="D138" t="s">
        <v>368</v>
      </c>
      <c r="E138">
        <v>2</v>
      </c>
      <c r="F138">
        <v>1</v>
      </c>
      <c r="H138">
        <v>1</v>
      </c>
      <c r="K138">
        <v>65</v>
      </c>
    </row>
    <row r="139" spans="1:11">
      <c r="A139">
        <v>753554</v>
      </c>
      <c r="B139" t="s">
        <v>433</v>
      </c>
      <c r="C139" t="s">
        <v>367</v>
      </c>
      <c r="D139" t="s">
        <v>368</v>
      </c>
      <c r="E139">
        <v>2</v>
      </c>
      <c r="F139">
        <v>1</v>
      </c>
      <c r="H139">
        <v>1</v>
      </c>
      <c r="K139">
        <v>66</v>
      </c>
    </row>
    <row r="140" spans="1:11">
      <c r="A140">
        <v>753555</v>
      </c>
      <c r="B140" t="s">
        <v>434</v>
      </c>
      <c r="C140" t="s">
        <v>367</v>
      </c>
      <c r="D140" t="s">
        <v>368</v>
      </c>
      <c r="E140">
        <v>2</v>
      </c>
      <c r="F140">
        <v>1</v>
      </c>
      <c r="H140">
        <v>1</v>
      </c>
      <c r="K140">
        <v>67</v>
      </c>
    </row>
    <row r="141" spans="1:11">
      <c r="A141">
        <v>753556</v>
      </c>
      <c r="B141" t="s">
        <v>435</v>
      </c>
      <c r="C141" t="s">
        <v>367</v>
      </c>
      <c r="D141" t="s">
        <v>368</v>
      </c>
      <c r="E141">
        <v>2</v>
      </c>
      <c r="F141">
        <v>1</v>
      </c>
      <c r="H141">
        <v>1</v>
      </c>
      <c r="K141">
        <v>68</v>
      </c>
    </row>
    <row r="142" spans="1:11">
      <c r="A142">
        <v>753557</v>
      </c>
      <c r="B142" t="s">
        <v>436</v>
      </c>
      <c r="C142" t="s">
        <v>367</v>
      </c>
      <c r="D142" t="s">
        <v>368</v>
      </c>
      <c r="E142">
        <v>2</v>
      </c>
      <c r="F142">
        <v>1</v>
      </c>
      <c r="H142">
        <v>1</v>
      </c>
      <c r="K142">
        <v>69</v>
      </c>
    </row>
    <row r="143" spans="1:11">
      <c r="A143">
        <v>753558</v>
      </c>
      <c r="B143" t="s">
        <v>437</v>
      </c>
      <c r="C143" t="s">
        <v>367</v>
      </c>
      <c r="D143" t="s">
        <v>368</v>
      </c>
      <c r="E143">
        <v>2</v>
      </c>
      <c r="F143">
        <v>1</v>
      </c>
      <c r="H143">
        <v>1</v>
      </c>
      <c r="K143">
        <v>70</v>
      </c>
    </row>
    <row r="144" spans="1:11">
      <c r="A144">
        <v>753559</v>
      </c>
      <c r="B144" t="s">
        <v>438</v>
      </c>
      <c r="C144" t="s">
        <v>367</v>
      </c>
      <c r="D144" t="s">
        <v>368</v>
      </c>
      <c r="E144">
        <v>2</v>
      </c>
      <c r="F144">
        <v>1</v>
      </c>
      <c r="H144">
        <v>1</v>
      </c>
      <c r="K144">
        <v>71</v>
      </c>
    </row>
    <row r="145" spans="1:11">
      <c r="A145">
        <v>753560</v>
      </c>
      <c r="B145" t="s">
        <v>439</v>
      </c>
      <c r="C145" t="s">
        <v>367</v>
      </c>
      <c r="D145" t="s">
        <v>368</v>
      </c>
      <c r="E145">
        <v>2</v>
      </c>
      <c r="F145">
        <v>1</v>
      </c>
      <c r="H145">
        <v>1</v>
      </c>
      <c r="K145">
        <v>72</v>
      </c>
    </row>
    <row r="146" spans="1:11">
      <c r="A146">
        <v>754015</v>
      </c>
      <c r="B146" t="s">
        <v>440</v>
      </c>
      <c r="C146" t="s">
        <v>441</v>
      </c>
      <c r="D146" t="s">
        <v>442</v>
      </c>
      <c r="E146">
        <v>3</v>
      </c>
      <c r="F146">
        <v>1</v>
      </c>
      <c r="H146">
        <v>1</v>
      </c>
      <c r="K146">
        <v>1</v>
      </c>
    </row>
    <row r="147" spans="1:11">
      <c r="A147">
        <v>754016</v>
      </c>
      <c r="B147" t="s">
        <v>443</v>
      </c>
      <c r="C147" t="s">
        <v>441</v>
      </c>
      <c r="D147" t="s">
        <v>442</v>
      </c>
      <c r="E147">
        <v>3</v>
      </c>
      <c r="F147">
        <v>1</v>
      </c>
      <c r="H147">
        <v>1</v>
      </c>
      <c r="K147">
        <v>2</v>
      </c>
    </row>
    <row r="148" spans="1:11">
      <c r="A148">
        <v>754017</v>
      </c>
      <c r="B148" t="s">
        <v>444</v>
      </c>
      <c r="C148" t="s">
        <v>441</v>
      </c>
      <c r="D148" t="s">
        <v>442</v>
      </c>
      <c r="E148">
        <v>3</v>
      </c>
      <c r="F148">
        <v>1</v>
      </c>
      <c r="H148">
        <v>1</v>
      </c>
      <c r="K148">
        <v>3</v>
      </c>
    </row>
    <row r="149" spans="1:11">
      <c r="A149">
        <v>754018</v>
      </c>
      <c r="B149" t="s">
        <v>445</v>
      </c>
      <c r="C149" t="s">
        <v>441</v>
      </c>
      <c r="D149" t="s">
        <v>442</v>
      </c>
      <c r="E149">
        <v>3</v>
      </c>
      <c r="F149">
        <v>1</v>
      </c>
      <c r="H149">
        <v>1</v>
      </c>
      <c r="K149">
        <v>4</v>
      </c>
    </row>
    <row r="150" spans="1:11">
      <c r="A150">
        <v>754019</v>
      </c>
      <c r="B150" t="s">
        <v>446</v>
      </c>
      <c r="C150" t="s">
        <v>441</v>
      </c>
      <c r="D150" t="s">
        <v>442</v>
      </c>
      <c r="E150">
        <v>3</v>
      </c>
      <c r="F150">
        <v>1</v>
      </c>
      <c r="H150">
        <v>1</v>
      </c>
      <c r="K150">
        <v>5</v>
      </c>
    </row>
    <row r="151" spans="1:11">
      <c r="A151">
        <v>754020</v>
      </c>
      <c r="B151" t="s">
        <v>447</v>
      </c>
      <c r="C151" t="s">
        <v>441</v>
      </c>
      <c r="D151" t="s">
        <v>442</v>
      </c>
      <c r="E151">
        <v>3</v>
      </c>
      <c r="F151">
        <v>1</v>
      </c>
      <c r="H151">
        <v>1</v>
      </c>
      <c r="K151">
        <v>6</v>
      </c>
    </row>
    <row r="152" spans="1:11">
      <c r="A152">
        <v>754021</v>
      </c>
      <c r="B152" t="s">
        <v>448</v>
      </c>
      <c r="C152" t="s">
        <v>441</v>
      </c>
      <c r="D152" t="s">
        <v>442</v>
      </c>
      <c r="E152">
        <v>3</v>
      </c>
      <c r="F152">
        <v>1</v>
      </c>
      <c r="H152">
        <v>1</v>
      </c>
      <c r="K152">
        <v>7</v>
      </c>
    </row>
    <row r="153" spans="1:11">
      <c r="A153">
        <v>754022</v>
      </c>
      <c r="B153" t="s">
        <v>449</v>
      </c>
      <c r="C153" t="s">
        <v>441</v>
      </c>
      <c r="D153" t="s">
        <v>442</v>
      </c>
      <c r="E153">
        <v>3</v>
      </c>
      <c r="F153">
        <v>1</v>
      </c>
      <c r="H153">
        <v>1</v>
      </c>
      <c r="K153">
        <v>8</v>
      </c>
    </row>
    <row r="154" spans="1:11">
      <c r="A154">
        <v>754023</v>
      </c>
      <c r="B154" t="s">
        <v>450</v>
      </c>
      <c r="C154" t="s">
        <v>441</v>
      </c>
      <c r="D154" t="s">
        <v>442</v>
      </c>
      <c r="E154">
        <v>3</v>
      </c>
      <c r="F154">
        <v>1</v>
      </c>
      <c r="H154">
        <v>1</v>
      </c>
      <c r="K154">
        <v>9</v>
      </c>
    </row>
    <row r="155" spans="1:11">
      <c r="A155">
        <v>754024</v>
      </c>
      <c r="B155" t="s">
        <v>451</v>
      </c>
      <c r="C155" t="s">
        <v>441</v>
      </c>
      <c r="D155" t="s">
        <v>442</v>
      </c>
      <c r="E155">
        <v>3</v>
      </c>
      <c r="F155">
        <v>1</v>
      </c>
      <c r="H155">
        <v>1</v>
      </c>
      <c r="K155">
        <v>10</v>
      </c>
    </row>
    <row r="156" spans="1:11">
      <c r="A156">
        <v>754025</v>
      </c>
      <c r="B156" t="s">
        <v>452</v>
      </c>
      <c r="C156" t="s">
        <v>441</v>
      </c>
      <c r="D156" t="s">
        <v>442</v>
      </c>
      <c r="E156">
        <v>3</v>
      </c>
      <c r="F156">
        <v>1</v>
      </c>
      <c r="H156">
        <v>1</v>
      </c>
      <c r="K156">
        <v>11</v>
      </c>
    </row>
    <row r="157" spans="1:11">
      <c r="A157">
        <v>754026</v>
      </c>
      <c r="B157" t="s">
        <v>453</v>
      </c>
      <c r="C157" t="s">
        <v>441</v>
      </c>
      <c r="D157" t="s">
        <v>442</v>
      </c>
      <c r="E157">
        <v>3</v>
      </c>
      <c r="F157">
        <v>1</v>
      </c>
      <c r="H157">
        <v>1</v>
      </c>
      <c r="K157">
        <v>12</v>
      </c>
    </row>
    <row r="158" spans="1:11">
      <c r="A158">
        <v>754027</v>
      </c>
      <c r="B158" t="s">
        <v>454</v>
      </c>
      <c r="C158" t="s">
        <v>441</v>
      </c>
      <c r="D158" t="s">
        <v>442</v>
      </c>
      <c r="E158">
        <v>3</v>
      </c>
      <c r="F158">
        <v>1</v>
      </c>
      <c r="H158">
        <v>1</v>
      </c>
      <c r="K158">
        <v>13</v>
      </c>
    </row>
    <row r="159" spans="1:11">
      <c r="A159">
        <v>754028</v>
      </c>
      <c r="B159" t="s">
        <v>455</v>
      </c>
      <c r="C159" t="s">
        <v>441</v>
      </c>
      <c r="D159" t="s">
        <v>442</v>
      </c>
      <c r="E159">
        <v>3</v>
      </c>
      <c r="F159">
        <v>1</v>
      </c>
      <c r="H159">
        <v>1</v>
      </c>
      <c r="K159">
        <v>14</v>
      </c>
    </row>
    <row r="160" spans="1:11">
      <c r="A160">
        <v>754029</v>
      </c>
      <c r="B160" t="s">
        <v>456</v>
      </c>
      <c r="C160" t="s">
        <v>441</v>
      </c>
      <c r="D160" t="s">
        <v>442</v>
      </c>
      <c r="E160">
        <v>3</v>
      </c>
      <c r="F160">
        <v>1</v>
      </c>
      <c r="H160">
        <v>1</v>
      </c>
      <c r="K160">
        <v>15</v>
      </c>
    </row>
    <row r="161" spans="1:11">
      <c r="A161">
        <v>754030</v>
      </c>
      <c r="B161" t="s">
        <v>457</v>
      </c>
      <c r="C161" t="s">
        <v>441</v>
      </c>
      <c r="D161" t="s">
        <v>442</v>
      </c>
      <c r="E161">
        <v>3</v>
      </c>
      <c r="F161">
        <v>1</v>
      </c>
      <c r="H161">
        <v>1</v>
      </c>
      <c r="K161">
        <v>16</v>
      </c>
    </row>
    <row r="162" spans="1:11">
      <c r="A162">
        <v>754031</v>
      </c>
      <c r="B162" t="s">
        <v>458</v>
      </c>
      <c r="C162" t="s">
        <v>441</v>
      </c>
      <c r="D162" t="s">
        <v>442</v>
      </c>
      <c r="E162">
        <v>3</v>
      </c>
      <c r="F162">
        <v>1</v>
      </c>
      <c r="H162">
        <v>1</v>
      </c>
      <c r="K162">
        <v>17</v>
      </c>
    </row>
    <row r="163" spans="1:11">
      <c r="A163">
        <v>754032</v>
      </c>
      <c r="B163" t="s">
        <v>459</v>
      </c>
      <c r="C163" t="s">
        <v>441</v>
      </c>
      <c r="D163" t="s">
        <v>442</v>
      </c>
      <c r="E163">
        <v>3</v>
      </c>
      <c r="F163">
        <v>1</v>
      </c>
      <c r="H163">
        <v>1</v>
      </c>
      <c r="K163">
        <v>18</v>
      </c>
    </row>
    <row r="164" spans="1:11">
      <c r="A164">
        <v>754033</v>
      </c>
      <c r="B164" t="s">
        <v>460</v>
      </c>
      <c r="C164" t="s">
        <v>441</v>
      </c>
      <c r="D164" t="s">
        <v>442</v>
      </c>
      <c r="E164">
        <v>3</v>
      </c>
      <c r="F164">
        <v>1</v>
      </c>
      <c r="H164">
        <v>1</v>
      </c>
      <c r="K164">
        <v>19</v>
      </c>
    </row>
    <row r="165" spans="1:11">
      <c r="A165">
        <v>754034</v>
      </c>
      <c r="B165" t="s">
        <v>461</v>
      </c>
      <c r="C165" t="s">
        <v>441</v>
      </c>
      <c r="D165" t="s">
        <v>442</v>
      </c>
      <c r="E165">
        <v>3</v>
      </c>
      <c r="F165">
        <v>1</v>
      </c>
      <c r="H165">
        <v>1</v>
      </c>
      <c r="K165">
        <v>20</v>
      </c>
    </row>
    <row r="166" spans="1:11">
      <c r="A166">
        <v>754035</v>
      </c>
      <c r="B166" t="s">
        <v>462</v>
      </c>
      <c r="C166" t="s">
        <v>441</v>
      </c>
      <c r="D166" t="s">
        <v>442</v>
      </c>
      <c r="E166">
        <v>3</v>
      </c>
      <c r="F166">
        <v>1</v>
      </c>
      <c r="H166">
        <v>1</v>
      </c>
      <c r="K166">
        <v>21</v>
      </c>
    </row>
    <row r="167" spans="1:11">
      <c r="A167">
        <v>754036</v>
      </c>
      <c r="B167" t="s">
        <v>463</v>
      </c>
      <c r="C167" t="s">
        <v>441</v>
      </c>
      <c r="D167" t="s">
        <v>442</v>
      </c>
      <c r="E167">
        <v>3</v>
      </c>
      <c r="F167">
        <v>1</v>
      </c>
      <c r="H167">
        <v>1</v>
      </c>
      <c r="K167">
        <v>22</v>
      </c>
    </row>
    <row r="168" spans="1:11">
      <c r="A168">
        <v>754037</v>
      </c>
      <c r="B168" t="s">
        <v>464</v>
      </c>
      <c r="C168" t="s">
        <v>441</v>
      </c>
      <c r="D168" t="s">
        <v>442</v>
      </c>
      <c r="E168">
        <v>3</v>
      </c>
      <c r="F168">
        <v>1</v>
      </c>
      <c r="H168">
        <v>1</v>
      </c>
      <c r="K168">
        <v>23</v>
      </c>
    </row>
    <row r="169" spans="1:11">
      <c r="A169">
        <v>754038</v>
      </c>
      <c r="B169" t="s">
        <v>465</v>
      </c>
      <c r="C169" t="s">
        <v>441</v>
      </c>
      <c r="D169" t="s">
        <v>442</v>
      </c>
      <c r="E169">
        <v>3</v>
      </c>
      <c r="F169">
        <v>1</v>
      </c>
      <c r="H169">
        <v>1</v>
      </c>
      <c r="K169">
        <v>24</v>
      </c>
    </row>
    <row r="170" spans="1:11">
      <c r="A170">
        <v>754039</v>
      </c>
      <c r="B170" t="s">
        <v>466</v>
      </c>
      <c r="C170" t="s">
        <v>441</v>
      </c>
      <c r="D170" t="s">
        <v>442</v>
      </c>
      <c r="E170">
        <v>3</v>
      </c>
      <c r="F170">
        <v>1</v>
      </c>
      <c r="H170">
        <v>1</v>
      </c>
      <c r="K170">
        <v>25</v>
      </c>
    </row>
    <row r="171" spans="1:11">
      <c r="A171">
        <v>754040</v>
      </c>
      <c r="B171" t="s">
        <v>467</v>
      </c>
      <c r="C171" t="s">
        <v>441</v>
      </c>
      <c r="D171" t="s">
        <v>442</v>
      </c>
      <c r="E171">
        <v>3</v>
      </c>
      <c r="F171">
        <v>1</v>
      </c>
      <c r="H171">
        <v>1</v>
      </c>
      <c r="K171">
        <v>26</v>
      </c>
    </row>
    <row r="172" spans="1:11">
      <c r="A172">
        <v>754041</v>
      </c>
      <c r="B172" t="s">
        <v>468</v>
      </c>
      <c r="C172" t="s">
        <v>441</v>
      </c>
      <c r="D172" t="s">
        <v>442</v>
      </c>
      <c r="E172">
        <v>3</v>
      </c>
      <c r="F172">
        <v>1</v>
      </c>
      <c r="H172">
        <v>1</v>
      </c>
      <c r="K172">
        <v>27</v>
      </c>
    </row>
    <row r="173" spans="1:11">
      <c r="A173">
        <v>754042</v>
      </c>
      <c r="B173" t="s">
        <v>469</v>
      </c>
      <c r="C173" t="s">
        <v>441</v>
      </c>
      <c r="D173" t="s">
        <v>442</v>
      </c>
      <c r="E173">
        <v>3</v>
      </c>
      <c r="F173">
        <v>1</v>
      </c>
      <c r="H173">
        <v>1</v>
      </c>
      <c r="K173">
        <v>28</v>
      </c>
    </row>
    <row r="174" spans="1:11">
      <c r="A174">
        <v>754043</v>
      </c>
      <c r="B174" t="s">
        <v>470</v>
      </c>
      <c r="C174" t="s">
        <v>441</v>
      </c>
      <c r="D174" t="s">
        <v>442</v>
      </c>
      <c r="E174">
        <v>3</v>
      </c>
      <c r="F174">
        <v>1</v>
      </c>
      <c r="H174">
        <v>1</v>
      </c>
      <c r="K174">
        <v>29</v>
      </c>
    </row>
    <row r="175" spans="1:11">
      <c r="A175">
        <v>754044</v>
      </c>
      <c r="B175" t="s">
        <v>471</v>
      </c>
      <c r="C175" t="s">
        <v>441</v>
      </c>
      <c r="D175" t="s">
        <v>442</v>
      </c>
      <c r="E175">
        <v>3</v>
      </c>
      <c r="F175">
        <v>1</v>
      </c>
      <c r="H175">
        <v>1</v>
      </c>
      <c r="K175">
        <v>30</v>
      </c>
    </row>
    <row r="176" spans="1:11">
      <c r="A176">
        <v>754045</v>
      </c>
      <c r="B176" t="s">
        <v>472</v>
      </c>
      <c r="C176" t="s">
        <v>441</v>
      </c>
      <c r="D176" t="s">
        <v>442</v>
      </c>
      <c r="E176">
        <v>3</v>
      </c>
      <c r="F176">
        <v>1</v>
      </c>
      <c r="H176">
        <v>1</v>
      </c>
      <c r="K176">
        <v>31</v>
      </c>
    </row>
    <row r="177" spans="1:11">
      <c r="A177">
        <v>754046</v>
      </c>
      <c r="B177" t="s">
        <v>473</v>
      </c>
      <c r="C177" t="s">
        <v>441</v>
      </c>
      <c r="D177" t="s">
        <v>442</v>
      </c>
      <c r="E177">
        <v>3</v>
      </c>
      <c r="F177">
        <v>1</v>
      </c>
      <c r="H177">
        <v>1</v>
      </c>
      <c r="K177">
        <v>32</v>
      </c>
    </row>
    <row r="178" spans="1:11">
      <c r="A178">
        <v>754047</v>
      </c>
      <c r="B178" t="s">
        <v>474</v>
      </c>
      <c r="C178" t="s">
        <v>441</v>
      </c>
      <c r="D178" t="s">
        <v>442</v>
      </c>
      <c r="E178">
        <v>3</v>
      </c>
      <c r="F178">
        <v>1</v>
      </c>
      <c r="H178">
        <v>1</v>
      </c>
      <c r="K178">
        <v>33</v>
      </c>
    </row>
    <row r="179" spans="1:11">
      <c r="A179">
        <v>754048</v>
      </c>
      <c r="B179" t="s">
        <v>475</v>
      </c>
      <c r="C179" t="s">
        <v>441</v>
      </c>
      <c r="D179" t="s">
        <v>442</v>
      </c>
      <c r="E179">
        <v>3</v>
      </c>
      <c r="F179">
        <v>1</v>
      </c>
      <c r="H179">
        <v>1</v>
      </c>
      <c r="K179">
        <v>34</v>
      </c>
    </row>
    <row r="180" spans="1:11">
      <c r="A180">
        <v>754049</v>
      </c>
      <c r="B180" t="s">
        <v>476</v>
      </c>
      <c r="C180" t="s">
        <v>441</v>
      </c>
      <c r="D180" t="s">
        <v>442</v>
      </c>
      <c r="E180">
        <v>3</v>
      </c>
      <c r="F180">
        <v>1</v>
      </c>
      <c r="H180">
        <v>1</v>
      </c>
      <c r="K180">
        <v>35</v>
      </c>
    </row>
    <row r="181" spans="1:11">
      <c r="A181">
        <v>754050</v>
      </c>
      <c r="B181" t="s">
        <v>477</v>
      </c>
      <c r="C181" t="s">
        <v>441</v>
      </c>
      <c r="D181" t="s">
        <v>442</v>
      </c>
      <c r="E181">
        <v>3</v>
      </c>
      <c r="F181">
        <v>1</v>
      </c>
      <c r="H181">
        <v>1</v>
      </c>
      <c r="K181">
        <v>36</v>
      </c>
    </row>
    <row r="182" spans="1:11">
      <c r="A182">
        <v>754051</v>
      </c>
      <c r="B182" t="s">
        <v>478</v>
      </c>
      <c r="C182" t="s">
        <v>441</v>
      </c>
      <c r="D182" t="s">
        <v>442</v>
      </c>
      <c r="E182">
        <v>3</v>
      </c>
      <c r="F182">
        <v>1</v>
      </c>
      <c r="H182">
        <v>1</v>
      </c>
      <c r="K182">
        <v>37</v>
      </c>
    </row>
    <row r="183" spans="1:11">
      <c r="A183">
        <v>754052</v>
      </c>
      <c r="B183" t="s">
        <v>479</v>
      </c>
      <c r="C183" t="s">
        <v>441</v>
      </c>
      <c r="D183" t="s">
        <v>442</v>
      </c>
      <c r="E183">
        <v>3</v>
      </c>
      <c r="F183">
        <v>1</v>
      </c>
      <c r="H183">
        <v>1</v>
      </c>
      <c r="K183">
        <v>38</v>
      </c>
    </row>
    <row r="184" spans="1:11">
      <c r="A184">
        <v>754053</v>
      </c>
      <c r="B184" t="s">
        <v>480</v>
      </c>
      <c r="C184" t="s">
        <v>441</v>
      </c>
      <c r="D184" t="s">
        <v>442</v>
      </c>
      <c r="E184">
        <v>3</v>
      </c>
      <c r="F184">
        <v>1</v>
      </c>
      <c r="H184">
        <v>1</v>
      </c>
      <c r="K184">
        <v>39</v>
      </c>
    </row>
    <row r="185" spans="1:11">
      <c r="A185">
        <v>754054</v>
      </c>
      <c r="B185" t="s">
        <v>481</v>
      </c>
      <c r="C185" t="s">
        <v>441</v>
      </c>
      <c r="D185" t="s">
        <v>442</v>
      </c>
      <c r="E185">
        <v>3</v>
      </c>
      <c r="F185">
        <v>1</v>
      </c>
      <c r="H185">
        <v>1</v>
      </c>
      <c r="K185">
        <v>40</v>
      </c>
    </row>
    <row r="186" spans="1:11">
      <c r="A186">
        <v>754055</v>
      </c>
      <c r="B186" t="s">
        <v>482</v>
      </c>
      <c r="C186" t="s">
        <v>441</v>
      </c>
      <c r="D186" t="s">
        <v>442</v>
      </c>
      <c r="E186">
        <v>3</v>
      </c>
      <c r="F186">
        <v>1</v>
      </c>
      <c r="H186">
        <v>1</v>
      </c>
      <c r="K186">
        <v>41</v>
      </c>
    </row>
    <row r="187" spans="1:11">
      <c r="A187">
        <v>754056</v>
      </c>
      <c r="B187" t="s">
        <v>483</v>
      </c>
      <c r="C187" t="s">
        <v>441</v>
      </c>
      <c r="D187" t="s">
        <v>442</v>
      </c>
      <c r="E187">
        <v>3</v>
      </c>
      <c r="F187">
        <v>1</v>
      </c>
      <c r="H187">
        <v>1</v>
      </c>
      <c r="K187">
        <v>42</v>
      </c>
    </row>
    <row r="188" spans="1:11">
      <c r="A188">
        <v>754057</v>
      </c>
      <c r="B188" t="s">
        <v>484</v>
      </c>
      <c r="C188" t="s">
        <v>441</v>
      </c>
      <c r="D188" t="s">
        <v>442</v>
      </c>
      <c r="E188">
        <v>3</v>
      </c>
      <c r="F188">
        <v>1</v>
      </c>
      <c r="H188">
        <v>1</v>
      </c>
      <c r="K188">
        <v>43</v>
      </c>
    </row>
    <row r="189" spans="1:11">
      <c r="A189">
        <v>754058</v>
      </c>
      <c r="B189" t="s">
        <v>485</v>
      </c>
      <c r="C189" t="s">
        <v>441</v>
      </c>
      <c r="D189" t="s">
        <v>442</v>
      </c>
      <c r="E189">
        <v>3</v>
      </c>
      <c r="F189">
        <v>1</v>
      </c>
      <c r="H189">
        <v>1</v>
      </c>
      <c r="K189">
        <v>44</v>
      </c>
    </row>
    <row r="190" spans="1:11">
      <c r="A190">
        <v>754059</v>
      </c>
      <c r="B190" t="s">
        <v>486</v>
      </c>
      <c r="C190" t="s">
        <v>441</v>
      </c>
      <c r="D190" t="s">
        <v>442</v>
      </c>
      <c r="E190">
        <v>3</v>
      </c>
      <c r="F190">
        <v>1</v>
      </c>
      <c r="H190">
        <v>1</v>
      </c>
      <c r="K190">
        <v>45</v>
      </c>
    </row>
    <row r="191" spans="1:11">
      <c r="A191">
        <v>754060</v>
      </c>
      <c r="B191" t="s">
        <v>487</v>
      </c>
      <c r="C191" t="s">
        <v>441</v>
      </c>
      <c r="D191" t="s">
        <v>442</v>
      </c>
      <c r="E191">
        <v>3</v>
      </c>
      <c r="F191">
        <v>1</v>
      </c>
      <c r="H191">
        <v>1</v>
      </c>
      <c r="K191">
        <v>46</v>
      </c>
    </row>
    <row r="192" spans="1:11">
      <c r="A192">
        <v>754061</v>
      </c>
      <c r="B192" t="s">
        <v>488</v>
      </c>
      <c r="C192" t="s">
        <v>441</v>
      </c>
      <c r="D192" t="s">
        <v>442</v>
      </c>
      <c r="E192">
        <v>3</v>
      </c>
      <c r="F192">
        <v>1</v>
      </c>
      <c r="H192">
        <v>1</v>
      </c>
      <c r="K192">
        <v>47</v>
      </c>
    </row>
    <row r="193" spans="1:11">
      <c r="A193">
        <v>754062</v>
      </c>
      <c r="B193" t="s">
        <v>489</v>
      </c>
      <c r="C193" t="s">
        <v>441</v>
      </c>
      <c r="D193" t="s">
        <v>442</v>
      </c>
      <c r="E193">
        <v>3</v>
      </c>
      <c r="F193">
        <v>1</v>
      </c>
      <c r="H193">
        <v>1</v>
      </c>
      <c r="K193">
        <v>48</v>
      </c>
    </row>
    <row r="194" spans="1:11">
      <c r="A194">
        <v>754063</v>
      </c>
      <c r="B194" t="s">
        <v>490</v>
      </c>
      <c r="C194" t="s">
        <v>441</v>
      </c>
      <c r="D194" t="s">
        <v>442</v>
      </c>
      <c r="E194">
        <v>3</v>
      </c>
      <c r="F194">
        <v>1</v>
      </c>
      <c r="H194">
        <v>1</v>
      </c>
      <c r="K194">
        <v>49</v>
      </c>
    </row>
    <row r="195" spans="1:11">
      <c r="A195">
        <v>754064</v>
      </c>
      <c r="B195" t="s">
        <v>491</v>
      </c>
      <c r="C195" t="s">
        <v>441</v>
      </c>
      <c r="D195" t="s">
        <v>442</v>
      </c>
      <c r="E195">
        <v>3</v>
      </c>
      <c r="F195">
        <v>1</v>
      </c>
      <c r="H195">
        <v>1</v>
      </c>
      <c r="K195">
        <v>50</v>
      </c>
    </row>
    <row r="196" spans="1:11">
      <c r="A196">
        <v>754065</v>
      </c>
      <c r="B196" t="s">
        <v>492</v>
      </c>
      <c r="C196" t="s">
        <v>441</v>
      </c>
      <c r="D196" t="s">
        <v>442</v>
      </c>
      <c r="E196">
        <v>3</v>
      </c>
      <c r="F196">
        <v>1</v>
      </c>
      <c r="H196">
        <v>1</v>
      </c>
      <c r="K196">
        <v>51</v>
      </c>
    </row>
    <row r="197" spans="1:11">
      <c r="A197">
        <v>754066</v>
      </c>
      <c r="B197" t="s">
        <v>493</v>
      </c>
      <c r="C197" t="s">
        <v>441</v>
      </c>
      <c r="D197" t="s">
        <v>442</v>
      </c>
      <c r="E197">
        <v>3</v>
      </c>
      <c r="F197">
        <v>1</v>
      </c>
      <c r="H197">
        <v>1</v>
      </c>
      <c r="K197">
        <v>52</v>
      </c>
    </row>
    <row r="198" spans="1:11">
      <c r="A198">
        <v>754067</v>
      </c>
      <c r="B198" t="s">
        <v>494</v>
      </c>
      <c r="C198" t="s">
        <v>441</v>
      </c>
      <c r="D198" t="s">
        <v>442</v>
      </c>
      <c r="E198">
        <v>3</v>
      </c>
      <c r="F198">
        <v>1</v>
      </c>
      <c r="H198">
        <v>1</v>
      </c>
      <c r="K198">
        <v>53</v>
      </c>
    </row>
    <row r="199" spans="1:11">
      <c r="A199">
        <v>754068</v>
      </c>
      <c r="B199" t="s">
        <v>495</v>
      </c>
      <c r="C199" t="s">
        <v>441</v>
      </c>
      <c r="D199" t="s">
        <v>442</v>
      </c>
      <c r="E199">
        <v>3</v>
      </c>
      <c r="F199">
        <v>1</v>
      </c>
      <c r="H199">
        <v>1</v>
      </c>
      <c r="K199">
        <v>54</v>
      </c>
    </row>
    <row r="200" spans="1:11">
      <c r="A200">
        <v>754069</v>
      </c>
      <c r="B200" t="s">
        <v>496</v>
      </c>
      <c r="C200" t="s">
        <v>441</v>
      </c>
      <c r="D200" t="s">
        <v>442</v>
      </c>
      <c r="E200">
        <v>3</v>
      </c>
      <c r="F200">
        <v>1</v>
      </c>
      <c r="H200">
        <v>1</v>
      </c>
      <c r="K200">
        <v>55</v>
      </c>
    </row>
    <row r="201" spans="1:11">
      <c r="A201">
        <v>754070</v>
      </c>
      <c r="B201" t="s">
        <v>497</v>
      </c>
      <c r="C201" t="s">
        <v>441</v>
      </c>
      <c r="D201" t="s">
        <v>442</v>
      </c>
      <c r="E201">
        <v>3</v>
      </c>
      <c r="F201">
        <v>1</v>
      </c>
      <c r="H201">
        <v>1</v>
      </c>
      <c r="K201">
        <v>56</v>
      </c>
    </row>
    <row r="202" spans="1:11">
      <c r="A202">
        <v>754071</v>
      </c>
      <c r="B202" t="s">
        <v>498</v>
      </c>
      <c r="C202" t="s">
        <v>441</v>
      </c>
      <c r="D202" t="s">
        <v>442</v>
      </c>
      <c r="E202">
        <v>3</v>
      </c>
      <c r="F202">
        <v>1</v>
      </c>
      <c r="H202">
        <v>1</v>
      </c>
      <c r="K202">
        <v>57</v>
      </c>
    </row>
    <row r="203" spans="1:11">
      <c r="A203">
        <v>754072</v>
      </c>
      <c r="B203" t="s">
        <v>499</v>
      </c>
      <c r="C203" t="s">
        <v>441</v>
      </c>
      <c r="D203" t="s">
        <v>442</v>
      </c>
      <c r="E203">
        <v>3</v>
      </c>
      <c r="F203">
        <v>1</v>
      </c>
      <c r="H203">
        <v>1</v>
      </c>
      <c r="K203">
        <v>58</v>
      </c>
    </row>
    <row r="204" spans="1:11">
      <c r="A204">
        <v>754073</v>
      </c>
      <c r="B204" t="s">
        <v>500</v>
      </c>
      <c r="C204" t="s">
        <v>441</v>
      </c>
      <c r="D204" t="s">
        <v>442</v>
      </c>
      <c r="E204">
        <v>3</v>
      </c>
      <c r="F204">
        <v>1</v>
      </c>
      <c r="H204">
        <v>1</v>
      </c>
      <c r="K204">
        <v>59</v>
      </c>
    </row>
    <row r="205" spans="1:11">
      <c r="A205">
        <v>754074</v>
      </c>
      <c r="B205" t="s">
        <v>501</v>
      </c>
      <c r="C205" t="s">
        <v>441</v>
      </c>
      <c r="D205" t="s">
        <v>442</v>
      </c>
      <c r="E205">
        <v>3</v>
      </c>
      <c r="F205">
        <v>1</v>
      </c>
      <c r="H205">
        <v>1</v>
      </c>
      <c r="K205">
        <v>60</v>
      </c>
    </row>
    <row r="206" spans="1:11">
      <c r="A206">
        <v>754075</v>
      </c>
      <c r="B206" t="s">
        <v>502</v>
      </c>
      <c r="C206" t="s">
        <v>441</v>
      </c>
      <c r="D206" t="s">
        <v>442</v>
      </c>
      <c r="E206">
        <v>3</v>
      </c>
      <c r="F206">
        <v>1</v>
      </c>
      <c r="H206">
        <v>1</v>
      </c>
      <c r="K206">
        <v>61</v>
      </c>
    </row>
    <row r="207" spans="1:11">
      <c r="A207">
        <v>754076</v>
      </c>
      <c r="B207" t="s">
        <v>503</v>
      </c>
      <c r="C207" t="s">
        <v>441</v>
      </c>
      <c r="D207" t="s">
        <v>442</v>
      </c>
      <c r="E207">
        <v>3</v>
      </c>
      <c r="F207">
        <v>1</v>
      </c>
      <c r="H207">
        <v>1</v>
      </c>
      <c r="K207">
        <v>62</v>
      </c>
    </row>
    <row r="208" spans="1:11">
      <c r="A208">
        <v>754077</v>
      </c>
      <c r="B208" t="s">
        <v>504</v>
      </c>
      <c r="C208" t="s">
        <v>441</v>
      </c>
      <c r="D208" t="s">
        <v>442</v>
      </c>
      <c r="E208">
        <v>3</v>
      </c>
      <c r="F208">
        <v>1</v>
      </c>
      <c r="H208">
        <v>1</v>
      </c>
      <c r="K208">
        <v>63</v>
      </c>
    </row>
    <row r="209" spans="1:11">
      <c r="A209">
        <v>754078</v>
      </c>
      <c r="B209" t="s">
        <v>505</v>
      </c>
      <c r="C209" t="s">
        <v>441</v>
      </c>
      <c r="D209" t="s">
        <v>442</v>
      </c>
      <c r="E209">
        <v>3</v>
      </c>
      <c r="F209">
        <v>1</v>
      </c>
      <c r="H209">
        <v>1</v>
      </c>
      <c r="K209">
        <v>64</v>
      </c>
    </row>
    <row r="210" spans="1:11">
      <c r="A210">
        <v>754079</v>
      </c>
      <c r="B210" t="s">
        <v>506</v>
      </c>
      <c r="C210" t="s">
        <v>441</v>
      </c>
      <c r="D210" t="s">
        <v>442</v>
      </c>
      <c r="E210">
        <v>3</v>
      </c>
      <c r="F210">
        <v>1</v>
      </c>
      <c r="H210">
        <v>1</v>
      </c>
      <c r="K210">
        <v>65</v>
      </c>
    </row>
    <row r="211" spans="1:11">
      <c r="A211">
        <v>754080</v>
      </c>
      <c r="B211" t="s">
        <v>507</v>
      </c>
      <c r="C211" t="s">
        <v>441</v>
      </c>
      <c r="D211" t="s">
        <v>442</v>
      </c>
      <c r="E211">
        <v>3</v>
      </c>
      <c r="F211">
        <v>1</v>
      </c>
      <c r="H211">
        <v>1</v>
      </c>
      <c r="K211">
        <v>66</v>
      </c>
    </row>
    <row r="212" spans="1:11">
      <c r="A212">
        <v>754081</v>
      </c>
      <c r="B212" t="s">
        <v>508</v>
      </c>
      <c r="C212" t="s">
        <v>441</v>
      </c>
      <c r="D212" t="s">
        <v>442</v>
      </c>
      <c r="E212">
        <v>3</v>
      </c>
      <c r="F212">
        <v>1</v>
      </c>
      <c r="H212">
        <v>1</v>
      </c>
      <c r="K212">
        <v>67</v>
      </c>
    </row>
    <row r="213" spans="1:11">
      <c r="A213">
        <v>754082</v>
      </c>
      <c r="B213" t="s">
        <v>509</v>
      </c>
      <c r="C213" t="s">
        <v>441</v>
      </c>
      <c r="D213" t="s">
        <v>442</v>
      </c>
      <c r="E213">
        <v>3</v>
      </c>
      <c r="F213">
        <v>1</v>
      </c>
      <c r="H213">
        <v>1</v>
      </c>
      <c r="K213">
        <v>68</v>
      </c>
    </row>
    <row r="214" spans="1:11">
      <c r="A214">
        <v>754083</v>
      </c>
      <c r="B214" t="s">
        <v>510</v>
      </c>
      <c r="C214" t="s">
        <v>441</v>
      </c>
      <c r="D214" t="s">
        <v>442</v>
      </c>
      <c r="E214">
        <v>3</v>
      </c>
      <c r="F214">
        <v>1</v>
      </c>
      <c r="H214">
        <v>1</v>
      </c>
      <c r="K214">
        <v>69</v>
      </c>
    </row>
    <row r="215" spans="1:11">
      <c r="A215">
        <v>754084</v>
      </c>
      <c r="B215" t="s">
        <v>511</v>
      </c>
      <c r="C215" t="s">
        <v>441</v>
      </c>
      <c r="D215" t="s">
        <v>442</v>
      </c>
      <c r="E215">
        <v>3</v>
      </c>
      <c r="F215">
        <v>1</v>
      </c>
      <c r="H215">
        <v>1</v>
      </c>
      <c r="K215">
        <v>70</v>
      </c>
    </row>
    <row r="216" spans="1:11">
      <c r="A216">
        <v>754085</v>
      </c>
      <c r="B216" t="s">
        <v>512</v>
      </c>
      <c r="C216" t="s">
        <v>441</v>
      </c>
      <c r="D216" t="s">
        <v>442</v>
      </c>
      <c r="E216">
        <v>3</v>
      </c>
      <c r="F216">
        <v>1</v>
      </c>
      <c r="H216">
        <v>1</v>
      </c>
      <c r="K216">
        <v>71</v>
      </c>
    </row>
    <row r="217" spans="1:11">
      <c r="A217">
        <v>754086</v>
      </c>
      <c r="B217" t="s">
        <v>513</v>
      </c>
      <c r="C217" t="s">
        <v>441</v>
      </c>
      <c r="D217" t="s">
        <v>442</v>
      </c>
      <c r="E217">
        <v>3</v>
      </c>
      <c r="F217">
        <v>1</v>
      </c>
      <c r="H217">
        <v>1</v>
      </c>
      <c r="K217">
        <v>72</v>
      </c>
    </row>
    <row r="218" spans="1:11">
      <c r="A218">
        <v>753415</v>
      </c>
      <c r="B218" t="s">
        <v>514</v>
      </c>
      <c r="C218" t="s">
        <v>515</v>
      </c>
      <c r="D218" t="s">
        <v>516</v>
      </c>
      <c r="E218">
        <v>4</v>
      </c>
      <c r="F218">
        <v>1</v>
      </c>
      <c r="H218">
        <v>1</v>
      </c>
      <c r="K218">
        <v>1</v>
      </c>
    </row>
    <row r="219" spans="1:11">
      <c r="A219">
        <v>753416</v>
      </c>
      <c r="B219" t="s">
        <v>517</v>
      </c>
      <c r="C219" t="s">
        <v>515</v>
      </c>
      <c r="D219" t="s">
        <v>516</v>
      </c>
      <c r="E219">
        <v>4</v>
      </c>
      <c r="F219">
        <v>1</v>
      </c>
      <c r="H219">
        <v>1</v>
      </c>
      <c r="K219">
        <v>2</v>
      </c>
    </row>
    <row r="220" spans="1:11">
      <c r="A220">
        <v>753417</v>
      </c>
      <c r="B220" t="s">
        <v>518</v>
      </c>
      <c r="C220" t="s">
        <v>515</v>
      </c>
      <c r="D220" t="s">
        <v>516</v>
      </c>
      <c r="E220">
        <v>4</v>
      </c>
      <c r="F220">
        <v>1</v>
      </c>
      <c r="H220">
        <v>1</v>
      </c>
      <c r="K220">
        <v>3</v>
      </c>
    </row>
    <row r="221" spans="1:11">
      <c r="A221">
        <v>753418</v>
      </c>
      <c r="B221" t="s">
        <v>519</v>
      </c>
      <c r="C221" t="s">
        <v>515</v>
      </c>
      <c r="D221" t="s">
        <v>516</v>
      </c>
      <c r="E221">
        <v>4</v>
      </c>
      <c r="F221">
        <v>1</v>
      </c>
      <c r="H221">
        <v>1</v>
      </c>
      <c r="K221">
        <v>4</v>
      </c>
    </row>
    <row r="222" spans="1:11">
      <c r="A222">
        <v>753419</v>
      </c>
      <c r="B222" t="s">
        <v>520</v>
      </c>
      <c r="C222" t="s">
        <v>515</v>
      </c>
      <c r="D222" t="s">
        <v>516</v>
      </c>
      <c r="E222">
        <v>4</v>
      </c>
      <c r="F222">
        <v>1</v>
      </c>
      <c r="H222">
        <v>1</v>
      </c>
      <c r="K222">
        <v>5</v>
      </c>
    </row>
    <row r="223" spans="1:11">
      <c r="A223">
        <v>753420</v>
      </c>
      <c r="B223" t="s">
        <v>521</v>
      </c>
      <c r="C223" t="s">
        <v>515</v>
      </c>
      <c r="D223" t="s">
        <v>516</v>
      </c>
      <c r="E223">
        <v>4</v>
      </c>
      <c r="F223">
        <v>1</v>
      </c>
      <c r="H223">
        <v>1</v>
      </c>
      <c r="K223">
        <v>6</v>
      </c>
    </row>
    <row r="224" spans="1:11">
      <c r="A224">
        <v>753421</v>
      </c>
      <c r="B224" t="s">
        <v>522</v>
      </c>
      <c r="C224" t="s">
        <v>515</v>
      </c>
      <c r="D224" t="s">
        <v>516</v>
      </c>
      <c r="E224">
        <v>4</v>
      </c>
      <c r="F224">
        <v>1</v>
      </c>
      <c r="H224">
        <v>1</v>
      </c>
      <c r="K224">
        <v>7</v>
      </c>
    </row>
    <row r="225" spans="1:11">
      <c r="A225">
        <v>753422</v>
      </c>
      <c r="B225" t="s">
        <v>523</v>
      </c>
      <c r="C225" t="s">
        <v>515</v>
      </c>
      <c r="D225" t="s">
        <v>516</v>
      </c>
      <c r="E225">
        <v>4</v>
      </c>
      <c r="F225">
        <v>1</v>
      </c>
      <c r="H225">
        <v>1</v>
      </c>
      <c r="K225">
        <v>8</v>
      </c>
    </row>
    <row r="226" spans="1:11">
      <c r="A226">
        <v>753423</v>
      </c>
      <c r="B226" t="s">
        <v>524</v>
      </c>
      <c r="C226" t="s">
        <v>515</v>
      </c>
      <c r="D226" t="s">
        <v>516</v>
      </c>
      <c r="E226">
        <v>4</v>
      </c>
      <c r="F226">
        <v>1</v>
      </c>
      <c r="H226">
        <v>1</v>
      </c>
      <c r="K226">
        <v>9</v>
      </c>
    </row>
    <row r="227" spans="1:11">
      <c r="A227">
        <v>753424</v>
      </c>
      <c r="B227" t="s">
        <v>525</v>
      </c>
      <c r="C227" t="s">
        <v>515</v>
      </c>
      <c r="D227" t="s">
        <v>516</v>
      </c>
      <c r="E227">
        <v>4</v>
      </c>
      <c r="F227">
        <v>1</v>
      </c>
      <c r="H227">
        <v>1</v>
      </c>
      <c r="K227">
        <v>10</v>
      </c>
    </row>
    <row r="228" spans="1:11">
      <c r="A228">
        <v>753425</v>
      </c>
      <c r="B228" t="s">
        <v>526</v>
      </c>
      <c r="C228" t="s">
        <v>515</v>
      </c>
      <c r="D228" t="s">
        <v>516</v>
      </c>
      <c r="E228">
        <v>4</v>
      </c>
      <c r="F228">
        <v>1</v>
      </c>
      <c r="H228">
        <v>1</v>
      </c>
      <c r="K228">
        <v>11</v>
      </c>
    </row>
    <row r="229" spans="1:11">
      <c r="A229">
        <v>753426</v>
      </c>
      <c r="B229" t="s">
        <v>527</v>
      </c>
      <c r="C229" t="s">
        <v>515</v>
      </c>
      <c r="D229" t="s">
        <v>516</v>
      </c>
      <c r="E229">
        <v>4</v>
      </c>
      <c r="F229">
        <v>1</v>
      </c>
      <c r="H229">
        <v>1</v>
      </c>
      <c r="K229">
        <v>12</v>
      </c>
    </row>
    <row r="230" spans="1:11">
      <c r="A230">
        <v>753427</v>
      </c>
      <c r="B230" t="s">
        <v>528</v>
      </c>
      <c r="C230" t="s">
        <v>515</v>
      </c>
      <c r="D230" t="s">
        <v>516</v>
      </c>
      <c r="E230">
        <v>4</v>
      </c>
      <c r="F230">
        <v>1</v>
      </c>
      <c r="H230">
        <v>1</v>
      </c>
      <c r="K230">
        <v>13</v>
      </c>
    </row>
    <row r="231" spans="1:11">
      <c r="A231">
        <v>753428</v>
      </c>
      <c r="B231" t="s">
        <v>529</v>
      </c>
      <c r="C231" t="s">
        <v>515</v>
      </c>
      <c r="D231" t="s">
        <v>516</v>
      </c>
      <c r="E231">
        <v>4</v>
      </c>
      <c r="F231">
        <v>1</v>
      </c>
      <c r="H231">
        <v>1</v>
      </c>
      <c r="K231">
        <v>14</v>
      </c>
    </row>
    <row r="232" spans="1:11">
      <c r="A232">
        <v>753429</v>
      </c>
      <c r="B232" t="s">
        <v>530</v>
      </c>
      <c r="C232" t="s">
        <v>515</v>
      </c>
      <c r="D232" t="s">
        <v>516</v>
      </c>
      <c r="E232">
        <v>4</v>
      </c>
      <c r="F232">
        <v>1</v>
      </c>
      <c r="H232">
        <v>1</v>
      </c>
      <c r="K232">
        <v>15</v>
      </c>
    </row>
    <row r="233" spans="1:11">
      <c r="A233">
        <v>753430</v>
      </c>
      <c r="B233" t="s">
        <v>531</v>
      </c>
      <c r="C233" t="s">
        <v>515</v>
      </c>
      <c r="D233" t="s">
        <v>516</v>
      </c>
      <c r="E233">
        <v>4</v>
      </c>
      <c r="F233">
        <v>1</v>
      </c>
      <c r="H233">
        <v>1</v>
      </c>
      <c r="K233">
        <v>16</v>
      </c>
    </row>
    <row r="234" spans="1:11">
      <c r="A234">
        <v>753431</v>
      </c>
      <c r="B234" t="s">
        <v>532</v>
      </c>
      <c r="C234" t="s">
        <v>515</v>
      </c>
      <c r="D234" t="s">
        <v>516</v>
      </c>
      <c r="E234">
        <v>4</v>
      </c>
      <c r="F234">
        <v>1</v>
      </c>
      <c r="H234">
        <v>1</v>
      </c>
      <c r="K234">
        <v>17</v>
      </c>
    </row>
    <row r="235" spans="1:11">
      <c r="A235">
        <v>753432</v>
      </c>
      <c r="B235" t="s">
        <v>533</v>
      </c>
      <c r="C235" t="s">
        <v>515</v>
      </c>
      <c r="D235" t="s">
        <v>516</v>
      </c>
      <c r="E235">
        <v>4</v>
      </c>
      <c r="F235">
        <v>1</v>
      </c>
      <c r="H235">
        <v>1</v>
      </c>
      <c r="K235">
        <v>18</v>
      </c>
    </row>
    <row r="236" spans="1:11">
      <c r="A236">
        <v>753433</v>
      </c>
      <c r="B236" t="s">
        <v>534</v>
      </c>
      <c r="C236" t="s">
        <v>515</v>
      </c>
      <c r="D236" t="s">
        <v>516</v>
      </c>
      <c r="E236">
        <v>4</v>
      </c>
      <c r="F236">
        <v>1</v>
      </c>
      <c r="H236">
        <v>1</v>
      </c>
      <c r="K236">
        <v>19</v>
      </c>
    </row>
    <row r="237" spans="1:11">
      <c r="A237">
        <v>753434</v>
      </c>
      <c r="B237" t="s">
        <v>535</v>
      </c>
      <c r="C237" t="s">
        <v>515</v>
      </c>
      <c r="D237" t="s">
        <v>516</v>
      </c>
      <c r="E237">
        <v>4</v>
      </c>
      <c r="F237">
        <v>1</v>
      </c>
      <c r="H237">
        <v>1</v>
      </c>
      <c r="K237">
        <v>20</v>
      </c>
    </row>
    <row r="238" spans="1:11">
      <c r="A238">
        <v>753435</v>
      </c>
      <c r="B238" t="s">
        <v>536</v>
      </c>
      <c r="C238" t="s">
        <v>515</v>
      </c>
      <c r="D238" t="s">
        <v>516</v>
      </c>
      <c r="E238">
        <v>4</v>
      </c>
      <c r="F238">
        <v>1</v>
      </c>
      <c r="H238">
        <v>1</v>
      </c>
      <c r="K238">
        <v>21</v>
      </c>
    </row>
    <row r="239" spans="1:11">
      <c r="A239">
        <v>753436</v>
      </c>
      <c r="B239" t="s">
        <v>537</v>
      </c>
      <c r="C239" t="s">
        <v>515</v>
      </c>
      <c r="D239" t="s">
        <v>516</v>
      </c>
      <c r="E239">
        <v>4</v>
      </c>
      <c r="F239">
        <v>1</v>
      </c>
      <c r="H239">
        <v>1</v>
      </c>
      <c r="K239">
        <v>22</v>
      </c>
    </row>
    <row r="240" spans="1:11">
      <c r="A240">
        <v>753437</v>
      </c>
      <c r="B240" t="s">
        <v>538</v>
      </c>
      <c r="C240" t="s">
        <v>515</v>
      </c>
      <c r="D240" t="s">
        <v>516</v>
      </c>
      <c r="E240">
        <v>4</v>
      </c>
      <c r="F240">
        <v>1</v>
      </c>
      <c r="H240">
        <v>1</v>
      </c>
      <c r="K240">
        <v>23</v>
      </c>
    </row>
    <row r="241" spans="1:11">
      <c r="A241">
        <v>753438</v>
      </c>
      <c r="B241" t="s">
        <v>539</v>
      </c>
      <c r="C241" t="s">
        <v>515</v>
      </c>
      <c r="D241" t="s">
        <v>516</v>
      </c>
      <c r="E241">
        <v>4</v>
      </c>
      <c r="F241">
        <v>1</v>
      </c>
      <c r="H241">
        <v>1</v>
      </c>
      <c r="K241">
        <v>24</v>
      </c>
    </row>
    <row r="242" spans="1:11">
      <c r="A242">
        <v>753439</v>
      </c>
      <c r="B242" t="s">
        <v>540</v>
      </c>
      <c r="C242" t="s">
        <v>515</v>
      </c>
      <c r="D242" t="s">
        <v>516</v>
      </c>
      <c r="E242">
        <v>4</v>
      </c>
      <c r="F242">
        <v>1</v>
      </c>
      <c r="H242">
        <v>1</v>
      </c>
      <c r="K242">
        <v>25</v>
      </c>
    </row>
    <row r="243" spans="1:11">
      <c r="A243">
        <v>753440</v>
      </c>
      <c r="B243" t="s">
        <v>541</v>
      </c>
      <c r="C243" t="s">
        <v>515</v>
      </c>
      <c r="D243" t="s">
        <v>516</v>
      </c>
      <c r="E243">
        <v>4</v>
      </c>
      <c r="F243">
        <v>1</v>
      </c>
      <c r="H243">
        <v>1</v>
      </c>
      <c r="K243">
        <v>26</v>
      </c>
    </row>
    <row r="244" spans="1:11">
      <c r="A244">
        <v>753441</v>
      </c>
      <c r="B244" t="s">
        <v>542</v>
      </c>
      <c r="C244" t="s">
        <v>515</v>
      </c>
      <c r="D244" t="s">
        <v>516</v>
      </c>
      <c r="E244">
        <v>4</v>
      </c>
      <c r="F244">
        <v>1</v>
      </c>
      <c r="H244">
        <v>1</v>
      </c>
      <c r="K244">
        <v>27</v>
      </c>
    </row>
    <row r="245" spans="1:11">
      <c r="A245">
        <v>753442</v>
      </c>
      <c r="B245" t="s">
        <v>543</v>
      </c>
      <c r="C245" t="s">
        <v>515</v>
      </c>
      <c r="D245" t="s">
        <v>516</v>
      </c>
      <c r="E245">
        <v>4</v>
      </c>
      <c r="F245">
        <v>1</v>
      </c>
      <c r="H245">
        <v>1</v>
      </c>
      <c r="K245">
        <v>28</v>
      </c>
    </row>
    <row r="246" spans="1:11">
      <c r="A246">
        <v>753443</v>
      </c>
      <c r="B246" t="s">
        <v>544</v>
      </c>
      <c r="C246" t="s">
        <v>515</v>
      </c>
      <c r="D246" t="s">
        <v>516</v>
      </c>
      <c r="E246">
        <v>4</v>
      </c>
      <c r="F246">
        <v>1</v>
      </c>
      <c r="H246">
        <v>1</v>
      </c>
      <c r="K246">
        <v>29</v>
      </c>
    </row>
    <row r="247" spans="1:11">
      <c r="A247">
        <v>753444</v>
      </c>
      <c r="B247" t="s">
        <v>545</v>
      </c>
      <c r="C247" t="s">
        <v>515</v>
      </c>
      <c r="D247" t="s">
        <v>516</v>
      </c>
      <c r="E247">
        <v>4</v>
      </c>
      <c r="F247">
        <v>1</v>
      </c>
      <c r="H247">
        <v>1</v>
      </c>
      <c r="K247">
        <v>30</v>
      </c>
    </row>
    <row r="248" spans="1:11">
      <c r="A248">
        <v>753445</v>
      </c>
      <c r="B248" t="s">
        <v>546</v>
      </c>
      <c r="C248" t="s">
        <v>515</v>
      </c>
      <c r="D248" t="s">
        <v>516</v>
      </c>
      <c r="E248">
        <v>4</v>
      </c>
      <c r="F248">
        <v>1</v>
      </c>
      <c r="H248">
        <v>1</v>
      </c>
      <c r="K248">
        <v>31</v>
      </c>
    </row>
    <row r="249" spans="1:11">
      <c r="A249">
        <v>753446</v>
      </c>
      <c r="B249" t="s">
        <v>547</v>
      </c>
      <c r="C249" t="s">
        <v>515</v>
      </c>
      <c r="D249" t="s">
        <v>516</v>
      </c>
      <c r="E249">
        <v>4</v>
      </c>
      <c r="F249">
        <v>1</v>
      </c>
      <c r="H249">
        <v>1</v>
      </c>
      <c r="K249">
        <v>32</v>
      </c>
    </row>
    <row r="250" spans="1:11">
      <c r="A250">
        <v>753447</v>
      </c>
      <c r="B250" t="s">
        <v>548</v>
      </c>
      <c r="C250" t="s">
        <v>515</v>
      </c>
      <c r="D250" t="s">
        <v>516</v>
      </c>
      <c r="E250">
        <v>4</v>
      </c>
      <c r="F250">
        <v>1</v>
      </c>
      <c r="H250">
        <v>1</v>
      </c>
      <c r="K250">
        <v>33</v>
      </c>
    </row>
    <row r="251" spans="1:11">
      <c r="A251">
        <v>753448</v>
      </c>
      <c r="B251" t="s">
        <v>549</v>
      </c>
      <c r="C251" t="s">
        <v>515</v>
      </c>
      <c r="D251" t="s">
        <v>516</v>
      </c>
      <c r="E251">
        <v>4</v>
      </c>
      <c r="F251">
        <v>1</v>
      </c>
      <c r="H251">
        <v>1</v>
      </c>
      <c r="K251">
        <v>34</v>
      </c>
    </row>
    <row r="252" spans="1:11">
      <c r="A252">
        <v>753449</v>
      </c>
      <c r="B252" t="s">
        <v>550</v>
      </c>
      <c r="C252" t="s">
        <v>515</v>
      </c>
      <c r="D252" t="s">
        <v>516</v>
      </c>
      <c r="E252">
        <v>4</v>
      </c>
      <c r="F252">
        <v>1</v>
      </c>
      <c r="H252">
        <v>1</v>
      </c>
      <c r="K252">
        <v>35</v>
      </c>
    </row>
    <row r="253" spans="1:11">
      <c r="A253">
        <v>753450</v>
      </c>
      <c r="B253" t="s">
        <v>551</v>
      </c>
      <c r="C253" t="s">
        <v>515</v>
      </c>
      <c r="D253" t="s">
        <v>516</v>
      </c>
      <c r="E253">
        <v>4</v>
      </c>
      <c r="F253">
        <v>1</v>
      </c>
      <c r="H253">
        <v>1</v>
      </c>
      <c r="K253">
        <v>36</v>
      </c>
    </row>
    <row r="254" spans="1:11">
      <c r="A254">
        <v>753451</v>
      </c>
      <c r="B254" t="s">
        <v>552</v>
      </c>
      <c r="C254" t="s">
        <v>515</v>
      </c>
      <c r="D254" t="s">
        <v>516</v>
      </c>
      <c r="E254">
        <v>4</v>
      </c>
      <c r="F254">
        <v>1</v>
      </c>
      <c r="H254">
        <v>1</v>
      </c>
      <c r="K254">
        <v>37</v>
      </c>
    </row>
    <row r="255" spans="1:11">
      <c r="A255">
        <v>753452</v>
      </c>
      <c r="B255" t="s">
        <v>553</v>
      </c>
      <c r="C255" t="s">
        <v>515</v>
      </c>
      <c r="D255" t="s">
        <v>516</v>
      </c>
      <c r="E255">
        <v>4</v>
      </c>
      <c r="F255">
        <v>1</v>
      </c>
      <c r="H255">
        <v>1</v>
      </c>
      <c r="K255">
        <v>38</v>
      </c>
    </row>
    <row r="256" spans="1:11">
      <c r="A256">
        <v>753453</v>
      </c>
      <c r="B256" t="s">
        <v>554</v>
      </c>
      <c r="C256" t="s">
        <v>515</v>
      </c>
      <c r="D256" t="s">
        <v>516</v>
      </c>
      <c r="E256">
        <v>4</v>
      </c>
      <c r="F256">
        <v>1</v>
      </c>
      <c r="H256">
        <v>1</v>
      </c>
      <c r="K256">
        <v>39</v>
      </c>
    </row>
    <row r="257" spans="1:11">
      <c r="A257">
        <v>753454</v>
      </c>
      <c r="B257" t="s">
        <v>555</v>
      </c>
      <c r="C257" t="s">
        <v>515</v>
      </c>
      <c r="D257" t="s">
        <v>516</v>
      </c>
      <c r="E257">
        <v>4</v>
      </c>
      <c r="F257">
        <v>1</v>
      </c>
      <c r="H257">
        <v>1</v>
      </c>
      <c r="K257">
        <v>40</v>
      </c>
    </row>
    <row r="258" spans="1:11">
      <c r="A258">
        <v>753455</v>
      </c>
      <c r="B258" t="s">
        <v>556</v>
      </c>
      <c r="C258" t="s">
        <v>515</v>
      </c>
      <c r="D258" t="s">
        <v>516</v>
      </c>
      <c r="E258">
        <v>4</v>
      </c>
      <c r="F258">
        <v>1</v>
      </c>
      <c r="H258">
        <v>1</v>
      </c>
      <c r="K258">
        <v>41</v>
      </c>
    </row>
    <row r="259" spans="1:11">
      <c r="A259">
        <v>753456</v>
      </c>
      <c r="B259" t="s">
        <v>557</v>
      </c>
      <c r="C259" t="s">
        <v>515</v>
      </c>
      <c r="D259" t="s">
        <v>516</v>
      </c>
      <c r="E259">
        <v>4</v>
      </c>
      <c r="F259">
        <v>1</v>
      </c>
      <c r="H259">
        <v>1</v>
      </c>
      <c r="K259">
        <v>42</v>
      </c>
    </row>
    <row r="260" spans="1:11">
      <c r="A260">
        <v>753457</v>
      </c>
      <c r="B260" t="s">
        <v>558</v>
      </c>
      <c r="C260" t="s">
        <v>515</v>
      </c>
      <c r="D260" t="s">
        <v>516</v>
      </c>
      <c r="E260">
        <v>4</v>
      </c>
      <c r="F260">
        <v>1</v>
      </c>
      <c r="H260">
        <v>1</v>
      </c>
      <c r="K260">
        <v>43</v>
      </c>
    </row>
    <row r="261" spans="1:11">
      <c r="A261">
        <v>753458</v>
      </c>
      <c r="B261" t="s">
        <v>559</v>
      </c>
      <c r="C261" t="s">
        <v>515</v>
      </c>
      <c r="D261" t="s">
        <v>516</v>
      </c>
      <c r="E261">
        <v>4</v>
      </c>
      <c r="F261">
        <v>1</v>
      </c>
      <c r="H261">
        <v>1</v>
      </c>
      <c r="K261">
        <v>44</v>
      </c>
    </row>
    <row r="262" spans="1:11">
      <c r="A262">
        <v>753459</v>
      </c>
      <c r="B262" t="s">
        <v>560</v>
      </c>
      <c r="C262" t="s">
        <v>515</v>
      </c>
      <c r="D262" t="s">
        <v>516</v>
      </c>
      <c r="E262">
        <v>4</v>
      </c>
      <c r="F262">
        <v>1</v>
      </c>
      <c r="H262">
        <v>1</v>
      </c>
      <c r="K262">
        <v>45</v>
      </c>
    </row>
    <row r="263" spans="1:11">
      <c r="A263">
        <v>753460</v>
      </c>
      <c r="B263" t="s">
        <v>561</v>
      </c>
      <c r="C263" t="s">
        <v>515</v>
      </c>
      <c r="D263" t="s">
        <v>516</v>
      </c>
      <c r="E263">
        <v>4</v>
      </c>
      <c r="F263">
        <v>1</v>
      </c>
      <c r="H263">
        <v>1</v>
      </c>
      <c r="K263">
        <v>46</v>
      </c>
    </row>
    <row r="264" spans="1:11">
      <c r="A264">
        <v>753461</v>
      </c>
      <c r="B264" t="s">
        <v>562</v>
      </c>
      <c r="C264" t="s">
        <v>515</v>
      </c>
      <c r="D264" t="s">
        <v>516</v>
      </c>
      <c r="E264">
        <v>4</v>
      </c>
      <c r="F264">
        <v>1</v>
      </c>
      <c r="H264">
        <v>1</v>
      </c>
      <c r="K264">
        <v>47</v>
      </c>
    </row>
    <row r="265" spans="1:11">
      <c r="A265">
        <v>753462</v>
      </c>
      <c r="B265" t="s">
        <v>563</v>
      </c>
      <c r="C265" t="s">
        <v>515</v>
      </c>
      <c r="D265" t="s">
        <v>516</v>
      </c>
      <c r="E265">
        <v>4</v>
      </c>
      <c r="F265">
        <v>1</v>
      </c>
      <c r="H265">
        <v>1</v>
      </c>
      <c r="K265">
        <v>48</v>
      </c>
    </row>
    <row r="266" spans="1:11">
      <c r="A266">
        <v>753463</v>
      </c>
      <c r="B266" t="s">
        <v>564</v>
      </c>
      <c r="C266" t="s">
        <v>515</v>
      </c>
      <c r="D266" t="s">
        <v>516</v>
      </c>
      <c r="E266">
        <v>4</v>
      </c>
      <c r="F266">
        <v>1</v>
      </c>
      <c r="H266">
        <v>1</v>
      </c>
      <c r="K266">
        <v>49</v>
      </c>
    </row>
    <row r="267" spans="1:11">
      <c r="A267">
        <v>753464</v>
      </c>
      <c r="B267" t="s">
        <v>565</v>
      </c>
      <c r="C267" t="s">
        <v>515</v>
      </c>
      <c r="D267" t="s">
        <v>516</v>
      </c>
      <c r="E267">
        <v>4</v>
      </c>
      <c r="F267">
        <v>1</v>
      </c>
      <c r="H267">
        <v>1</v>
      </c>
      <c r="K267">
        <v>50</v>
      </c>
    </row>
    <row r="268" spans="1:11">
      <c r="A268">
        <v>753465</v>
      </c>
      <c r="B268" t="s">
        <v>566</v>
      </c>
      <c r="C268" t="s">
        <v>515</v>
      </c>
      <c r="D268" t="s">
        <v>516</v>
      </c>
      <c r="E268">
        <v>4</v>
      </c>
      <c r="F268">
        <v>1</v>
      </c>
      <c r="H268">
        <v>1</v>
      </c>
      <c r="K268">
        <v>51</v>
      </c>
    </row>
    <row r="269" spans="1:11">
      <c r="A269">
        <v>753466</v>
      </c>
      <c r="B269" t="s">
        <v>567</v>
      </c>
      <c r="C269" t="s">
        <v>515</v>
      </c>
      <c r="D269" t="s">
        <v>516</v>
      </c>
      <c r="E269">
        <v>4</v>
      </c>
      <c r="F269">
        <v>1</v>
      </c>
      <c r="H269">
        <v>1</v>
      </c>
      <c r="K269">
        <v>52</v>
      </c>
    </row>
    <row r="270" spans="1:11">
      <c r="A270">
        <v>753467</v>
      </c>
      <c r="B270" t="s">
        <v>568</v>
      </c>
      <c r="C270" t="s">
        <v>515</v>
      </c>
      <c r="D270" t="s">
        <v>516</v>
      </c>
      <c r="E270">
        <v>4</v>
      </c>
      <c r="F270">
        <v>1</v>
      </c>
      <c r="H270">
        <v>1</v>
      </c>
      <c r="K270">
        <v>53</v>
      </c>
    </row>
    <row r="271" spans="1:11">
      <c r="A271">
        <v>753468</v>
      </c>
      <c r="B271" t="s">
        <v>569</v>
      </c>
      <c r="C271" t="s">
        <v>515</v>
      </c>
      <c r="D271" t="s">
        <v>516</v>
      </c>
      <c r="E271">
        <v>4</v>
      </c>
      <c r="F271">
        <v>1</v>
      </c>
      <c r="H271">
        <v>1</v>
      </c>
      <c r="K271">
        <v>54</v>
      </c>
    </row>
    <row r="272" spans="1:11">
      <c r="A272">
        <v>753469</v>
      </c>
      <c r="B272" t="s">
        <v>570</v>
      </c>
      <c r="C272" t="s">
        <v>515</v>
      </c>
      <c r="D272" t="s">
        <v>516</v>
      </c>
      <c r="E272">
        <v>4</v>
      </c>
      <c r="F272">
        <v>1</v>
      </c>
      <c r="H272">
        <v>1</v>
      </c>
      <c r="K272">
        <v>55</v>
      </c>
    </row>
    <row r="273" spans="1:11">
      <c r="A273">
        <v>753470</v>
      </c>
      <c r="B273" t="s">
        <v>571</v>
      </c>
      <c r="C273" t="s">
        <v>515</v>
      </c>
      <c r="D273" t="s">
        <v>516</v>
      </c>
      <c r="E273">
        <v>4</v>
      </c>
      <c r="F273">
        <v>1</v>
      </c>
      <c r="H273">
        <v>1</v>
      </c>
      <c r="K273">
        <v>56</v>
      </c>
    </row>
    <row r="274" spans="1:11">
      <c r="A274">
        <v>753471</v>
      </c>
      <c r="B274" t="s">
        <v>572</v>
      </c>
      <c r="C274" t="s">
        <v>515</v>
      </c>
      <c r="D274" t="s">
        <v>516</v>
      </c>
      <c r="E274">
        <v>4</v>
      </c>
      <c r="F274">
        <v>1</v>
      </c>
      <c r="H274">
        <v>1</v>
      </c>
      <c r="K274">
        <v>57</v>
      </c>
    </row>
    <row r="275" spans="1:11">
      <c r="A275">
        <v>753472</v>
      </c>
      <c r="B275" t="s">
        <v>573</v>
      </c>
      <c r="C275" t="s">
        <v>515</v>
      </c>
      <c r="D275" t="s">
        <v>516</v>
      </c>
      <c r="E275">
        <v>4</v>
      </c>
      <c r="F275">
        <v>1</v>
      </c>
      <c r="H275">
        <v>1</v>
      </c>
      <c r="K275">
        <v>58</v>
      </c>
    </row>
    <row r="276" spans="1:11">
      <c r="A276">
        <v>753473</v>
      </c>
      <c r="B276" t="s">
        <v>574</v>
      </c>
      <c r="C276" t="s">
        <v>515</v>
      </c>
      <c r="D276" t="s">
        <v>516</v>
      </c>
      <c r="E276">
        <v>4</v>
      </c>
      <c r="F276">
        <v>1</v>
      </c>
      <c r="H276">
        <v>1</v>
      </c>
      <c r="K276">
        <v>59</v>
      </c>
    </row>
    <row r="277" spans="1:11">
      <c r="A277">
        <v>753474</v>
      </c>
      <c r="B277" t="s">
        <v>575</v>
      </c>
      <c r="C277" t="s">
        <v>515</v>
      </c>
      <c r="D277" t="s">
        <v>516</v>
      </c>
      <c r="E277">
        <v>4</v>
      </c>
      <c r="F277">
        <v>1</v>
      </c>
      <c r="H277">
        <v>1</v>
      </c>
      <c r="K277">
        <v>60</v>
      </c>
    </row>
    <row r="278" spans="1:11">
      <c r="A278">
        <v>753475</v>
      </c>
      <c r="B278" t="s">
        <v>576</v>
      </c>
      <c r="C278" t="s">
        <v>515</v>
      </c>
      <c r="D278" t="s">
        <v>516</v>
      </c>
      <c r="E278">
        <v>4</v>
      </c>
      <c r="F278">
        <v>1</v>
      </c>
      <c r="H278">
        <v>1</v>
      </c>
      <c r="K278">
        <v>61</v>
      </c>
    </row>
    <row r="279" spans="1:11">
      <c r="A279">
        <v>753476</v>
      </c>
      <c r="B279" t="s">
        <v>577</v>
      </c>
      <c r="C279" t="s">
        <v>515</v>
      </c>
      <c r="D279" t="s">
        <v>516</v>
      </c>
      <c r="E279">
        <v>4</v>
      </c>
      <c r="F279">
        <v>1</v>
      </c>
      <c r="H279">
        <v>1</v>
      </c>
      <c r="K279">
        <v>62</v>
      </c>
    </row>
    <row r="280" spans="1:11">
      <c r="A280">
        <v>753477</v>
      </c>
      <c r="B280" t="s">
        <v>578</v>
      </c>
      <c r="C280" t="s">
        <v>515</v>
      </c>
      <c r="D280" t="s">
        <v>516</v>
      </c>
      <c r="E280">
        <v>4</v>
      </c>
      <c r="F280">
        <v>1</v>
      </c>
      <c r="H280">
        <v>1</v>
      </c>
      <c r="K280">
        <v>63</v>
      </c>
    </row>
    <row r="281" spans="1:11">
      <c r="A281">
        <v>753478</v>
      </c>
      <c r="B281" t="s">
        <v>579</v>
      </c>
      <c r="C281" t="s">
        <v>515</v>
      </c>
      <c r="D281" t="s">
        <v>516</v>
      </c>
      <c r="E281">
        <v>4</v>
      </c>
      <c r="F281">
        <v>1</v>
      </c>
      <c r="H281">
        <v>1</v>
      </c>
      <c r="K281">
        <v>64</v>
      </c>
    </row>
    <row r="282" spans="1:11">
      <c r="A282">
        <v>753479</v>
      </c>
      <c r="B282" t="s">
        <v>580</v>
      </c>
      <c r="C282" t="s">
        <v>515</v>
      </c>
      <c r="D282" t="s">
        <v>516</v>
      </c>
      <c r="E282">
        <v>4</v>
      </c>
      <c r="F282">
        <v>1</v>
      </c>
      <c r="H282">
        <v>1</v>
      </c>
      <c r="K282">
        <v>65</v>
      </c>
    </row>
    <row r="283" spans="1:11">
      <c r="A283">
        <v>753480</v>
      </c>
      <c r="B283" t="s">
        <v>581</v>
      </c>
      <c r="C283" t="s">
        <v>515</v>
      </c>
      <c r="D283" t="s">
        <v>516</v>
      </c>
      <c r="E283">
        <v>4</v>
      </c>
      <c r="F283">
        <v>1</v>
      </c>
      <c r="H283">
        <v>1</v>
      </c>
      <c r="K283">
        <v>66</v>
      </c>
    </row>
    <row r="284" spans="1:11">
      <c r="A284">
        <v>753481</v>
      </c>
      <c r="B284" t="s">
        <v>582</v>
      </c>
      <c r="C284" t="s">
        <v>515</v>
      </c>
      <c r="D284" t="s">
        <v>516</v>
      </c>
      <c r="E284">
        <v>4</v>
      </c>
      <c r="F284">
        <v>1</v>
      </c>
      <c r="H284">
        <v>1</v>
      </c>
      <c r="K284">
        <v>67</v>
      </c>
    </row>
    <row r="285" spans="1:11">
      <c r="A285">
        <v>753482</v>
      </c>
      <c r="B285" t="s">
        <v>583</v>
      </c>
      <c r="C285" t="s">
        <v>515</v>
      </c>
      <c r="D285" t="s">
        <v>516</v>
      </c>
      <c r="E285">
        <v>4</v>
      </c>
      <c r="F285">
        <v>1</v>
      </c>
      <c r="H285">
        <v>1</v>
      </c>
      <c r="K285">
        <v>68</v>
      </c>
    </row>
    <row r="286" spans="1:11">
      <c r="A286">
        <v>753483</v>
      </c>
      <c r="B286" t="s">
        <v>584</v>
      </c>
      <c r="C286" t="s">
        <v>515</v>
      </c>
      <c r="D286" t="s">
        <v>516</v>
      </c>
      <c r="E286">
        <v>4</v>
      </c>
      <c r="F286">
        <v>1</v>
      </c>
      <c r="H286">
        <v>1</v>
      </c>
      <c r="K286">
        <v>69</v>
      </c>
    </row>
    <row r="287" spans="1:11">
      <c r="A287">
        <v>753484</v>
      </c>
      <c r="B287" t="s">
        <v>585</v>
      </c>
      <c r="C287" t="s">
        <v>515</v>
      </c>
      <c r="D287" t="s">
        <v>516</v>
      </c>
      <c r="E287">
        <v>4</v>
      </c>
      <c r="F287">
        <v>1</v>
      </c>
      <c r="H287">
        <v>1</v>
      </c>
      <c r="K287">
        <v>70</v>
      </c>
    </row>
    <row r="288" spans="1:11">
      <c r="A288">
        <v>753485</v>
      </c>
      <c r="B288" t="s">
        <v>586</v>
      </c>
      <c r="C288" t="s">
        <v>515</v>
      </c>
      <c r="D288" t="s">
        <v>516</v>
      </c>
      <c r="E288">
        <v>4</v>
      </c>
      <c r="F288">
        <v>1</v>
      </c>
      <c r="H288">
        <v>1</v>
      </c>
      <c r="K288">
        <v>71</v>
      </c>
    </row>
    <row r="289" spans="1:11">
      <c r="A289">
        <v>753932</v>
      </c>
      <c r="B289" t="s">
        <v>587</v>
      </c>
      <c r="C289" t="s">
        <v>588</v>
      </c>
      <c r="D289" t="s">
        <v>589</v>
      </c>
      <c r="E289">
        <v>5</v>
      </c>
      <c r="F289">
        <v>1</v>
      </c>
      <c r="H289">
        <v>1</v>
      </c>
      <c r="K289">
        <v>1</v>
      </c>
    </row>
    <row r="290" spans="1:11">
      <c r="A290">
        <v>753933</v>
      </c>
      <c r="B290" t="s">
        <v>590</v>
      </c>
      <c r="C290" t="s">
        <v>588</v>
      </c>
      <c r="D290" t="s">
        <v>589</v>
      </c>
      <c r="E290">
        <v>5</v>
      </c>
      <c r="F290">
        <v>1</v>
      </c>
      <c r="H290">
        <v>1</v>
      </c>
      <c r="K290">
        <v>2</v>
      </c>
    </row>
    <row r="291" spans="1:11">
      <c r="A291">
        <v>753934</v>
      </c>
      <c r="B291" t="s">
        <v>591</v>
      </c>
      <c r="C291" t="s">
        <v>588</v>
      </c>
      <c r="D291" t="s">
        <v>589</v>
      </c>
      <c r="E291">
        <v>5</v>
      </c>
      <c r="F291">
        <v>1</v>
      </c>
      <c r="H291">
        <v>1</v>
      </c>
      <c r="K291">
        <v>3</v>
      </c>
    </row>
    <row r="292" spans="1:11">
      <c r="A292">
        <v>753935</v>
      </c>
      <c r="B292" t="s">
        <v>592</v>
      </c>
      <c r="C292" t="s">
        <v>588</v>
      </c>
      <c r="D292" t="s">
        <v>589</v>
      </c>
      <c r="E292">
        <v>5</v>
      </c>
      <c r="F292">
        <v>1</v>
      </c>
      <c r="H292">
        <v>1</v>
      </c>
      <c r="K292">
        <v>4</v>
      </c>
    </row>
    <row r="293" spans="1:11">
      <c r="A293">
        <v>753936</v>
      </c>
      <c r="B293" t="s">
        <v>593</v>
      </c>
      <c r="C293" t="s">
        <v>588</v>
      </c>
      <c r="D293" t="s">
        <v>589</v>
      </c>
      <c r="E293">
        <v>5</v>
      </c>
      <c r="F293">
        <v>1</v>
      </c>
      <c r="H293">
        <v>1</v>
      </c>
      <c r="K293">
        <v>5</v>
      </c>
    </row>
    <row r="294" spans="1:11">
      <c r="A294">
        <v>753937</v>
      </c>
      <c r="B294" t="s">
        <v>594</v>
      </c>
      <c r="C294" t="s">
        <v>588</v>
      </c>
      <c r="D294" t="s">
        <v>589</v>
      </c>
      <c r="E294">
        <v>5</v>
      </c>
      <c r="F294">
        <v>1</v>
      </c>
      <c r="H294">
        <v>1</v>
      </c>
      <c r="K294">
        <v>6</v>
      </c>
    </row>
    <row r="295" spans="1:11">
      <c r="A295">
        <v>753938</v>
      </c>
      <c r="B295" t="s">
        <v>595</v>
      </c>
      <c r="C295" t="s">
        <v>588</v>
      </c>
      <c r="D295" t="s">
        <v>589</v>
      </c>
      <c r="E295">
        <v>5</v>
      </c>
      <c r="F295">
        <v>1</v>
      </c>
      <c r="H295">
        <v>1</v>
      </c>
      <c r="K295">
        <v>7</v>
      </c>
    </row>
    <row r="296" spans="1:11">
      <c r="A296">
        <v>753939</v>
      </c>
      <c r="B296" t="s">
        <v>596</v>
      </c>
      <c r="C296" t="s">
        <v>588</v>
      </c>
      <c r="D296" t="s">
        <v>589</v>
      </c>
      <c r="E296">
        <v>5</v>
      </c>
      <c r="F296">
        <v>1</v>
      </c>
      <c r="H296">
        <v>1</v>
      </c>
      <c r="K296">
        <v>8</v>
      </c>
    </row>
    <row r="297" spans="1:11">
      <c r="A297">
        <v>753940</v>
      </c>
      <c r="B297" t="s">
        <v>597</v>
      </c>
      <c r="C297" t="s">
        <v>588</v>
      </c>
      <c r="D297" t="s">
        <v>589</v>
      </c>
      <c r="E297">
        <v>5</v>
      </c>
      <c r="F297">
        <v>1</v>
      </c>
      <c r="H297">
        <v>1</v>
      </c>
      <c r="K297">
        <v>9</v>
      </c>
    </row>
    <row r="298" spans="1:11">
      <c r="A298">
        <v>753941</v>
      </c>
      <c r="B298" t="s">
        <v>598</v>
      </c>
      <c r="C298" t="s">
        <v>588</v>
      </c>
      <c r="D298" t="s">
        <v>589</v>
      </c>
      <c r="E298">
        <v>5</v>
      </c>
      <c r="F298">
        <v>1</v>
      </c>
      <c r="H298">
        <v>1</v>
      </c>
      <c r="K298">
        <v>10</v>
      </c>
    </row>
    <row r="299" spans="1:11">
      <c r="A299">
        <v>753942</v>
      </c>
      <c r="B299" t="s">
        <v>599</v>
      </c>
      <c r="C299" t="s">
        <v>588</v>
      </c>
      <c r="D299" t="s">
        <v>589</v>
      </c>
      <c r="E299">
        <v>5</v>
      </c>
      <c r="F299">
        <v>1</v>
      </c>
      <c r="H299">
        <v>1</v>
      </c>
      <c r="K299">
        <v>11</v>
      </c>
    </row>
    <row r="300" spans="1:11">
      <c r="A300">
        <v>753943</v>
      </c>
      <c r="B300" t="s">
        <v>600</v>
      </c>
      <c r="C300" t="s">
        <v>588</v>
      </c>
      <c r="D300" t="s">
        <v>589</v>
      </c>
      <c r="E300">
        <v>5</v>
      </c>
      <c r="F300">
        <v>1</v>
      </c>
      <c r="H300">
        <v>1</v>
      </c>
      <c r="K300">
        <v>12</v>
      </c>
    </row>
    <row r="301" spans="1:11">
      <c r="A301">
        <v>753944</v>
      </c>
      <c r="B301" t="s">
        <v>601</v>
      </c>
      <c r="C301" t="s">
        <v>588</v>
      </c>
      <c r="D301" t="s">
        <v>589</v>
      </c>
      <c r="E301">
        <v>5</v>
      </c>
      <c r="F301">
        <v>1</v>
      </c>
      <c r="H301">
        <v>1</v>
      </c>
      <c r="K301">
        <v>13</v>
      </c>
    </row>
    <row r="302" spans="1:11">
      <c r="A302">
        <v>753945</v>
      </c>
      <c r="B302" t="s">
        <v>602</v>
      </c>
      <c r="C302" t="s">
        <v>588</v>
      </c>
      <c r="D302" t="s">
        <v>589</v>
      </c>
      <c r="E302">
        <v>5</v>
      </c>
      <c r="F302">
        <v>1</v>
      </c>
      <c r="H302">
        <v>1</v>
      </c>
      <c r="K302">
        <v>14</v>
      </c>
    </row>
    <row r="303" spans="1:11">
      <c r="A303">
        <v>753946</v>
      </c>
      <c r="B303" t="s">
        <v>603</v>
      </c>
      <c r="C303" t="s">
        <v>588</v>
      </c>
      <c r="D303" t="s">
        <v>589</v>
      </c>
      <c r="E303">
        <v>5</v>
      </c>
      <c r="F303">
        <v>1</v>
      </c>
      <c r="H303">
        <v>1</v>
      </c>
      <c r="K303">
        <v>15</v>
      </c>
    </row>
    <row r="304" spans="1:11">
      <c r="A304">
        <v>753947</v>
      </c>
      <c r="B304" t="s">
        <v>604</v>
      </c>
      <c r="C304" t="s">
        <v>588</v>
      </c>
      <c r="D304" t="s">
        <v>589</v>
      </c>
      <c r="E304">
        <v>5</v>
      </c>
      <c r="F304">
        <v>1</v>
      </c>
      <c r="H304">
        <v>1</v>
      </c>
      <c r="K304">
        <v>16</v>
      </c>
    </row>
    <row r="305" spans="1:11">
      <c r="A305">
        <v>753948</v>
      </c>
      <c r="B305" t="s">
        <v>605</v>
      </c>
      <c r="C305" t="s">
        <v>588</v>
      </c>
      <c r="D305" t="s">
        <v>589</v>
      </c>
      <c r="E305">
        <v>5</v>
      </c>
      <c r="F305">
        <v>1</v>
      </c>
      <c r="H305">
        <v>1</v>
      </c>
      <c r="K305">
        <v>17</v>
      </c>
    </row>
    <row r="306" spans="1:11">
      <c r="A306">
        <v>753949</v>
      </c>
      <c r="B306" t="s">
        <v>606</v>
      </c>
      <c r="C306" t="s">
        <v>588</v>
      </c>
      <c r="D306" t="s">
        <v>589</v>
      </c>
      <c r="E306">
        <v>5</v>
      </c>
      <c r="F306">
        <v>1</v>
      </c>
      <c r="H306">
        <v>1</v>
      </c>
      <c r="K306">
        <v>18</v>
      </c>
    </row>
    <row r="307" spans="1:11">
      <c r="A307">
        <v>753950</v>
      </c>
      <c r="B307" t="s">
        <v>607</v>
      </c>
      <c r="C307" t="s">
        <v>588</v>
      </c>
      <c r="D307" t="s">
        <v>589</v>
      </c>
      <c r="E307">
        <v>5</v>
      </c>
      <c r="F307">
        <v>1</v>
      </c>
      <c r="H307">
        <v>1</v>
      </c>
      <c r="K307">
        <v>19</v>
      </c>
    </row>
    <row r="308" spans="1:11">
      <c r="A308">
        <v>753951</v>
      </c>
      <c r="B308" t="s">
        <v>608</v>
      </c>
      <c r="C308" t="s">
        <v>588</v>
      </c>
      <c r="D308" t="s">
        <v>589</v>
      </c>
      <c r="E308">
        <v>5</v>
      </c>
      <c r="F308">
        <v>1</v>
      </c>
      <c r="H308">
        <v>1</v>
      </c>
      <c r="K308">
        <v>20</v>
      </c>
    </row>
    <row r="309" spans="1:11">
      <c r="A309">
        <v>753952</v>
      </c>
      <c r="B309" t="s">
        <v>609</v>
      </c>
      <c r="C309" t="s">
        <v>588</v>
      </c>
      <c r="D309" t="s">
        <v>589</v>
      </c>
      <c r="E309">
        <v>5</v>
      </c>
      <c r="F309">
        <v>1</v>
      </c>
      <c r="H309">
        <v>1</v>
      </c>
      <c r="K309">
        <v>21</v>
      </c>
    </row>
    <row r="310" spans="1:11">
      <c r="A310">
        <v>753953</v>
      </c>
      <c r="B310" t="s">
        <v>610</v>
      </c>
      <c r="C310" t="s">
        <v>588</v>
      </c>
      <c r="D310" t="s">
        <v>589</v>
      </c>
      <c r="E310">
        <v>5</v>
      </c>
      <c r="F310">
        <v>1</v>
      </c>
      <c r="H310">
        <v>1</v>
      </c>
      <c r="K310">
        <v>22</v>
      </c>
    </row>
    <row r="311" spans="1:11">
      <c r="A311">
        <v>753954</v>
      </c>
      <c r="B311" t="s">
        <v>611</v>
      </c>
      <c r="C311" t="s">
        <v>588</v>
      </c>
      <c r="D311" t="s">
        <v>589</v>
      </c>
      <c r="E311">
        <v>5</v>
      </c>
      <c r="F311">
        <v>1</v>
      </c>
      <c r="H311">
        <v>1</v>
      </c>
      <c r="K311">
        <v>23</v>
      </c>
    </row>
    <row r="312" spans="1:11">
      <c r="A312">
        <v>753955</v>
      </c>
      <c r="B312" t="s">
        <v>612</v>
      </c>
      <c r="C312" t="s">
        <v>588</v>
      </c>
      <c r="D312" t="s">
        <v>589</v>
      </c>
      <c r="E312">
        <v>5</v>
      </c>
      <c r="F312">
        <v>1</v>
      </c>
      <c r="H312">
        <v>1</v>
      </c>
      <c r="K312">
        <v>24</v>
      </c>
    </row>
    <row r="313" spans="1:11">
      <c r="A313">
        <v>753956</v>
      </c>
      <c r="B313" t="s">
        <v>613</v>
      </c>
      <c r="C313" t="s">
        <v>588</v>
      </c>
      <c r="D313" t="s">
        <v>589</v>
      </c>
      <c r="E313">
        <v>5</v>
      </c>
      <c r="F313">
        <v>1</v>
      </c>
      <c r="H313">
        <v>1</v>
      </c>
      <c r="K313">
        <v>25</v>
      </c>
    </row>
    <row r="314" spans="1:11">
      <c r="A314">
        <v>753957</v>
      </c>
      <c r="B314" t="s">
        <v>614</v>
      </c>
      <c r="C314" t="s">
        <v>588</v>
      </c>
      <c r="D314" t="s">
        <v>589</v>
      </c>
      <c r="E314">
        <v>5</v>
      </c>
      <c r="F314">
        <v>1</v>
      </c>
      <c r="H314">
        <v>1</v>
      </c>
      <c r="K314">
        <v>26</v>
      </c>
    </row>
    <row r="315" spans="1:11">
      <c r="A315">
        <v>753958</v>
      </c>
      <c r="B315" t="s">
        <v>615</v>
      </c>
      <c r="C315" t="s">
        <v>588</v>
      </c>
      <c r="D315" t="s">
        <v>589</v>
      </c>
      <c r="E315">
        <v>5</v>
      </c>
      <c r="F315">
        <v>1</v>
      </c>
      <c r="H315">
        <v>1</v>
      </c>
      <c r="K315">
        <v>27</v>
      </c>
    </row>
    <row r="316" spans="1:11">
      <c r="A316">
        <v>753959</v>
      </c>
      <c r="B316" t="s">
        <v>616</v>
      </c>
      <c r="C316" t="s">
        <v>588</v>
      </c>
      <c r="D316" t="s">
        <v>589</v>
      </c>
      <c r="E316">
        <v>5</v>
      </c>
      <c r="F316">
        <v>1</v>
      </c>
      <c r="H316">
        <v>1</v>
      </c>
      <c r="K316">
        <v>28</v>
      </c>
    </row>
    <row r="317" spans="1:11">
      <c r="A317">
        <v>753960</v>
      </c>
      <c r="B317" t="s">
        <v>617</v>
      </c>
      <c r="C317" t="s">
        <v>588</v>
      </c>
      <c r="D317" t="s">
        <v>589</v>
      </c>
      <c r="E317">
        <v>5</v>
      </c>
      <c r="F317">
        <v>1</v>
      </c>
      <c r="H317">
        <v>1</v>
      </c>
      <c r="K317">
        <v>29</v>
      </c>
    </row>
    <row r="318" spans="1:11">
      <c r="A318">
        <v>753961</v>
      </c>
      <c r="B318" t="s">
        <v>618</v>
      </c>
      <c r="C318" t="s">
        <v>588</v>
      </c>
      <c r="D318" t="s">
        <v>589</v>
      </c>
      <c r="E318">
        <v>5</v>
      </c>
      <c r="F318">
        <v>1</v>
      </c>
      <c r="H318">
        <v>1</v>
      </c>
      <c r="K318">
        <v>30</v>
      </c>
    </row>
    <row r="319" spans="1:11">
      <c r="A319">
        <v>753962</v>
      </c>
      <c r="B319" t="s">
        <v>619</v>
      </c>
      <c r="C319" t="s">
        <v>588</v>
      </c>
      <c r="D319" t="s">
        <v>589</v>
      </c>
      <c r="E319">
        <v>5</v>
      </c>
      <c r="F319">
        <v>1</v>
      </c>
      <c r="H319">
        <v>1</v>
      </c>
      <c r="K319">
        <v>31</v>
      </c>
    </row>
    <row r="320" spans="1:11">
      <c r="A320">
        <v>753963</v>
      </c>
      <c r="B320" t="s">
        <v>620</v>
      </c>
      <c r="C320" t="s">
        <v>588</v>
      </c>
      <c r="D320" t="s">
        <v>589</v>
      </c>
      <c r="E320">
        <v>5</v>
      </c>
      <c r="F320">
        <v>1</v>
      </c>
      <c r="H320">
        <v>1</v>
      </c>
      <c r="K320">
        <v>32</v>
      </c>
    </row>
    <row r="321" spans="1:11">
      <c r="A321">
        <v>753964</v>
      </c>
      <c r="B321" t="s">
        <v>621</v>
      </c>
      <c r="C321" t="s">
        <v>588</v>
      </c>
      <c r="D321" t="s">
        <v>589</v>
      </c>
      <c r="E321">
        <v>5</v>
      </c>
      <c r="F321">
        <v>1</v>
      </c>
      <c r="H321">
        <v>1</v>
      </c>
      <c r="K321">
        <v>33</v>
      </c>
    </row>
    <row r="322" spans="1:11">
      <c r="A322">
        <v>753965</v>
      </c>
      <c r="B322" t="s">
        <v>622</v>
      </c>
      <c r="C322" t="s">
        <v>588</v>
      </c>
      <c r="D322" t="s">
        <v>589</v>
      </c>
      <c r="E322">
        <v>5</v>
      </c>
      <c r="F322">
        <v>1</v>
      </c>
      <c r="H322">
        <v>1</v>
      </c>
      <c r="K322">
        <v>34</v>
      </c>
    </row>
    <row r="323" spans="1:11">
      <c r="A323">
        <v>753966</v>
      </c>
      <c r="B323" t="s">
        <v>623</v>
      </c>
      <c r="C323" t="s">
        <v>588</v>
      </c>
      <c r="D323" t="s">
        <v>589</v>
      </c>
      <c r="E323">
        <v>5</v>
      </c>
      <c r="F323">
        <v>1</v>
      </c>
      <c r="H323">
        <v>1</v>
      </c>
      <c r="K323">
        <v>35</v>
      </c>
    </row>
    <row r="324" spans="1:11">
      <c r="A324">
        <v>753967</v>
      </c>
      <c r="B324" t="s">
        <v>624</v>
      </c>
      <c r="C324" t="s">
        <v>588</v>
      </c>
      <c r="D324" t="s">
        <v>589</v>
      </c>
      <c r="E324">
        <v>5</v>
      </c>
      <c r="F324">
        <v>1</v>
      </c>
      <c r="H324">
        <v>1</v>
      </c>
      <c r="K324">
        <v>36</v>
      </c>
    </row>
    <row r="325" spans="1:11">
      <c r="A325">
        <v>753968</v>
      </c>
      <c r="B325" t="s">
        <v>625</v>
      </c>
      <c r="C325" t="s">
        <v>588</v>
      </c>
      <c r="D325" t="s">
        <v>589</v>
      </c>
      <c r="E325">
        <v>5</v>
      </c>
      <c r="F325">
        <v>1</v>
      </c>
      <c r="H325">
        <v>1</v>
      </c>
      <c r="K325">
        <v>37</v>
      </c>
    </row>
    <row r="326" spans="1:11">
      <c r="A326">
        <v>753969</v>
      </c>
      <c r="B326" t="s">
        <v>626</v>
      </c>
      <c r="C326" t="s">
        <v>588</v>
      </c>
      <c r="D326" t="s">
        <v>589</v>
      </c>
      <c r="E326">
        <v>5</v>
      </c>
      <c r="F326">
        <v>1</v>
      </c>
      <c r="H326">
        <v>1</v>
      </c>
      <c r="K326">
        <v>38</v>
      </c>
    </row>
    <row r="327" spans="1:11">
      <c r="A327">
        <v>753970</v>
      </c>
      <c r="B327" t="s">
        <v>627</v>
      </c>
      <c r="C327" t="s">
        <v>588</v>
      </c>
      <c r="D327" t="s">
        <v>589</v>
      </c>
      <c r="E327">
        <v>5</v>
      </c>
      <c r="F327">
        <v>1</v>
      </c>
      <c r="H327">
        <v>1</v>
      </c>
      <c r="K327">
        <v>39</v>
      </c>
    </row>
    <row r="328" spans="1:11">
      <c r="A328">
        <v>753971</v>
      </c>
      <c r="B328" t="s">
        <v>628</v>
      </c>
      <c r="C328" t="s">
        <v>588</v>
      </c>
      <c r="D328" t="s">
        <v>589</v>
      </c>
      <c r="E328">
        <v>5</v>
      </c>
      <c r="F328">
        <v>1</v>
      </c>
      <c r="H328">
        <v>1</v>
      </c>
      <c r="K328">
        <v>40</v>
      </c>
    </row>
    <row r="329" spans="1:11">
      <c r="A329">
        <v>753972</v>
      </c>
      <c r="B329" t="s">
        <v>629</v>
      </c>
      <c r="C329" t="s">
        <v>588</v>
      </c>
      <c r="D329" t="s">
        <v>589</v>
      </c>
      <c r="E329">
        <v>5</v>
      </c>
      <c r="F329">
        <v>1</v>
      </c>
      <c r="H329">
        <v>1</v>
      </c>
      <c r="K329">
        <v>41</v>
      </c>
    </row>
    <row r="330" spans="1:11">
      <c r="A330">
        <v>753973</v>
      </c>
      <c r="B330" t="s">
        <v>630</v>
      </c>
      <c r="C330" t="s">
        <v>588</v>
      </c>
      <c r="D330" t="s">
        <v>589</v>
      </c>
      <c r="E330">
        <v>5</v>
      </c>
      <c r="F330">
        <v>1</v>
      </c>
      <c r="H330">
        <v>1</v>
      </c>
      <c r="K330">
        <v>42</v>
      </c>
    </row>
    <row r="331" spans="1:11">
      <c r="A331">
        <v>753974</v>
      </c>
      <c r="B331" t="s">
        <v>631</v>
      </c>
      <c r="C331" t="s">
        <v>588</v>
      </c>
      <c r="D331" t="s">
        <v>589</v>
      </c>
      <c r="E331">
        <v>5</v>
      </c>
      <c r="F331">
        <v>1</v>
      </c>
      <c r="H331">
        <v>1</v>
      </c>
      <c r="K331">
        <v>43</v>
      </c>
    </row>
    <row r="332" spans="1:11">
      <c r="A332">
        <v>753975</v>
      </c>
      <c r="B332" t="s">
        <v>632</v>
      </c>
      <c r="C332" t="s">
        <v>588</v>
      </c>
      <c r="D332" t="s">
        <v>589</v>
      </c>
      <c r="E332">
        <v>5</v>
      </c>
      <c r="F332">
        <v>1</v>
      </c>
      <c r="H332">
        <v>1</v>
      </c>
      <c r="K332">
        <v>44</v>
      </c>
    </row>
    <row r="333" spans="1:11">
      <c r="A333">
        <v>753976</v>
      </c>
      <c r="B333" t="s">
        <v>633</v>
      </c>
      <c r="C333" t="s">
        <v>588</v>
      </c>
      <c r="D333" t="s">
        <v>589</v>
      </c>
      <c r="E333">
        <v>5</v>
      </c>
      <c r="F333">
        <v>1</v>
      </c>
      <c r="H333">
        <v>1</v>
      </c>
      <c r="K333">
        <v>45</v>
      </c>
    </row>
    <row r="334" spans="1:11">
      <c r="A334">
        <v>753977</v>
      </c>
      <c r="B334" t="s">
        <v>634</v>
      </c>
      <c r="C334" t="s">
        <v>588</v>
      </c>
      <c r="D334" t="s">
        <v>589</v>
      </c>
      <c r="E334">
        <v>5</v>
      </c>
      <c r="F334">
        <v>1</v>
      </c>
      <c r="H334">
        <v>1</v>
      </c>
      <c r="K334">
        <v>46</v>
      </c>
    </row>
    <row r="335" spans="1:11">
      <c r="A335">
        <v>753978</v>
      </c>
      <c r="B335" t="s">
        <v>635</v>
      </c>
      <c r="C335" t="s">
        <v>588</v>
      </c>
      <c r="D335" t="s">
        <v>589</v>
      </c>
      <c r="E335">
        <v>5</v>
      </c>
      <c r="F335">
        <v>1</v>
      </c>
      <c r="H335">
        <v>1</v>
      </c>
      <c r="K335">
        <v>47</v>
      </c>
    </row>
    <row r="336" spans="1:11">
      <c r="A336">
        <v>753979</v>
      </c>
      <c r="B336" t="s">
        <v>636</v>
      </c>
      <c r="C336" t="s">
        <v>588</v>
      </c>
      <c r="D336" t="s">
        <v>589</v>
      </c>
      <c r="E336">
        <v>5</v>
      </c>
      <c r="F336">
        <v>1</v>
      </c>
      <c r="H336">
        <v>1</v>
      </c>
      <c r="K336">
        <v>48</v>
      </c>
    </row>
    <row r="337" spans="1:11">
      <c r="A337">
        <v>753980</v>
      </c>
      <c r="B337" t="s">
        <v>637</v>
      </c>
      <c r="C337" t="s">
        <v>588</v>
      </c>
      <c r="D337" t="s">
        <v>589</v>
      </c>
      <c r="E337">
        <v>5</v>
      </c>
      <c r="F337">
        <v>1</v>
      </c>
      <c r="H337">
        <v>1</v>
      </c>
      <c r="K337">
        <v>49</v>
      </c>
    </row>
    <row r="338" spans="1:11">
      <c r="A338">
        <v>753981</v>
      </c>
      <c r="B338" t="s">
        <v>638</v>
      </c>
      <c r="C338" t="s">
        <v>588</v>
      </c>
      <c r="D338" t="s">
        <v>589</v>
      </c>
      <c r="E338">
        <v>5</v>
      </c>
      <c r="F338">
        <v>1</v>
      </c>
      <c r="H338">
        <v>1</v>
      </c>
      <c r="K338">
        <v>50</v>
      </c>
    </row>
    <row r="339" spans="1:11">
      <c r="A339">
        <v>753982</v>
      </c>
      <c r="B339" t="s">
        <v>639</v>
      </c>
      <c r="C339" t="s">
        <v>588</v>
      </c>
      <c r="D339" t="s">
        <v>589</v>
      </c>
      <c r="E339">
        <v>5</v>
      </c>
      <c r="F339">
        <v>1</v>
      </c>
      <c r="H339">
        <v>1</v>
      </c>
      <c r="K339">
        <v>51</v>
      </c>
    </row>
    <row r="340" spans="1:11">
      <c r="A340">
        <v>753983</v>
      </c>
      <c r="B340" t="s">
        <v>640</v>
      </c>
      <c r="C340" t="s">
        <v>588</v>
      </c>
      <c r="D340" t="s">
        <v>589</v>
      </c>
      <c r="E340">
        <v>5</v>
      </c>
      <c r="F340">
        <v>1</v>
      </c>
      <c r="H340">
        <v>1</v>
      </c>
      <c r="K340">
        <v>52</v>
      </c>
    </row>
    <row r="341" spans="1:11">
      <c r="A341">
        <v>753984</v>
      </c>
      <c r="B341" t="s">
        <v>641</v>
      </c>
      <c r="C341" t="s">
        <v>588</v>
      </c>
      <c r="D341" t="s">
        <v>589</v>
      </c>
      <c r="E341">
        <v>5</v>
      </c>
      <c r="F341">
        <v>1</v>
      </c>
      <c r="H341">
        <v>1</v>
      </c>
      <c r="K341">
        <v>53</v>
      </c>
    </row>
    <row r="342" spans="1:11">
      <c r="A342">
        <v>753985</v>
      </c>
      <c r="B342" t="s">
        <v>642</v>
      </c>
      <c r="C342" t="s">
        <v>588</v>
      </c>
      <c r="D342" t="s">
        <v>589</v>
      </c>
      <c r="E342">
        <v>5</v>
      </c>
      <c r="F342">
        <v>1</v>
      </c>
      <c r="H342">
        <v>1</v>
      </c>
      <c r="K342">
        <v>54</v>
      </c>
    </row>
    <row r="343" spans="1:11">
      <c r="A343">
        <v>753986</v>
      </c>
      <c r="B343" t="s">
        <v>643</v>
      </c>
      <c r="C343" t="s">
        <v>588</v>
      </c>
      <c r="D343" t="s">
        <v>589</v>
      </c>
      <c r="E343">
        <v>5</v>
      </c>
      <c r="F343">
        <v>1</v>
      </c>
      <c r="H343">
        <v>1</v>
      </c>
      <c r="K343">
        <v>55</v>
      </c>
    </row>
    <row r="344" spans="1:11">
      <c r="A344">
        <v>753987</v>
      </c>
      <c r="B344" t="s">
        <v>644</v>
      </c>
      <c r="C344" t="s">
        <v>588</v>
      </c>
      <c r="D344" t="s">
        <v>589</v>
      </c>
      <c r="E344">
        <v>5</v>
      </c>
      <c r="F344">
        <v>1</v>
      </c>
      <c r="H344">
        <v>1</v>
      </c>
      <c r="K344">
        <v>56</v>
      </c>
    </row>
    <row r="345" spans="1:11">
      <c r="A345">
        <v>753988</v>
      </c>
      <c r="B345" t="s">
        <v>645</v>
      </c>
      <c r="C345" t="s">
        <v>588</v>
      </c>
      <c r="D345" t="s">
        <v>589</v>
      </c>
      <c r="E345">
        <v>5</v>
      </c>
      <c r="F345">
        <v>1</v>
      </c>
      <c r="H345">
        <v>1</v>
      </c>
      <c r="K345">
        <v>57</v>
      </c>
    </row>
    <row r="346" spans="1:11">
      <c r="A346">
        <v>753989</v>
      </c>
      <c r="B346" t="s">
        <v>646</v>
      </c>
      <c r="C346" t="s">
        <v>588</v>
      </c>
      <c r="D346" t="s">
        <v>589</v>
      </c>
      <c r="E346">
        <v>5</v>
      </c>
      <c r="F346">
        <v>1</v>
      </c>
      <c r="H346">
        <v>1</v>
      </c>
      <c r="K346">
        <v>58</v>
      </c>
    </row>
    <row r="347" spans="1:11">
      <c r="A347">
        <v>753990</v>
      </c>
      <c r="B347" t="s">
        <v>647</v>
      </c>
      <c r="C347" t="s">
        <v>588</v>
      </c>
      <c r="D347" t="s">
        <v>589</v>
      </c>
      <c r="E347">
        <v>5</v>
      </c>
      <c r="F347">
        <v>1</v>
      </c>
      <c r="H347">
        <v>1</v>
      </c>
      <c r="K347">
        <v>59</v>
      </c>
    </row>
    <row r="348" spans="1:11">
      <c r="A348">
        <v>753991</v>
      </c>
      <c r="B348" t="s">
        <v>648</v>
      </c>
      <c r="C348" t="s">
        <v>588</v>
      </c>
      <c r="D348" t="s">
        <v>589</v>
      </c>
      <c r="E348">
        <v>5</v>
      </c>
      <c r="F348">
        <v>1</v>
      </c>
      <c r="H348">
        <v>1</v>
      </c>
      <c r="K348">
        <v>60</v>
      </c>
    </row>
    <row r="349" spans="1:11">
      <c r="A349">
        <v>753992</v>
      </c>
      <c r="B349" t="s">
        <v>649</v>
      </c>
      <c r="C349" t="s">
        <v>588</v>
      </c>
      <c r="D349" t="s">
        <v>589</v>
      </c>
      <c r="E349">
        <v>5</v>
      </c>
      <c r="F349">
        <v>1</v>
      </c>
      <c r="H349">
        <v>1</v>
      </c>
      <c r="K349">
        <v>61</v>
      </c>
    </row>
    <row r="350" spans="1:11">
      <c r="A350">
        <v>753993</v>
      </c>
      <c r="B350" t="s">
        <v>650</v>
      </c>
      <c r="C350" t="s">
        <v>588</v>
      </c>
      <c r="D350" t="s">
        <v>589</v>
      </c>
      <c r="E350">
        <v>5</v>
      </c>
      <c r="F350">
        <v>1</v>
      </c>
      <c r="H350">
        <v>1</v>
      </c>
      <c r="K350">
        <v>62</v>
      </c>
    </row>
    <row r="351" spans="1:11">
      <c r="A351">
        <v>753994</v>
      </c>
      <c r="B351" t="s">
        <v>651</v>
      </c>
      <c r="C351" t="s">
        <v>588</v>
      </c>
      <c r="D351" t="s">
        <v>589</v>
      </c>
      <c r="E351">
        <v>5</v>
      </c>
      <c r="F351">
        <v>1</v>
      </c>
      <c r="H351">
        <v>1</v>
      </c>
      <c r="K351">
        <v>63</v>
      </c>
    </row>
    <row r="352" spans="1:11">
      <c r="A352">
        <v>753995</v>
      </c>
      <c r="B352" t="s">
        <v>652</v>
      </c>
      <c r="C352" t="s">
        <v>588</v>
      </c>
      <c r="D352" t="s">
        <v>589</v>
      </c>
      <c r="E352">
        <v>5</v>
      </c>
      <c r="F352">
        <v>1</v>
      </c>
      <c r="H352">
        <v>1</v>
      </c>
      <c r="K352">
        <v>64</v>
      </c>
    </row>
    <row r="353" spans="1:11">
      <c r="A353">
        <v>753996</v>
      </c>
      <c r="B353" t="s">
        <v>653</v>
      </c>
      <c r="C353" t="s">
        <v>588</v>
      </c>
      <c r="D353" t="s">
        <v>589</v>
      </c>
      <c r="E353">
        <v>5</v>
      </c>
      <c r="F353">
        <v>1</v>
      </c>
      <c r="H353">
        <v>1</v>
      </c>
      <c r="K353">
        <v>65</v>
      </c>
    </row>
    <row r="354" spans="1:11">
      <c r="A354">
        <v>753997</v>
      </c>
      <c r="B354" t="s">
        <v>654</v>
      </c>
      <c r="C354" t="s">
        <v>588</v>
      </c>
      <c r="D354" t="s">
        <v>589</v>
      </c>
      <c r="E354">
        <v>5</v>
      </c>
      <c r="F354">
        <v>1</v>
      </c>
      <c r="H354">
        <v>1</v>
      </c>
      <c r="K354">
        <v>66</v>
      </c>
    </row>
    <row r="355" spans="1:11">
      <c r="A355">
        <v>753998</v>
      </c>
      <c r="B355" t="s">
        <v>655</v>
      </c>
      <c r="C355" t="s">
        <v>588</v>
      </c>
      <c r="D355" t="s">
        <v>589</v>
      </c>
      <c r="E355">
        <v>5</v>
      </c>
      <c r="F355">
        <v>1</v>
      </c>
      <c r="H355">
        <v>1</v>
      </c>
      <c r="K355">
        <v>67</v>
      </c>
    </row>
    <row r="356" spans="1:11">
      <c r="A356">
        <v>753999</v>
      </c>
      <c r="B356" t="s">
        <v>656</v>
      </c>
      <c r="C356" t="s">
        <v>588</v>
      </c>
      <c r="D356" t="s">
        <v>589</v>
      </c>
      <c r="E356">
        <v>5</v>
      </c>
      <c r="F356">
        <v>1</v>
      </c>
      <c r="H356">
        <v>1</v>
      </c>
      <c r="K356">
        <v>68</v>
      </c>
    </row>
    <row r="357" spans="1:11">
      <c r="A357">
        <v>754000</v>
      </c>
      <c r="B357" t="s">
        <v>657</v>
      </c>
      <c r="C357" t="s">
        <v>588</v>
      </c>
      <c r="D357" t="s">
        <v>589</v>
      </c>
      <c r="E357">
        <v>5</v>
      </c>
      <c r="F357">
        <v>1</v>
      </c>
      <c r="H357">
        <v>1</v>
      </c>
      <c r="K357">
        <v>69</v>
      </c>
    </row>
    <row r="358" spans="1:11">
      <c r="A358">
        <v>754001</v>
      </c>
      <c r="B358" t="s">
        <v>658</v>
      </c>
      <c r="C358" t="s">
        <v>588</v>
      </c>
      <c r="D358" t="s">
        <v>589</v>
      </c>
      <c r="E358">
        <v>5</v>
      </c>
      <c r="F358">
        <v>1</v>
      </c>
      <c r="H358">
        <v>1</v>
      </c>
      <c r="K358">
        <v>70</v>
      </c>
    </row>
    <row r="359" spans="1:11">
      <c r="A359">
        <v>754002</v>
      </c>
      <c r="B359" t="s">
        <v>659</v>
      </c>
      <c r="C359" t="s">
        <v>588</v>
      </c>
      <c r="D359" t="s">
        <v>589</v>
      </c>
      <c r="E359">
        <v>5</v>
      </c>
      <c r="F359">
        <v>1</v>
      </c>
      <c r="H359">
        <v>1</v>
      </c>
      <c r="K359">
        <v>71</v>
      </c>
    </row>
    <row r="360" spans="1:11">
      <c r="A360">
        <v>753861</v>
      </c>
      <c r="B360" t="s">
        <v>660</v>
      </c>
      <c r="C360" t="s">
        <v>661</v>
      </c>
      <c r="D360" t="s">
        <v>662</v>
      </c>
      <c r="E360">
        <v>6</v>
      </c>
      <c r="F360">
        <v>1</v>
      </c>
      <c r="H360">
        <v>1</v>
      </c>
      <c r="K360">
        <v>1</v>
      </c>
    </row>
    <row r="361" spans="1:11">
      <c r="A361">
        <v>753862</v>
      </c>
      <c r="B361" t="s">
        <v>663</v>
      </c>
      <c r="C361" t="s">
        <v>661</v>
      </c>
      <c r="D361" t="s">
        <v>662</v>
      </c>
      <c r="E361">
        <v>6</v>
      </c>
      <c r="F361">
        <v>1</v>
      </c>
      <c r="H361">
        <v>1</v>
      </c>
      <c r="K361">
        <v>2</v>
      </c>
    </row>
    <row r="362" spans="1:11">
      <c r="A362">
        <v>753863</v>
      </c>
      <c r="B362" t="s">
        <v>664</v>
      </c>
      <c r="C362" t="s">
        <v>661</v>
      </c>
      <c r="D362" t="s">
        <v>662</v>
      </c>
      <c r="E362">
        <v>6</v>
      </c>
      <c r="F362">
        <v>1</v>
      </c>
      <c r="H362">
        <v>1</v>
      </c>
      <c r="K362">
        <v>3</v>
      </c>
    </row>
    <row r="363" spans="1:11">
      <c r="A363">
        <v>753864</v>
      </c>
      <c r="B363" t="s">
        <v>665</v>
      </c>
      <c r="C363" t="s">
        <v>661</v>
      </c>
      <c r="D363" t="s">
        <v>662</v>
      </c>
      <c r="E363">
        <v>6</v>
      </c>
      <c r="F363">
        <v>1</v>
      </c>
      <c r="H363">
        <v>1</v>
      </c>
      <c r="K363">
        <v>4</v>
      </c>
    </row>
    <row r="364" spans="1:11">
      <c r="A364">
        <v>753865</v>
      </c>
      <c r="B364" t="s">
        <v>666</v>
      </c>
      <c r="C364" t="s">
        <v>661</v>
      </c>
      <c r="D364" t="s">
        <v>662</v>
      </c>
      <c r="E364">
        <v>6</v>
      </c>
      <c r="F364">
        <v>1</v>
      </c>
      <c r="H364">
        <v>1</v>
      </c>
      <c r="K364">
        <v>5</v>
      </c>
    </row>
    <row r="365" spans="1:11">
      <c r="A365">
        <v>753866</v>
      </c>
      <c r="B365" t="s">
        <v>667</v>
      </c>
      <c r="C365" t="s">
        <v>661</v>
      </c>
      <c r="D365" t="s">
        <v>662</v>
      </c>
      <c r="E365">
        <v>6</v>
      </c>
      <c r="F365">
        <v>1</v>
      </c>
      <c r="H365">
        <v>1</v>
      </c>
      <c r="K365">
        <v>6</v>
      </c>
    </row>
    <row r="366" spans="1:11">
      <c r="A366">
        <v>753867</v>
      </c>
      <c r="B366" t="s">
        <v>668</v>
      </c>
      <c r="C366" t="s">
        <v>661</v>
      </c>
      <c r="D366" t="s">
        <v>662</v>
      </c>
      <c r="E366">
        <v>6</v>
      </c>
      <c r="F366">
        <v>1</v>
      </c>
      <c r="H366">
        <v>1</v>
      </c>
      <c r="K366">
        <v>7</v>
      </c>
    </row>
    <row r="367" spans="1:11">
      <c r="A367">
        <v>753868</v>
      </c>
      <c r="B367" t="s">
        <v>669</v>
      </c>
      <c r="C367" t="s">
        <v>661</v>
      </c>
      <c r="D367" t="s">
        <v>662</v>
      </c>
      <c r="E367">
        <v>6</v>
      </c>
      <c r="F367">
        <v>1</v>
      </c>
      <c r="H367">
        <v>1</v>
      </c>
      <c r="K367">
        <v>8</v>
      </c>
    </row>
    <row r="368" spans="1:11">
      <c r="A368">
        <v>753869</v>
      </c>
      <c r="B368" t="s">
        <v>670</v>
      </c>
      <c r="C368" t="s">
        <v>661</v>
      </c>
      <c r="D368" t="s">
        <v>662</v>
      </c>
      <c r="E368">
        <v>6</v>
      </c>
      <c r="F368">
        <v>1</v>
      </c>
      <c r="H368">
        <v>1</v>
      </c>
      <c r="K368">
        <v>9</v>
      </c>
    </row>
    <row r="369" spans="1:11">
      <c r="A369">
        <v>753870</v>
      </c>
      <c r="B369" t="s">
        <v>671</v>
      </c>
      <c r="C369" t="s">
        <v>661</v>
      </c>
      <c r="D369" t="s">
        <v>662</v>
      </c>
      <c r="E369">
        <v>6</v>
      </c>
      <c r="F369">
        <v>1</v>
      </c>
      <c r="H369">
        <v>1</v>
      </c>
      <c r="K369">
        <v>10</v>
      </c>
    </row>
    <row r="370" spans="1:11">
      <c r="A370">
        <v>753871</v>
      </c>
      <c r="B370" t="s">
        <v>672</v>
      </c>
      <c r="C370" t="s">
        <v>661</v>
      </c>
      <c r="D370" t="s">
        <v>662</v>
      </c>
      <c r="E370">
        <v>6</v>
      </c>
      <c r="F370">
        <v>1</v>
      </c>
      <c r="H370">
        <v>1</v>
      </c>
      <c r="K370">
        <v>11</v>
      </c>
    </row>
    <row r="371" spans="1:11">
      <c r="A371">
        <v>753872</v>
      </c>
      <c r="B371" t="s">
        <v>673</v>
      </c>
      <c r="C371" t="s">
        <v>661</v>
      </c>
      <c r="D371" t="s">
        <v>662</v>
      </c>
      <c r="E371">
        <v>6</v>
      </c>
      <c r="F371">
        <v>1</v>
      </c>
      <c r="H371">
        <v>1</v>
      </c>
      <c r="K371">
        <v>12</v>
      </c>
    </row>
    <row r="372" spans="1:11">
      <c r="A372">
        <v>753873</v>
      </c>
      <c r="B372" t="s">
        <v>674</v>
      </c>
      <c r="C372" t="s">
        <v>661</v>
      </c>
      <c r="D372" t="s">
        <v>662</v>
      </c>
      <c r="E372">
        <v>6</v>
      </c>
      <c r="F372">
        <v>1</v>
      </c>
      <c r="H372">
        <v>1</v>
      </c>
      <c r="K372">
        <v>13</v>
      </c>
    </row>
    <row r="373" spans="1:11">
      <c r="A373">
        <v>753874</v>
      </c>
      <c r="B373" t="s">
        <v>675</v>
      </c>
      <c r="C373" t="s">
        <v>661</v>
      </c>
      <c r="D373" t="s">
        <v>662</v>
      </c>
      <c r="E373">
        <v>6</v>
      </c>
      <c r="F373">
        <v>1</v>
      </c>
      <c r="H373">
        <v>1</v>
      </c>
      <c r="K373">
        <v>14</v>
      </c>
    </row>
    <row r="374" spans="1:11">
      <c r="A374">
        <v>753875</v>
      </c>
      <c r="B374" t="s">
        <v>676</v>
      </c>
      <c r="C374" t="s">
        <v>661</v>
      </c>
      <c r="D374" t="s">
        <v>662</v>
      </c>
      <c r="E374">
        <v>6</v>
      </c>
      <c r="F374">
        <v>1</v>
      </c>
      <c r="H374">
        <v>1</v>
      </c>
      <c r="K374">
        <v>15</v>
      </c>
    </row>
    <row r="375" spans="1:11">
      <c r="A375">
        <v>753876</v>
      </c>
      <c r="B375" t="s">
        <v>677</v>
      </c>
      <c r="C375" t="s">
        <v>661</v>
      </c>
      <c r="D375" t="s">
        <v>662</v>
      </c>
      <c r="E375">
        <v>6</v>
      </c>
      <c r="F375">
        <v>1</v>
      </c>
      <c r="H375">
        <v>1</v>
      </c>
      <c r="K375">
        <v>16</v>
      </c>
    </row>
    <row r="376" spans="1:11">
      <c r="A376">
        <v>753877</v>
      </c>
      <c r="B376" t="s">
        <v>678</v>
      </c>
      <c r="C376" t="s">
        <v>661</v>
      </c>
      <c r="D376" t="s">
        <v>662</v>
      </c>
      <c r="E376">
        <v>6</v>
      </c>
      <c r="F376">
        <v>1</v>
      </c>
      <c r="H376">
        <v>1</v>
      </c>
      <c r="K376">
        <v>17</v>
      </c>
    </row>
    <row r="377" spans="1:11">
      <c r="A377">
        <v>753878</v>
      </c>
      <c r="B377" t="s">
        <v>679</v>
      </c>
      <c r="C377" t="s">
        <v>661</v>
      </c>
      <c r="D377" t="s">
        <v>662</v>
      </c>
      <c r="E377">
        <v>6</v>
      </c>
      <c r="F377">
        <v>1</v>
      </c>
      <c r="H377">
        <v>1</v>
      </c>
      <c r="K377">
        <v>18</v>
      </c>
    </row>
    <row r="378" spans="1:11">
      <c r="A378">
        <v>753879</v>
      </c>
      <c r="B378" t="s">
        <v>680</v>
      </c>
      <c r="C378" t="s">
        <v>661</v>
      </c>
      <c r="D378" t="s">
        <v>662</v>
      </c>
      <c r="E378">
        <v>6</v>
      </c>
      <c r="F378">
        <v>1</v>
      </c>
      <c r="H378">
        <v>1</v>
      </c>
      <c r="K378">
        <v>19</v>
      </c>
    </row>
    <row r="379" spans="1:11">
      <c r="A379">
        <v>753880</v>
      </c>
      <c r="B379" t="s">
        <v>681</v>
      </c>
      <c r="C379" t="s">
        <v>661</v>
      </c>
      <c r="D379" t="s">
        <v>662</v>
      </c>
      <c r="E379">
        <v>6</v>
      </c>
      <c r="F379">
        <v>1</v>
      </c>
      <c r="H379">
        <v>1</v>
      </c>
      <c r="K379">
        <v>20</v>
      </c>
    </row>
    <row r="380" spans="1:11">
      <c r="A380">
        <v>753881</v>
      </c>
      <c r="B380" t="s">
        <v>682</v>
      </c>
      <c r="C380" t="s">
        <v>661</v>
      </c>
      <c r="D380" t="s">
        <v>662</v>
      </c>
      <c r="E380">
        <v>6</v>
      </c>
      <c r="F380">
        <v>1</v>
      </c>
      <c r="H380">
        <v>1</v>
      </c>
      <c r="K380">
        <v>21</v>
      </c>
    </row>
    <row r="381" spans="1:11">
      <c r="A381">
        <v>753882</v>
      </c>
      <c r="B381" t="s">
        <v>683</v>
      </c>
      <c r="C381" t="s">
        <v>661</v>
      </c>
      <c r="D381" t="s">
        <v>662</v>
      </c>
      <c r="E381">
        <v>6</v>
      </c>
      <c r="F381">
        <v>1</v>
      </c>
      <c r="H381">
        <v>1</v>
      </c>
      <c r="K381">
        <v>22</v>
      </c>
    </row>
    <row r="382" spans="1:11">
      <c r="A382">
        <v>753883</v>
      </c>
      <c r="B382" t="s">
        <v>684</v>
      </c>
      <c r="C382" t="s">
        <v>661</v>
      </c>
      <c r="D382" t="s">
        <v>662</v>
      </c>
      <c r="E382">
        <v>6</v>
      </c>
      <c r="F382">
        <v>1</v>
      </c>
      <c r="H382">
        <v>1</v>
      </c>
      <c r="K382">
        <v>23</v>
      </c>
    </row>
    <row r="383" spans="1:11">
      <c r="A383">
        <v>753884</v>
      </c>
      <c r="B383" t="s">
        <v>685</v>
      </c>
      <c r="C383" t="s">
        <v>661</v>
      </c>
      <c r="D383" t="s">
        <v>662</v>
      </c>
      <c r="E383">
        <v>6</v>
      </c>
      <c r="F383">
        <v>1</v>
      </c>
      <c r="H383">
        <v>1</v>
      </c>
      <c r="K383">
        <v>24</v>
      </c>
    </row>
    <row r="384" spans="1:11">
      <c r="A384">
        <v>753885</v>
      </c>
      <c r="B384" t="s">
        <v>686</v>
      </c>
      <c r="C384" t="s">
        <v>661</v>
      </c>
      <c r="D384" t="s">
        <v>662</v>
      </c>
      <c r="E384">
        <v>6</v>
      </c>
      <c r="F384">
        <v>1</v>
      </c>
      <c r="H384">
        <v>1</v>
      </c>
      <c r="K384">
        <v>25</v>
      </c>
    </row>
    <row r="385" spans="1:11">
      <c r="A385">
        <v>753886</v>
      </c>
      <c r="B385" t="s">
        <v>687</v>
      </c>
      <c r="C385" t="s">
        <v>661</v>
      </c>
      <c r="D385" t="s">
        <v>662</v>
      </c>
      <c r="E385">
        <v>6</v>
      </c>
      <c r="F385">
        <v>1</v>
      </c>
      <c r="H385">
        <v>1</v>
      </c>
      <c r="K385">
        <v>26</v>
      </c>
    </row>
    <row r="386" spans="1:11">
      <c r="A386">
        <v>753887</v>
      </c>
      <c r="B386" t="s">
        <v>688</v>
      </c>
      <c r="C386" t="s">
        <v>661</v>
      </c>
      <c r="D386" t="s">
        <v>662</v>
      </c>
      <c r="E386">
        <v>6</v>
      </c>
      <c r="F386">
        <v>1</v>
      </c>
      <c r="H386">
        <v>1</v>
      </c>
      <c r="K386">
        <v>27</v>
      </c>
    </row>
    <row r="387" spans="1:11">
      <c r="A387">
        <v>753888</v>
      </c>
      <c r="B387" t="s">
        <v>689</v>
      </c>
      <c r="C387" t="s">
        <v>661</v>
      </c>
      <c r="D387" t="s">
        <v>662</v>
      </c>
      <c r="E387">
        <v>6</v>
      </c>
      <c r="F387">
        <v>1</v>
      </c>
      <c r="H387">
        <v>1</v>
      </c>
      <c r="K387">
        <v>28</v>
      </c>
    </row>
    <row r="388" spans="1:11">
      <c r="A388">
        <v>753889</v>
      </c>
      <c r="B388" t="s">
        <v>690</v>
      </c>
      <c r="C388" t="s">
        <v>661</v>
      </c>
      <c r="D388" t="s">
        <v>662</v>
      </c>
      <c r="E388">
        <v>6</v>
      </c>
      <c r="F388">
        <v>1</v>
      </c>
      <c r="H388">
        <v>1</v>
      </c>
      <c r="K388">
        <v>29</v>
      </c>
    </row>
    <row r="389" spans="1:11">
      <c r="A389">
        <v>753890</v>
      </c>
      <c r="B389" t="s">
        <v>691</v>
      </c>
      <c r="C389" t="s">
        <v>661</v>
      </c>
      <c r="D389" t="s">
        <v>662</v>
      </c>
      <c r="E389">
        <v>6</v>
      </c>
      <c r="F389">
        <v>1</v>
      </c>
      <c r="H389">
        <v>1</v>
      </c>
      <c r="K389">
        <v>30</v>
      </c>
    </row>
    <row r="390" spans="1:11">
      <c r="A390">
        <v>753891</v>
      </c>
      <c r="B390" t="s">
        <v>692</v>
      </c>
      <c r="C390" t="s">
        <v>661</v>
      </c>
      <c r="D390" t="s">
        <v>662</v>
      </c>
      <c r="E390">
        <v>6</v>
      </c>
      <c r="F390">
        <v>1</v>
      </c>
      <c r="H390">
        <v>1</v>
      </c>
      <c r="K390">
        <v>31</v>
      </c>
    </row>
    <row r="391" spans="1:11">
      <c r="A391">
        <v>753892</v>
      </c>
      <c r="B391" t="s">
        <v>693</v>
      </c>
      <c r="C391" t="s">
        <v>661</v>
      </c>
      <c r="D391" t="s">
        <v>662</v>
      </c>
      <c r="E391">
        <v>6</v>
      </c>
      <c r="F391">
        <v>1</v>
      </c>
      <c r="H391">
        <v>1</v>
      </c>
      <c r="K391">
        <v>32</v>
      </c>
    </row>
    <row r="392" spans="1:11">
      <c r="A392">
        <v>753893</v>
      </c>
      <c r="B392" t="s">
        <v>694</v>
      </c>
      <c r="C392" t="s">
        <v>661</v>
      </c>
      <c r="D392" t="s">
        <v>662</v>
      </c>
      <c r="E392">
        <v>6</v>
      </c>
      <c r="F392">
        <v>1</v>
      </c>
      <c r="H392">
        <v>1</v>
      </c>
      <c r="K392">
        <v>33</v>
      </c>
    </row>
    <row r="393" spans="1:11">
      <c r="A393">
        <v>753894</v>
      </c>
      <c r="B393" t="s">
        <v>695</v>
      </c>
      <c r="C393" t="s">
        <v>661</v>
      </c>
      <c r="D393" t="s">
        <v>662</v>
      </c>
      <c r="E393">
        <v>6</v>
      </c>
      <c r="F393">
        <v>1</v>
      </c>
      <c r="H393">
        <v>1</v>
      </c>
      <c r="K393">
        <v>34</v>
      </c>
    </row>
    <row r="394" spans="1:11">
      <c r="A394">
        <v>753895</v>
      </c>
      <c r="B394" t="s">
        <v>696</v>
      </c>
      <c r="C394" t="s">
        <v>661</v>
      </c>
      <c r="D394" t="s">
        <v>662</v>
      </c>
      <c r="E394">
        <v>6</v>
      </c>
      <c r="F394">
        <v>1</v>
      </c>
      <c r="H394">
        <v>1</v>
      </c>
      <c r="K394">
        <v>35</v>
      </c>
    </row>
    <row r="395" spans="1:11">
      <c r="A395">
        <v>753896</v>
      </c>
      <c r="B395" t="s">
        <v>697</v>
      </c>
      <c r="C395" t="s">
        <v>661</v>
      </c>
      <c r="D395" t="s">
        <v>662</v>
      </c>
      <c r="E395">
        <v>6</v>
      </c>
      <c r="F395">
        <v>1</v>
      </c>
      <c r="H395">
        <v>1</v>
      </c>
      <c r="K395">
        <v>36</v>
      </c>
    </row>
    <row r="396" spans="1:11">
      <c r="A396">
        <v>753897</v>
      </c>
      <c r="B396" t="s">
        <v>698</v>
      </c>
      <c r="C396" t="s">
        <v>661</v>
      </c>
      <c r="D396" t="s">
        <v>662</v>
      </c>
      <c r="E396">
        <v>6</v>
      </c>
      <c r="F396">
        <v>1</v>
      </c>
      <c r="H396">
        <v>1</v>
      </c>
      <c r="K396">
        <v>37</v>
      </c>
    </row>
    <row r="397" spans="1:11">
      <c r="A397">
        <v>753898</v>
      </c>
      <c r="B397" t="s">
        <v>699</v>
      </c>
      <c r="C397" t="s">
        <v>661</v>
      </c>
      <c r="D397" t="s">
        <v>662</v>
      </c>
      <c r="E397">
        <v>6</v>
      </c>
      <c r="F397">
        <v>1</v>
      </c>
      <c r="H397">
        <v>1</v>
      </c>
      <c r="K397">
        <v>38</v>
      </c>
    </row>
    <row r="398" spans="1:11">
      <c r="A398">
        <v>753899</v>
      </c>
      <c r="B398" t="s">
        <v>700</v>
      </c>
      <c r="C398" t="s">
        <v>661</v>
      </c>
      <c r="D398" t="s">
        <v>662</v>
      </c>
      <c r="E398">
        <v>6</v>
      </c>
      <c r="F398">
        <v>1</v>
      </c>
      <c r="H398">
        <v>1</v>
      </c>
      <c r="K398">
        <v>39</v>
      </c>
    </row>
    <row r="399" spans="1:11">
      <c r="A399">
        <v>753900</v>
      </c>
      <c r="B399" t="s">
        <v>701</v>
      </c>
      <c r="C399" t="s">
        <v>661</v>
      </c>
      <c r="D399" t="s">
        <v>662</v>
      </c>
      <c r="E399">
        <v>6</v>
      </c>
      <c r="F399">
        <v>1</v>
      </c>
      <c r="H399">
        <v>1</v>
      </c>
      <c r="K399">
        <v>40</v>
      </c>
    </row>
    <row r="400" spans="1:11">
      <c r="A400">
        <v>753901</v>
      </c>
      <c r="B400" t="s">
        <v>702</v>
      </c>
      <c r="C400" t="s">
        <v>661</v>
      </c>
      <c r="D400" t="s">
        <v>662</v>
      </c>
      <c r="E400">
        <v>6</v>
      </c>
      <c r="F400">
        <v>1</v>
      </c>
      <c r="H400">
        <v>1</v>
      </c>
      <c r="K400">
        <v>41</v>
      </c>
    </row>
    <row r="401" spans="1:11">
      <c r="A401">
        <v>753902</v>
      </c>
      <c r="B401" t="s">
        <v>703</v>
      </c>
      <c r="C401" t="s">
        <v>661</v>
      </c>
      <c r="D401" t="s">
        <v>662</v>
      </c>
      <c r="E401">
        <v>6</v>
      </c>
      <c r="F401">
        <v>1</v>
      </c>
      <c r="H401">
        <v>1</v>
      </c>
      <c r="K401">
        <v>42</v>
      </c>
    </row>
    <row r="402" spans="1:11">
      <c r="A402">
        <v>753903</v>
      </c>
      <c r="B402" t="s">
        <v>704</v>
      </c>
      <c r="C402" t="s">
        <v>661</v>
      </c>
      <c r="D402" t="s">
        <v>662</v>
      </c>
      <c r="E402">
        <v>6</v>
      </c>
      <c r="F402">
        <v>1</v>
      </c>
      <c r="H402">
        <v>1</v>
      </c>
      <c r="K402">
        <v>43</v>
      </c>
    </row>
    <row r="403" spans="1:11">
      <c r="A403">
        <v>753904</v>
      </c>
      <c r="B403" t="s">
        <v>705</v>
      </c>
      <c r="C403" t="s">
        <v>661</v>
      </c>
      <c r="D403" t="s">
        <v>662</v>
      </c>
      <c r="E403">
        <v>6</v>
      </c>
      <c r="F403">
        <v>1</v>
      </c>
      <c r="H403">
        <v>1</v>
      </c>
      <c r="K403">
        <v>44</v>
      </c>
    </row>
    <row r="404" spans="1:11">
      <c r="A404">
        <v>753905</v>
      </c>
      <c r="B404" t="s">
        <v>706</v>
      </c>
      <c r="C404" t="s">
        <v>661</v>
      </c>
      <c r="D404" t="s">
        <v>662</v>
      </c>
      <c r="E404">
        <v>6</v>
      </c>
      <c r="F404">
        <v>1</v>
      </c>
      <c r="H404">
        <v>1</v>
      </c>
      <c r="K404">
        <v>45</v>
      </c>
    </row>
    <row r="405" spans="1:11">
      <c r="A405">
        <v>753906</v>
      </c>
      <c r="B405" t="s">
        <v>707</v>
      </c>
      <c r="C405" t="s">
        <v>661</v>
      </c>
      <c r="D405" t="s">
        <v>662</v>
      </c>
      <c r="E405">
        <v>6</v>
      </c>
      <c r="F405">
        <v>1</v>
      </c>
      <c r="H405">
        <v>1</v>
      </c>
      <c r="K405">
        <v>46</v>
      </c>
    </row>
    <row r="406" spans="1:11">
      <c r="A406">
        <v>753907</v>
      </c>
      <c r="B406" t="s">
        <v>708</v>
      </c>
      <c r="C406" t="s">
        <v>661</v>
      </c>
      <c r="D406" t="s">
        <v>662</v>
      </c>
      <c r="E406">
        <v>6</v>
      </c>
      <c r="F406">
        <v>1</v>
      </c>
      <c r="H406">
        <v>1</v>
      </c>
      <c r="K406">
        <v>47</v>
      </c>
    </row>
    <row r="407" spans="1:11">
      <c r="A407">
        <v>753908</v>
      </c>
      <c r="B407" t="s">
        <v>709</v>
      </c>
      <c r="C407" t="s">
        <v>661</v>
      </c>
      <c r="D407" t="s">
        <v>662</v>
      </c>
      <c r="E407">
        <v>6</v>
      </c>
      <c r="F407">
        <v>1</v>
      </c>
      <c r="H407">
        <v>1</v>
      </c>
      <c r="K407">
        <v>48</v>
      </c>
    </row>
    <row r="408" spans="1:11">
      <c r="A408">
        <v>753909</v>
      </c>
      <c r="B408" t="s">
        <v>710</v>
      </c>
      <c r="C408" t="s">
        <v>661</v>
      </c>
      <c r="D408" t="s">
        <v>662</v>
      </c>
      <c r="E408">
        <v>6</v>
      </c>
      <c r="F408">
        <v>1</v>
      </c>
      <c r="H408">
        <v>1</v>
      </c>
      <c r="K408">
        <v>49</v>
      </c>
    </row>
    <row r="409" spans="1:11">
      <c r="A409">
        <v>753910</v>
      </c>
      <c r="B409" t="s">
        <v>711</v>
      </c>
      <c r="C409" t="s">
        <v>661</v>
      </c>
      <c r="D409" t="s">
        <v>662</v>
      </c>
      <c r="E409">
        <v>6</v>
      </c>
      <c r="F409">
        <v>1</v>
      </c>
      <c r="H409">
        <v>1</v>
      </c>
      <c r="K409">
        <v>50</v>
      </c>
    </row>
    <row r="410" spans="1:11">
      <c r="A410">
        <v>753911</v>
      </c>
      <c r="B410" t="s">
        <v>712</v>
      </c>
      <c r="C410" t="s">
        <v>661</v>
      </c>
      <c r="D410" t="s">
        <v>662</v>
      </c>
      <c r="E410">
        <v>6</v>
      </c>
      <c r="F410">
        <v>1</v>
      </c>
      <c r="H410">
        <v>1</v>
      </c>
      <c r="K410">
        <v>51</v>
      </c>
    </row>
    <row r="411" spans="1:11">
      <c r="A411">
        <v>753912</v>
      </c>
      <c r="B411" t="s">
        <v>713</v>
      </c>
      <c r="C411" t="s">
        <v>661</v>
      </c>
      <c r="D411" t="s">
        <v>662</v>
      </c>
      <c r="E411">
        <v>6</v>
      </c>
      <c r="F411">
        <v>1</v>
      </c>
      <c r="H411">
        <v>1</v>
      </c>
      <c r="K411">
        <v>52</v>
      </c>
    </row>
    <row r="412" spans="1:11">
      <c r="A412">
        <v>753913</v>
      </c>
      <c r="B412" t="s">
        <v>714</v>
      </c>
      <c r="C412" t="s">
        <v>661</v>
      </c>
      <c r="D412" t="s">
        <v>662</v>
      </c>
      <c r="E412">
        <v>6</v>
      </c>
      <c r="F412">
        <v>1</v>
      </c>
      <c r="H412">
        <v>1</v>
      </c>
      <c r="K412">
        <v>53</v>
      </c>
    </row>
    <row r="413" spans="1:11">
      <c r="A413">
        <v>753914</v>
      </c>
      <c r="B413" t="s">
        <v>715</v>
      </c>
      <c r="C413" t="s">
        <v>661</v>
      </c>
      <c r="D413" t="s">
        <v>662</v>
      </c>
      <c r="E413">
        <v>6</v>
      </c>
      <c r="F413">
        <v>1</v>
      </c>
      <c r="H413">
        <v>1</v>
      </c>
      <c r="K413">
        <v>54</v>
      </c>
    </row>
    <row r="414" spans="1:11">
      <c r="A414">
        <v>753915</v>
      </c>
      <c r="B414" t="s">
        <v>716</v>
      </c>
      <c r="C414" t="s">
        <v>661</v>
      </c>
      <c r="D414" t="s">
        <v>662</v>
      </c>
      <c r="E414">
        <v>6</v>
      </c>
      <c r="F414">
        <v>1</v>
      </c>
      <c r="H414">
        <v>1</v>
      </c>
      <c r="K414">
        <v>55</v>
      </c>
    </row>
    <row r="415" spans="1:11">
      <c r="A415">
        <v>753916</v>
      </c>
      <c r="B415" t="s">
        <v>717</v>
      </c>
      <c r="C415" t="s">
        <v>661</v>
      </c>
      <c r="D415" t="s">
        <v>662</v>
      </c>
      <c r="E415">
        <v>6</v>
      </c>
      <c r="F415">
        <v>1</v>
      </c>
      <c r="H415">
        <v>1</v>
      </c>
      <c r="K415">
        <v>56</v>
      </c>
    </row>
    <row r="416" spans="1:11">
      <c r="A416">
        <v>753917</v>
      </c>
      <c r="B416" t="s">
        <v>718</v>
      </c>
      <c r="C416" t="s">
        <v>661</v>
      </c>
      <c r="D416" t="s">
        <v>662</v>
      </c>
      <c r="E416">
        <v>6</v>
      </c>
      <c r="F416">
        <v>1</v>
      </c>
      <c r="H416">
        <v>1</v>
      </c>
      <c r="K416">
        <v>57</v>
      </c>
    </row>
    <row r="417" spans="1:11">
      <c r="A417">
        <v>753918</v>
      </c>
      <c r="B417" t="s">
        <v>719</v>
      </c>
      <c r="C417" t="s">
        <v>661</v>
      </c>
      <c r="D417" t="s">
        <v>662</v>
      </c>
      <c r="E417">
        <v>6</v>
      </c>
      <c r="F417">
        <v>1</v>
      </c>
      <c r="H417">
        <v>1</v>
      </c>
      <c r="K417">
        <v>58</v>
      </c>
    </row>
    <row r="418" spans="1:11">
      <c r="A418">
        <v>753919</v>
      </c>
      <c r="B418" t="s">
        <v>720</v>
      </c>
      <c r="C418" t="s">
        <v>661</v>
      </c>
      <c r="D418" t="s">
        <v>662</v>
      </c>
      <c r="E418">
        <v>6</v>
      </c>
      <c r="F418">
        <v>1</v>
      </c>
      <c r="H418">
        <v>1</v>
      </c>
      <c r="K418">
        <v>59</v>
      </c>
    </row>
    <row r="419" spans="1:11">
      <c r="A419">
        <v>753920</v>
      </c>
      <c r="B419" t="s">
        <v>721</v>
      </c>
      <c r="C419" t="s">
        <v>661</v>
      </c>
      <c r="D419" t="s">
        <v>662</v>
      </c>
      <c r="E419">
        <v>6</v>
      </c>
      <c r="F419">
        <v>1</v>
      </c>
      <c r="H419">
        <v>1</v>
      </c>
      <c r="K419">
        <v>60</v>
      </c>
    </row>
    <row r="420" spans="1:11">
      <c r="A420">
        <v>753921</v>
      </c>
      <c r="B420" t="s">
        <v>722</v>
      </c>
      <c r="C420" t="s">
        <v>661</v>
      </c>
      <c r="D420" t="s">
        <v>662</v>
      </c>
      <c r="E420">
        <v>6</v>
      </c>
      <c r="F420">
        <v>1</v>
      </c>
      <c r="H420">
        <v>1</v>
      </c>
      <c r="K420">
        <v>61</v>
      </c>
    </row>
    <row r="421" spans="1:11">
      <c r="A421">
        <v>753922</v>
      </c>
      <c r="B421" t="s">
        <v>723</v>
      </c>
      <c r="C421" t="s">
        <v>661</v>
      </c>
      <c r="D421" t="s">
        <v>662</v>
      </c>
      <c r="E421">
        <v>6</v>
      </c>
      <c r="F421">
        <v>1</v>
      </c>
      <c r="H421">
        <v>1</v>
      </c>
      <c r="K421">
        <v>62</v>
      </c>
    </row>
    <row r="422" spans="1:11">
      <c r="A422">
        <v>753923</v>
      </c>
      <c r="B422" t="s">
        <v>724</v>
      </c>
      <c r="C422" t="s">
        <v>661</v>
      </c>
      <c r="D422" t="s">
        <v>662</v>
      </c>
      <c r="E422">
        <v>6</v>
      </c>
      <c r="F422">
        <v>1</v>
      </c>
      <c r="H422">
        <v>1</v>
      </c>
      <c r="K422">
        <v>63</v>
      </c>
    </row>
    <row r="423" spans="1:11">
      <c r="A423">
        <v>753924</v>
      </c>
      <c r="B423" t="s">
        <v>725</v>
      </c>
      <c r="C423" t="s">
        <v>661</v>
      </c>
      <c r="D423" t="s">
        <v>662</v>
      </c>
      <c r="E423">
        <v>6</v>
      </c>
      <c r="F423">
        <v>1</v>
      </c>
      <c r="H423">
        <v>1</v>
      </c>
      <c r="K423">
        <v>64</v>
      </c>
    </row>
    <row r="424" spans="1:11">
      <c r="A424">
        <v>753925</v>
      </c>
      <c r="B424" t="s">
        <v>726</v>
      </c>
      <c r="C424" t="s">
        <v>661</v>
      </c>
      <c r="D424" t="s">
        <v>662</v>
      </c>
      <c r="E424">
        <v>6</v>
      </c>
      <c r="F424">
        <v>1</v>
      </c>
      <c r="H424">
        <v>1</v>
      </c>
      <c r="K424">
        <v>65</v>
      </c>
    </row>
    <row r="425" spans="1:11">
      <c r="A425">
        <v>753926</v>
      </c>
      <c r="B425" t="s">
        <v>727</v>
      </c>
      <c r="C425" t="s">
        <v>661</v>
      </c>
      <c r="D425" t="s">
        <v>662</v>
      </c>
      <c r="E425">
        <v>6</v>
      </c>
      <c r="F425">
        <v>1</v>
      </c>
      <c r="H425">
        <v>1</v>
      </c>
      <c r="K425">
        <v>66</v>
      </c>
    </row>
    <row r="426" spans="1:11">
      <c r="A426">
        <v>753927</v>
      </c>
      <c r="B426" t="s">
        <v>728</v>
      </c>
      <c r="C426" t="s">
        <v>661</v>
      </c>
      <c r="D426" t="s">
        <v>662</v>
      </c>
      <c r="E426">
        <v>6</v>
      </c>
      <c r="F426">
        <v>1</v>
      </c>
      <c r="H426">
        <v>1</v>
      </c>
      <c r="K426">
        <v>67</v>
      </c>
    </row>
    <row r="427" spans="1:11">
      <c r="A427">
        <v>753928</v>
      </c>
      <c r="B427" t="s">
        <v>729</v>
      </c>
      <c r="C427" t="s">
        <v>661</v>
      </c>
      <c r="D427" t="s">
        <v>662</v>
      </c>
      <c r="E427">
        <v>6</v>
      </c>
      <c r="F427">
        <v>1</v>
      </c>
      <c r="H427">
        <v>1</v>
      </c>
      <c r="K427">
        <v>68</v>
      </c>
    </row>
    <row r="428" spans="1:11">
      <c r="A428">
        <v>753929</v>
      </c>
      <c r="B428" t="s">
        <v>730</v>
      </c>
      <c r="C428" t="s">
        <v>661</v>
      </c>
      <c r="D428" t="s">
        <v>662</v>
      </c>
      <c r="E428">
        <v>6</v>
      </c>
      <c r="F428">
        <v>1</v>
      </c>
      <c r="H428">
        <v>1</v>
      </c>
      <c r="K428">
        <v>69</v>
      </c>
    </row>
    <row r="429" spans="1:11">
      <c r="A429">
        <v>753930</v>
      </c>
      <c r="B429" t="s">
        <v>731</v>
      </c>
      <c r="C429" t="s">
        <v>661</v>
      </c>
      <c r="D429" t="s">
        <v>662</v>
      </c>
      <c r="E429">
        <v>6</v>
      </c>
      <c r="F429">
        <v>1</v>
      </c>
      <c r="H429">
        <v>1</v>
      </c>
      <c r="K429">
        <v>70</v>
      </c>
    </row>
    <row r="430" spans="1:11">
      <c r="A430">
        <v>753931</v>
      </c>
      <c r="B430" t="s">
        <v>732</v>
      </c>
      <c r="C430" t="s">
        <v>661</v>
      </c>
      <c r="D430" t="s">
        <v>662</v>
      </c>
      <c r="E430">
        <v>6</v>
      </c>
      <c r="F430">
        <v>1</v>
      </c>
      <c r="H430">
        <v>1</v>
      </c>
      <c r="K430">
        <v>71</v>
      </c>
    </row>
    <row r="431" spans="1:11">
      <c r="A431">
        <v>753709</v>
      </c>
      <c r="B431" t="s">
        <v>733</v>
      </c>
      <c r="C431" t="s">
        <v>734</v>
      </c>
      <c r="D431" t="s">
        <v>735</v>
      </c>
      <c r="E431">
        <v>7</v>
      </c>
      <c r="F431">
        <v>1</v>
      </c>
      <c r="H431">
        <v>1</v>
      </c>
      <c r="K431">
        <v>1</v>
      </c>
    </row>
    <row r="432" spans="1:11">
      <c r="A432">
        <v>753710</v>
      </c>
      <c r="B432" t="s">
        <v>736</v>
      </c>
      <c r="C432" t="s">
        <v>734</v>
      </c>
      <c r="D432" t="s">
        <v>735</v>
      </c>
      <c r="E432">
        <v>7</v>
      </c>
      <c r="F432">
        <v>1</v>
      </c>
      <c r="H432">
        <v>1</v>
      </c>
      <c r="K432">
        <v>2</v>
      </c>
    </row>
    <row r="433" spans="1:11">
      <c r="A433">
        <v>753711</v>
      </c>
      <c r="B433" t="s">
        <v>737</v>
      </c>
      <c r="C433" t="s">
        <v>734</v>
      </c>
      <c r="D433" t="s">
        <v>735</v>
      </c>
      <c r="E433">
        <v>7</v>
      </c>
      <c r="F433">
        <v>1</v>
      </c>
      <c r="H433">
        <v>1</v>
      </c>
      <c r="K433">
        <v>3</v>
      </c>
    </row>
    <row r="434" spans="1:11">
      <c r="A434">
        <v>753712</v>
      </c>
      <c r="B434" t="s">
        <v>738</v>
      </c>
      <c r="C434" t="s">
        <v>734</v>
      </c>
      <c r="D434" t="s">
        <v>735</v>
      </c>
      <c r="E434">
        <v>7</v>
      </c>
      <c r="F434">
        <v>1</v>
      </c>
      <c r="H434">
        <v>1</v>
      </c>
      <c r="K434">
        <v>4</v>
      </c>
    </row>
    <row r="435" spans="1:11">
      <c r="A435">
        <v>753713</v>
      </c>
      <c r="B435" t="s">
        <v>739</v>
      </c>
      <c r="C435" t="s">
        <v>734</v>
      </c>
      <c r="D435" t="s">
        <v>735</v>
      </c>
      <c r="E435">
        <v>7</v>
      </c>
      <c r="F435">
        <v>1</v>
      </c>
      <c r="H435">
        <v>1</v>
      </c>
      <c r="K435">
        <v>5</v>
      </c>
    </row>
    <row r="436" spans="1:11">
      <c r="A436">
        <v>753714</v>
      </c>
      <c r="B436" t="s">
        <v>740</v>
      </c>
      <c r="C436" t="s">
        <v>734</v>
      </c>
      <c r="D436" t="s">
        <v>735</v>
      </c>
      <c r="E436">
        <v>7</v>
      </c>
      <c r="F436">
        <v>1</v>
      </c>
      <c r="H436">
        <v>1</v>
      </c>
      <c r="K436">
        <v>6</v>
      </c>
    </row>
    <row r="437" spans="1:11">
      <c r="A437">
        <v>753715</v>
      </c>
      <c r="B437" t="s">
        <v>741</v>
      </c>
      <c r="C437" t="s">
        <v>734</v>
      </c>
      <c r="D437" t="s">
        <v>735</v>
      </c>
      <c r="E437">
        <v>7</v>
      </c>
      <c r="F437">
        <v>1</v>
      </c>
      <c r="H437">
        <v>1</v>
      </c>
      <c r="K437">
        <v>7</v>
      </c>
    </row>
    <row r="438" spans="1:11">
      <c r="A438">
        <v>753716</v>
      </c>
      <c r="B438" t="s">
        <v>742</v>
      </c>
      <c r="C438" t="s">
        <v>734</v>
      </c>
      <c r="D438" t="s">
        <v>735</v>
      </c>
      <c r="E438">
        <v>7</v>
      </c>
      <c r="F438">
        <v>1</v>
      </c>
      <c r="H438">
        <v>1</v>
      </c>
      <c r="K438">
        <v>8</v>
      </c>
    </row>
    <row r="439" spans="1:11">
      <c r="A439">
        <v>753717</v>
      </c>
      <c r="B439" t="s">
        <v>743</v>
      </c>
      <c r="C439" t="s">
        <v>734</v>
      </c>
      <c r="D439" t="s">
        <v>735</v>
      </c>
      <c r="E439">
        <v>7</v>
      </c>
      <c r="F439">
        <v>1</v>
      </c>
      <c r="H439">
        <v>1</v>
      </c>
      <c r="K439">
        <v>9</v>
      </c>
    </row>
    <row r="440" spans="1:11">
      <c r="A440">
        <v>753718</v>
      </c>
      <c r="B440" t="s">
        <v>744</v>
      </c>
      <c r="C440" t="s">
        <v>734</v>
      </c>
      <c r="D440" t="s">
        <v>735</v>
      </c>
      <c r="E440">
        <v>7</v>
      </c>
      <c r="F440">
        <v>1</v>
      </c>
      <c r="H440">
        <v>1</v>
      </c>
      <c r="K440">
        <v>10</v>
      </c>
    </row>
    <row r="441" spans="1:11">
      <c r="A441">
        <v>753719</v>
      </c>
      <c r="B441" t="s">
        <v>745</v>
      </c>
      <c r="C441" t="s">
        <v>734</v>
      </c>
      <c r="D441" t="s">
        <v>735</v>
      </c>
      <c r="E441">
        <v>7</v>
      </c>
      <c r="F441">
        <v>1</v>
      </c>
      <c r="H441">
        <v>1</v>
      </c>
      <c r="K441">
        <v>11</v>
      </c>
    </row>
    <row r="442" spans="1:11">
      <c r="A442">
        <v>753720</v>
      </c>
      <c r="B442" t="s">
        <v>746</v>
      </c>
      <c r="C442" t="s">
        <v>734</v>
      </c>
      <c r="D442" t="s">
        <v>735</v>
      </c>
      <c r="E442">
        <v>7</v>
      </c>
      <c r="F442">
        <v>1</v>
      </c>
      <c r="H442">
        <v>1</v>
      </c>
      <c r="K442">
        <v>12</v>
      </c>
    </row>
    <row r="443" spans="1:11">
      <c r="A443">
        <v>753721</v>
      </c>
      <c r="B443" t="s">
        <v>747</v>
      </c>
      <c r="C443" t="s">
        <v>734</v>
      </c>
      <c r="D443" t="s">
        <v>735</v>
      </c>
      <c r="E443">
        <v>7</v>
      </c>
      <c r="F443">
        <v>1</v>
      </c>
      <c r="H443">
        <v>1</v>
      </c>
      <c r="K443">
        <v>13</v>
      </c>
    </row>
    <row r="444" spans="1:11">
      <c r="A444">
        <v>753722</v>
      </c>
      <c r="B444" t="s">
        <v>748</v>
      </c>
      <c r="C444" t="s">
        <v>734</v>
      </c>
      <c r="D444" t="s">
        <v>735</v>
      </c>
      <c r="E444">
        <v>7</v>
      </c>
      <c r="F444">
        <v>1</v>
      </c>
      <c r="H444">
        <v>1</v>
      </c>
      <c r="K444">
        <v>14</v>
      </c>
    </row>
    <row r="445" spans="1:11">
      <c r="A445">
        <v>753723</v>
      </c>
      <c r="B445" t="s">
        <v>749</v>
      </c>
      <c r="C445" t="s">
        <v>734</v>
      </c>
      <c r="D445" t="s">
        <v>735</v>
      </c>
      <c r="E445">
        <v>7</v>
      </c>
      <c r="F445">
        <v>1</v>
      </c>
      <c r="H445">
        <v>1</v>
      </c>
      <c r="K445">
        <v>15</v>
      </c>
    </row>
    <row r="446" spans="1:11">
      <c r="A446">
        <v>753724</v>
      </c>
      <c r="B446" t="s">
        <v>750</v>
      </c>
      <c r="C446" t="s">
        <v>734</v>
      </c>
      <c r="D446" t="s">
        <v>735</v>
      </c>
      <c r="E446">
        <v>7</v>
      </c>
      <c r="F446">
        <v>1</v>
      </c>
      <c r="H446">
        <v>1</v>
      </c>
      <c r="K446">
        <v>16</v>
      </c>
    </row>
    <row r="447" spans="1:11">
      <c r="A447">
        <v>753725</v>
      </c>
      <c r="B447" t="s">
        <v>751</v>
      </c>
      <c r="C447" t="s">
        <v>734</v>
      </c>
      <c r="D447" t="s">
        <v>735</v>
      </c>
      <c r="E447">
        <v>7</v>
      </c>
      <c r="F447">
        <v>1</v>
      </c>
      <c r="H447">
        <v>1</v>
      </c>
      <c r="K447">
        <v>17</v>
      </c>
    </row>
    <row r="448" spans="1:11">
      <c r="A448">
        <v>753726</v>
      </c>
      <c r="B448" t="s">
        <v>752</v>
      </c>
      <c r="C448" t="s">
        <v>734</v>
      </c>
      <c r="D448" t="s">
        <v>735</v>
      </c>
      <c r="E448">
        <v>7</v>
      </c>
      <c r="F448">
        <v>1</v>
      </c>
      <c r="H448">
        <v>1</v>
      </c>
      <c r="K448">
        <v>18</v>
      </c>
    </row>
    <row r="449" spans="1:11">
      <c r="A449">
        <v>753727</v>
      </c>
      <c r="B449" t="s">
        <v>753</v>
      </c>
      <c r="C449" t="s">
        <v>734</v>
      </c>
      <c r="D449" t="s">
        <v>735</v>
      </c>
      <c r="E449">
        <v>7</v>
      </c>
      <c r="F449">
        <v>1</v>
      </c>
      <c r="H449">
        <v>1</v>
      </c>
      <c r="K449">
        <v>19</v>
      </c>
    </row>
    <row r="450" spans="1:11">
      <c r="A450">
        <v>753728</v>
      </c>
      <c r="B450" t="s">
        <v>754</v>
      </c>
      <c r="C450" t="s">
        <v>734</v>
      </c>
      <c r="D450" t="s">
        <v>735</v>
      </c>
      <c r="E450">
        <v>7</v>
      </c>
      <c r="F450">
        <v>1</v>
      </c>
      <c r="H450">
        <v>1</v>
      </c>
      <c r="K450">
        <v>20</v>
      </c>
    </row>
    <row r="451" spans="1:11">
      <c r="A451">
        <v>753729</v>
      </c>
      <c r="B451" t="s">
        <v>755</v>
      </c>
      <c r="C451" t="s">
        <v>734</v>
      </c>
      <c r="D451" t="s">
        <v>735</v>
      </c>
      <c r="E451">
        <v>7</v>
      </c>
      <c r="F451">
        <v>1</v>
      </c>
      <c r="H451">
        <v>1</v>
      </c>
      <c r="K451">
        <v>21</v>
      </c>
    </row>
    <row r="452" spans="1:11">
      <c r="A452">
        <v>753730</v>
      </c>
      <c r="B452" t="s">
        <v>756</v>
      </c>
      <c r="C452" t="s">
        <v>734</v>
      </c>
      <c r="D452" t="s">
        <v>735</v>
      </c>
      <c r="E452">
        <v>7</v>
      </c>
      <c r="F452">
        <v>1</v>
      </c>
      <c r="H452">
        <v>1</v>
      </c>
      <c r="K452">
        <v>22</v>
      </c>
    </row>
    <row r="453" spans="1:11">
      <c r="A453">
        <v>753731</v>
      </c>
      <c r="B453" t="s">
        <v>757</v>
      </c>
      <c r="C453" t="s">
        <v>734</v>
      </c>
      <c r="D453" t="s">
        <v>735</v>
      </c>
      <c r="E453">
        <v>7</v>
      </c>
      <c r="F453">
        <v>1</v>
      </c>
      <c r="H453">
        <v>1</v>
      </c>
      <c r="K453">
        <v>23</v>
      </c>
    </row>
    <row r="454" spans="1:11">
      <c r="A454">
        <v>753732</v>
      </c>
      <c r="B454" t="s">
        <v>758</v>
      </c>
      <c r="C454" t="s">
        <v>734</v>
      </c>
      <c r="D454" t="s">
        <v>735</v>
      </c>
      <c r="E454">
        <v>7</v>
      </c>
      <c r="F454">
        <v>1</v>
      </c>
      <c r="H454">
        <v>1</v>
      </c>
      <c r="K454">
        <v>24</v>
      </c>
    </row>
    <row r="455" spans="1:11">
      <c r="A455">
        <v>753733</v>
      </c>
      <c r="B455" t="s">
        <v>759</v>
      </c>
      <c r="C455" t="s">
        <v>734</v>
      </c>
      <c r="D455" t="s">
        <v>735</v>
      </c>
      <c r="E455">
        <v>7</v>
      </c>
      <c r="F455">
        <v>1</v>
      </c>
      <c r="H455">
        <v>1</v>
      </c>
      <c r="K455">
        <v>25</v>
      </c>
    </row>
    <row r="456" spans="1:11">
      <c r="A456">
        <v>753734</v>
      </c>
      <c r="B456" t="s">
        <v>760</v>
      </c>
      <c r="C456" t="s">
        <v>734</v>
      </c>
      <c r="D456" t="s">
        <v>735</v>
      </c>
      <c r="E456">
        <v>7</v>
      </c>
      <c r="F456">
        <v>1</v>
      </c>
      <c r="H456">
        <v>1</v>
      </c>
      <c r="K456">
        <v>26</v>
      </c>
    </row>
    <row r="457" spans="1:11">
      <c r="A457">
        <v>753735</v>
      </c>
      <c r="B457" t="s">
        <v>761</v>
      </c>
      <c r="C457" t="s">
        <v>734</v>
      </c>
      <c r="D457" t="s">
        <v>735</v>
      </c>
      <c r="E457">
        <v>7</v>
      </c>
      <c r="F457">
        <v>1</v>
      </c>
      <c r="H457">
        <v>1</v>
      </c>
      <c r="K457">
        <v>27</v>
      </c>
    </row>
    <row r="458" spans="1:11">
      <c r="A458">
        <v>753736</v>
      </c>
      <c r="B458" t="s">
        <v>762</v>
      </c>
      <c r="C458" t="s">
        <v>734</v>
      </c>
      <c r="D458" t="s">
        <v>735</v>
      </c>
      <c r="E458">
        <v>7</v>
      </c>
      <c r="F458">
        <v>1</v>
      </c>
      <c r="H458">
        <v>1</v>
      </c>
      <c r="K458">
        <v>28</v>
      </c>
    </row>
    <row r="459" spans="1:11">
      <c r="A459">
        <v>753737</v>
      </c>
      <c r="B459" t="s">
        <v>763</v>
      </c>
      <c r="C459" t="s">
        <v>734</v>
      </c>
      <c r="D459" t="s">
        <v>735</v>
      </c>
      <c r="E459">
        <v>7</v>
      </c>
      <c r="F459">
        <v>1</v>
      </c>
      <c r="H459">
        <v>1</v>
      </c>
      <c r="K459">
        <v>29</v>
      </c>
    </row>
    <row r="460" spans="1:11">
      <c r="A460">
        <v>753738</v>
      </c>
      <c r="B460" t="s">
        <v>764</v>
      </c>
      <c r="C460" t="s">
        <v>734</v>
      </c>
      <c r="D460" t="s">
        <v>735</v>
      </c>
      <c r="E460">
        <v>7</v>
      </c>
      <c r="F460">
        <v>1</v>
      </c>
      <c r="H460">
        <v>1</v>
      </c>
      <c r="K460">
        <v>30</v>
      </c>
    </row>
    <row r="461" spans="1:11">
      <c r="A461">
        <v>753739</v>
      </c>
      <c r="B461" t="s">
        <v>765</v>
      </c>
      <c r="C461" t="s">
        <v>734</v>
      </c>
      <c r="D461" t="s">
        <v>735</v>
      </c>
      <c r="E461">
        <v>7</v>
      </c>
      <c r="F461">
        <v>1</v>
      </c>
      <c r="H461">
        <v>1</v>
      </c>
      <c r="K461">
        <v>31</v>
      </c>
    </row>
    <row r="462" spans="1:11">
      <c r="A462">
        <v>753740</v>
      </c>
      <c r="B462" t="s">
        <v>766</v>
      </c>
      <c r="C462" t="s">
        <v>734</v>
      </c>
      <c r="D462" t="s">
        <v>735</v>
      </c>
      <c r="E462">
        <v>7</v>
      </c>
      <c r="F462">
        <v>1</v>
      </c>
      <c r="H462">
        <v>1</v>
      </c>
      <c r="K462">
        <v>32</v>
      </c>
    </row>
    <row r="463" spans="1:11">
      <c r="A463">
        <v>753741</v>
      </c>
      <c r="B463" t="s">
        <v>767</v>
      </c>
      <c r="C463" t="s">
        <v>734</v>
      </c>
      <c r="D463" t="s">
        <v>735</v>
      </c>
      <c r="E463">
        <v>7</v>
      </c>
      <c r="F463">
        <v>1</v>
      </c>
      <c r="H463">
        <v>1</v>
      </c>
      <c r="K463">
        <v>33</v>
      </c>
    </row>
    <row r="464" spans="1:11">
      <c r="A464">
        <v>753742</v>
      </c>
      <c r="B464" t="s">
        <v>768</v>
      </c>
      <c r="C464" t="s">
        <v>734</v>
      </c>
      <c r="D464" t="s">
        <v>735</v>
      </c>
      <c r="E464">
        <v>7</v>
      </c>
      <c r="F464">
        <v>1</v>
      </c>
      <c r="H464">
        <v>1</v>
      </c>
      <c r="K464">
        <v>34</v>
      </c>
    </row>
    <row r="465" spans="1:11">
      <c r="A465">
        <v>753743</v>
      </c>
      <c r="B465" t="s">
        <v>769</v>
      </c>
      <c r="C465" t="s">
        <v>734</v>
      </c>
      <c r="D465" t="s">
        <v>735</v>
      </c>
      <c r="E465">
        <v>7</v>
      </c>
      <c r="F465">
        <v>1</v>
      </c>
      <c r="H465">
        <v>1</v>
      </c>
      <c r="K465">
        <v>35</v>
      </c>
    </row>
    <row r="466" spans="1:11">
      <c r="A466">
        <v>753744</v>
      </c>
      <c r="B466" t="s">
        <v>770</v>
      </c>
      <c r="C466" t="s">
        <v>734</v>
      </c>
      <c r="D466" t="s">
        <v>735</v>
      </c>
      <c r="E466">
        <v>7</v>
      </c>
      <c r="F466">
        <v>1</v>
      </c>
      <c r="H466">
        <v>1</v>
      </c>
      <c r="K466">
        <v>36</v>
      </c>
    </row>
    <row r="467" spans="1:11">
      <c r="A467">
        <v>753745</v>
      </c>
      <c r="B467" t="s">
        <v>771</v>
      </c>
      <c r="C467" t="s">
        <v>734</v>
      </c>
      <c r="D467" t="s">
        <v>735</v>
      </c>
      <c r="E467">
        <v>7</v>
      </c>
      <c r="F467">
        <v>1</v>
      </c>
      <c r="H467">
        <v>1</v>
      </c>
      <c r="K467">
        <v>37</v>
      </c>
    </row>
    <row r="468" spans="1:11">
      <c r="A468">
        <v>753746</v>
      </c>
      <c r="B468" t="s">
        <v>772</v>
      </c>
      <c r="C468" t="s">
        <v>734</v>
      </c>
      <c r="D468" t="s">
        <v>735</v>
      </c>
      <c r="E468">
        <v>7</v>
      </c>
      <c r="F468">
        <v>1</v>
      </c>
      <c r="H468">
        <v>1</v>
      </c>
      <c r="K468">
        <v>38</v>
      </c>
    </row>
    <row r="469" spans="1:11">
      <c r="A469">
        <v>753747</v>
      </c>
      <c r="B469" t="s">
        <v>773</v>
      </c>
      <c r="C469" t="s">
        <v>734</v>
      </c>
      <c r="D469" t="s">
        <v>735</v>
      </c>
      <c r="E469">
        <v>7</v>
      </c>
      <c r="F469">
        <v>1</v>
      </c>
      <c r="H469">
        <v>1</v>
      </c>
      <c r="K469">
        <v>39</v>
      </c>
    </row>
    <row r="470" spans="1:11">
      <c r="A470">
        <v>753748</v>
      </c>
      <c r="B470" t="s">
        <v>774</v>
      </c>
      <c r="C470" t="s">
        <v>734</v>
      </c>
      <c r="D470" t="s">
        <v>735</v>
      </c>
      <c r="E470">
        <v>7</v>
      </c>
      <c r="F470">
        <v>1</v>
      </c>
      <c r="H470">
        <v>1</v>
      </c>
      <c r="K470">
        <v>40</v>
      </c>
    </row>
    <row r="471" spans="1:11">
      <c r="A471">
        <v>753749</v>
      </c>
      <c r="B471" t="s">
        <v>775</v>
      </c>
      <c r="C471" t="s">
        <v>734</v>
      </c>
      <c r="D471" t="s">
        <v>735</v>
      </c>
      <c r="E471">
        <v>7</v>
      </c>
      <c r="F471">
        <v>1</v>
      </c>
      <c r="H471">
        <v>1</v>
      </c>
      <c r="K471">
        <v>41</v>
      </c>
    </row>
    <row r="472" spans="1:11">
      <c r="A472">
        <v>753750</v>
      </c>
      <c r="B472" t="s">
        <v>776</v>
      </c>
      <c r="C472" t="s">
        <v>734</v>
      </c>
      <c r="D472" t="s">
        <v>735</v>
      </c>
      <c r="E472">
        <v>7</v>
      </c>
      <c r="F472">
        <v>1</v>
      </c>
      <c r="H472">
        <v>1</v>
      </c>
      <c r="K472">
        <v>42</v>
      </c>
    </row>
    <row r="473" spans="1:11">
      <c r="A473">
        <v>753751</v>
      </c>
      <c r="B473" t="s">
        <v>777</v>
      </c>
      <c r="C473" t="s">
        <v>734</v>
      </c>
      <c r="D473" t="s">
        <v>735</v>
      </c>
      <c r="E473">
        <v>7</v>
      </c>
      <c r="F473">
        <v>1</v>
      </c>
      <c r="H473">
        <v>1</v>
      </c>
      <c r="K473">
        <v>43</v>
      </c>
    </row>
    <row r="474" spans="1:11">
      <c r="A474">
        <v>753752</v>
      </c>
      <c r="B474" t="s">
        <v>778</v>
      </c>
      <c r="C474" t="s">
        <v>734</v>
      </c>
      <c r="D474" t="s">
        <v>735</v>
      </c>
      <c r="E474">
        <v>7</v>
      </c>
      <c r="F474">
        <v>1</v>
      </c>
      <c r="H474">
        <v>1</v>
      </c>
      <c r="K474">
        <v>44</v>
      </c>
    </row>
    <row r="475" spans="1:11">
      <c r="A475">
        <v>753753</v>
      </c>
      <c r="B475" t="s">
        <v>779</v>
      </c>
      <c r="C475" t="s">
        <v>734</v>
      </c>
      <c r="D475" t="s">
        <v>735</v>
      </c>
      <c r="E475">
        <v>7</v>
      </c>
      <c r="F475">
        <v>1</v>
      </c>
      <c r="H475">
        <v>1</v>
      </c>
      <c r="K475">
        <v>45</v>
      </c>
    </row>
    <row r="476" spans="1:11">
      <c r="A476">
        <v>753754</v>
      </c>
      <c r="B476" t="s">
        <v>780</v>
      </c>
      <c r="C476" t="s">
        <v>734</v>
      </c>
      <c r="D476" t="s">
        <v>735</v>
      </c>
      <c r="E476">
        <v>7</v>
      </c>
      <c r="F476">
        <v>1</v>
      </c>
      <c r="H476">
        <v>1</v>
      </c>
      <c r="K476">
        <v>46</v>
      </c>
    </row>
    <row r="477" spans="1:11">
      <c r="A477">
        <v>753755</v>
      </c>
      <c r="B477" t="s">
        <v>781</v>
      </c>
      <c r="C477" t="s">
        <v>734</v>
      </c>
      <c r="D477" t="s">
        <v>735</v>
      </c>
      <c r="E477">
        <v>7</v>
      </c>
      <c r="F477">
        <v>1</v>
      </c>
      <c r="H477">
        <v>1</v>
      </c>
      <c r="K477">
        <v>47</v>
      </c>
    </row>
    <row r="478" spans="1:11">
      <c r="A478">
        <v>753756</v>
      </c>
      <c r="B478" t="s">
        <v>782</v>
      </c>
      <c r="C478" t="s">
        <v>734</v>
      </c>
      <c r="D478" t="s">
        <v>735</v>
      </c>
      <c r="E478">
        <v>7</v>
      </c>
      <c r="F478">
        <v>1</v>
      </c>
      <c r="H478">
        <v>1</v>
      </c>
      <c r="K478">
        <v>48</v>
      </c>
    </row>
    <row r="479" spans="1:11">
      <c r="A479">
        <v>753757</v>
      </c>
      <c r="B479" t="s">
        <v>783</v>
      </c>
      <c r="C479" t="s">
        <v>734</v>
      </c>
      <c r="D479" t="s">
        <v>735</v>
      </c>
      <c r="E479">
        <v>7</v>
      </c>
      <c r="F479">
        <v>1</v>
      </c>
      <c r="H479">
        <v>1</v>
      </c>
      <c r="K479">
        <v>49</v>
      </c>
    </row>
    <row r="480" spans="1:11">
      <c r="A480">
        <v>753758</v>
      </c>
      <c r="B480" t="s">
        <v>784</v>
      </c>
      <c r="C480" t="s">
        <v>734</v>
      </c>
      <c r="D480" t="s">
        <v>735</v>
      </c>
      <c r="E480">
        <v>7</v>
      </c>
      <c r="F480">
        <v>1</v>
      </c>
      <c r="H480">
        <v>1</v>
      </c>
      <c r="K480">
        <v>50</v>
      </c>
    </row>
    <row r="481" spans="1:11">
      <c r="A481">
        <v>753759</v>
      </c>
      <c r="B481" t="s">
        <v>785</v>
      </c>
      <c r="C481" t="s">
        <v>734</v>
      </c>
      <c r="D481" t="s">
        <v>735</v>
      </c>
      <c r="E481">
        <v>7</v>
      </c>
      <c r="F481">
        <v>1</v>
      </c>
      <c r="H481">
        <v>1</v>
      </c>
      <c r="K481">
        <v>51</v>
      </c>
    </row>
    <row r="482" spans="1:11">
      <c r="A482">
        <v>753760</v>
      </c>
      <c r="B482" t="s">
        <v>786</v>
      </c>
      <c r="C482" t="s">
        <v>734</v>
      </c>
      <c r="D482" t="s">
        <v>735</v>
      </c>
      <c r="E482">
        <v>7</v>
      </c>
      <c r="F482">
        <v>1</v>
      </c>
      <c r="H482">
        <v>1</v>
      </c>
      <c r="K482">
        <v>52</v>
      </c>
    </row>
    <row r="483" spans="1:11">
      <c r="A483">
        <v>753761</v>
      </c>
      <c r="B483" t="s">
        <v>787</v>
      </c>
      <c r="C483" t="s">
        <v>734</v>
      </c>
      <c r="D483" t="s">
        <v>735</v>
      </c>
      <c r="E483">
        <v>7</v>
      </c>
      <c r="F483">
        <v>1</v>
      </c>
      <c r="H483">
        <v>1</v>
      </c>
      <c r="K483">
        <v>53</v>
      </c>
    </row>
    <row r="484" spans="1:11">
      <c r="A484">
        <v>753762</v>
      </c>
      <c r="B484" t="s">
        <v>788</v>
      </c>
      <c r="C484" t="s">
        <v>734</v>
      </c>
      <c r="D484" t="s">
        <v>735</v>
      </c>
      <c r="E484">
        <v>7</v>
      </c>
      <c r="F484">
        <v>1</v>
      </c>
      <c r="H484">
        <v>1</v>
      </c>
      <c r="K484">
        <v>54</v>
      </c>
    </row>
    <row r="485" spans="1:11">
      <c r="A485">
        <v>753763</v>
      </c>
      <c r="B485" t="s">
        <v>789</v>
      </c>
      <c r="C485" t="s">
        <v>734</v>
      </c>
      <c r="D485" t="s">
        <v>735</v>
      </c>
      <c r="E485">
        <v>7</v>
      </c>
      <c r="F485">
        <v>1</v>
      </c>
      <c r="H485">
        <v>1</v>
      </c>
      <c r="K485">
        <v>55</v>
      </c>
    </row>
    <row r="486" spans="1:11">
      <c r="A486">
        <v>753764</v>
      </c>
      <c r="B486" t="s">
        <v>790</v>
      </c>
      <c r="C486" t="s">
        <v>734</v>
      </c>
      <c r="D486" t="s">
        <v>735</v>
      </c>
      <c r="E486">
        <v>7</v>
      </c>
      <c r="F486">
        <v>1</v>
      </c>
      <c r="H486">
        <v>1</v>
      </c>
      <c r="K486">
        <v>56</v>
      </c>
    </row>
    <row r="487" spans="1:11">
      <c r="A487">
        <v>753765</v>
      </c>
      <c r="B487" t="s">
        <v>791</v>
      </c>
      <c r="C487" t="s">
        <v>734</v>
      </c>
      <c r="D487" t="s">
        <v>735</v>
      </c>
      <c r="E487">
        <v>7</v>
      </c>
      <c r="F487">
        <v>1</v>
      </c>
      <c r="H487">
        <v>1</v>
      </c>
      <c r="K487">
        <v>57</v>
      </c>
    </row>
    <row r="488" spans="1:11">
      <c r="A488">
        <v>753766</v>
      </c>
      <c r="B488" t="s">
        <v>792</v>
      </c>
      <c r="C488" t="s">
        <v>734</v>
      </c>
      <c r="D488" t="s">
        <v>735</v>
      </c>
      <c r="E488">
        <v>7</v>
      </c>
      <c r="F488">
        <v>1</v>
      </c>
      <c r="H488">
        <v>1</v>
      </c>
      <c r="K488">
        <v>58</v>
      </c>
    </row>
    <row r="489" spans="1:11">
      <c r="A489">
        <v>753767</v>
      </c>
      <c r="B489" t="s">
        <v>793</v>
      </c>
      <c r="C489" t="s">
        <v>734</v>
      </c>
      <c r="D489" t="s">
        <v>735</v>
      </c>
      <c r="E489">
        <v>7</v>
      </c>
      <c r="F489">
        <v>1</v>
      </c>
      <c r="H489">
        <v>1</v>
      </c>
      <c r="K489">
        <v>59</v>
      </c>
    </row>
    <row r="490" spans="1:11">
      <c r="A490">
        <v>753768</v>
      </c>
      <c r="B490" t="s">
        <v>794</v>
      </c>
      <c r="C490" t="s">
        <v>734</v>
      </c>
      <c r="D490" t="s">
        <v>735</v>
      </c>
      <c r="E490">
        <v>7</v>
      </c>
      <c r="F490">
        <v>1</v>
      </c>
      <c r="H490">
        <v>1</v>
      </c>
      <c r="K490">
        <v>60</v>
      </c>
    </row>
    <row r="491" spans="1:11">
      <c r="A491">
        <v>753769</v>
      </c>
      <c r="B491" t="s">
        <v>795</v>
      </c>
      <c r="C491" t="s">
        <v>734</v>
      </c>
      <c r="D491" t="s">
        <v>735</v>
      </c>
      <c r="E491">
        <v>7</v>
      </c>
      <c r="F491">
        <v>1</v>
      </c>
      <c r="H491">
        <v>1</v>
      </c>
      <c r="K491">
        <v>61</v>
      </c>
    </row>
    <row r="492" spans="1:11">
      <c r="A492">
        <v>753770</v>
      </c>
      <c r="B492" t="s">
        <v>796</v>
      </c>
      <c r="C492" t="s">
        <v>734</v>
      </c>
      <c r="D492" t="s">
        <v>735</v>
      </c>
      <c r="E492">
        <v>7</v>
      </c>
      <c r="F492">
        <v>1</v>
      </c>
      <c r="H492">
        <v>1</v>
      </c>
      <c r="K492">
        <v>62</v>
      </c>
    </row>
    <row r="493" spans="1:11">
      <c r="A493">
        <v>753771</v>
      </c>
      <c r="B493" t="s">
        <v>797</v>
      </c>
      <c r="C493" t="s">
        <v>734</v>
      </c>
      <c r="D493" t="s">
        <v>735</v>
      </c>
      <c r="E493">
        <v>7</v>
      </c>
      <c r="F493">
        <v>1</v>
      </c>
      <c r="H493">
        <v>1</v>
      </c>
      <c r="K493">
        <v>63</v>
      </c>
    </row>
    <row r="494" spans="1:11">
      <c r="A494">
        <v>753772</v>
      </c>
      <c r="B494" t="s">
        <v>798</v>
      </c>
      <c r="C494" t="s">
        <v>734</v>
      </c>
      <c r="D494" t="s">
        <v>735</v>
      </c>
      <c r="E494">
        <v>7</v>
      </c>
      <c r="F494">
        <v>1</v>
      </c>
      <c r="H494">
        <v>1</v>
      </c>
      <c r="K494">
        <v>64</v>
      </c>
    </row>
    <row r="495" spans="1:11">
      <c r="A495">
        <v>753773</v>
      </c>
      <c r="B495" t="s">
        <v>799</v>
      </c>
      <c r="C495" t="s">
        <v>734</v>
      </c>
      <c r="D495" t="s">
        <v>735</v>
      </c>
      <c r="E495">
        <v>7</v>
      </c>
      <c r="F495">
        <v>1</v>
      </c>
      <c r="H495">
        <v>1</v>
      </c>
      <c r="K495">
        <v>65</v>
      </c>
    </row>
    <row r="496" spans="1:11">
      <c r="A496">
        <v>753774</v>
      </c>
      <c r="B496" t="s">
        <v>800</v>
      </c>
      <c r="C496" t="s">
        <v>734</v>
      </c>
      <c r="D496" t="s">
        <v>735</v>
      </c>
      <c r="E496">
        <v>7</v>
      </c>
      <c r="F496">
        <v>1</v>
      </c>
      <c r="H496">
        <v>1</v>
      </c>
      <c r="K496">
        <v>66</v>
      </c>
    </row>
    <row r="497" spans="1:11">
      <c r="A497">
        <v>753775</v>
      </c>
      <c r="B497" t="s">
        <v>801</v>
      </c>
      <c r="C497" t="s">
        <v>734</v>
      </c>
      <c r="D497" t="s">
        <v>735</v>
      </c>
      <c r="E497">
        <v>7</v>
      </c>
      <c r="F497">
        <v>1</v>
      </c>
      <c r="H497">
        <v>1</v>
      </c>
      <c r="K497">
        <v>67</v>
      </c>
    </row>
    <row r="498" spans="1:11">
      <c r="A498">
        <v>753776</v>
      </c>
      <c r="B498" t="s">
        <v>802</v>
      </c>
      <c r="C498" t="s">
        <v>734</v>
      </c>
      <c r="D498" t="s">
        <v>735</v>
      </c>
      <c r="E498">
        <v>7</v>
      </c>
      <c r="F498">
        <v>1</v>
      </c>
      <c r="H498">
        <v>1</v>
      </c>
      <c r="K498">
        <v>68</v>
      </c>
    </row>
    <row r="499" spans="1:11">
      <c r="A499">
        <v>753777</v>
      </c>
      <c r="B499" t="s">
        <v>803</v>
      </c>
      <c r="C499" t="s">
        <v>734</v>
      </c>
      <c r="D499" t="s">
        <v>735</v>
      </c>
      <c r="E499">
        <v>7</v>
      </c>
      <c r="F499">
        <v>1</v>
      </c>
      <c r="H499">
        <v>1</v>
      </c>
      <c r="K499">
        <v>69</v>
      </c>
    </row>
    <row r="500" spans="1:11">
      <c r="A500">
        <v>753778</v>
      </c>
      <c r="B500" t="s">
        <v>804</v>
      </c>
      <c r="C500" t="s">
        <v>734</v>
      </c>
      <c r="D500" t="s">
        <v>735</v>
      </c>
      <c r="E500">
        <v>7</v>
      </c>
      <c r="F500">
        <v>1</v>
      </c>
      <c r="H500">
        <v>1</v>
      </c>
      <c r="K500">
        <v>70</v>
      </c>
    </row>
    <row r="501" spans="1:11">
      <c r="A501">
        <v>753779</v>
      </c>
      <c r="B501" t="s">
        <v>805</v>
      </c>
      <c r="C501" t="s">
        <v>734</v>
      </c>
      <c r="D501" t="s">
        <v>735</v>
      </c>
      <c r="E501">
        <v>7</v>
      </c>
      <c r="F501">
        <v>1</v>
      </c>
      <c r="H501">
        <v>1</v>
      </c>
      <c r="K501">
        <v>71</v>
      </c>
    </row>
    <row r="502" spans="1:11">
      <c r="A502">
        <v>753638</v>
      </c>
      <c r="B502" t="s">
        <v>806</v>
      </c>
      <c r="C502" t="s">
        <v>807</v>
      </c>
      <c r="D502" t="s">
        <v>808</v>
      </c>
      <c r="E502">
        <v>8</v>
      </c>
      <c r="F502">
        <v>1</v>
      </c>
      <c r="H502">
        <v>1</v>
      </c>
      <c r="K502">
        <v>1</v>
      </c>
    </row>
    <row r="503" spans="1:11">
      <c r="A503">
        <v>753639</v>
      </c>
      <c r="B503" t="s">
        <v>809</v>
      </c>
      <c r="C503" t="s">
        <v>807</v>
      </c>
      <c r="D503" t="s">
        <v>808</v>
      </c>
      <c r="E503">
        <v>8</v>
      </c>
      <c r="F503">
        <v>1</v>
      </c>
      <c r="H503">
        <v>1</v>
      </c>
      <c r="K503">
        <v>2</v>
      </c>
    </row>
    <row r="504" spans="1:11">
      <c r="A504">
        <v>753640</v>
      </c>
      <c r="B504" t="s">
        <v>810</v>
      </c>
      <c r="C504" t="s">
        <v>807</v>
      </c>
      <c r="D504" t="s">
        <v>808</v>
      </c>
      <c r="E504">
        <v>8</v>
      </c>
      <c r="F504">
        <v>1</v>
      </c>
      <c r="H504">
        <v>1</v>
      </c>
      <c r="K504">
        <v>3</v>
      </c>
    </row>
    <row r="505" spans="1:11">
      <c r="A505">
        <v>753641</v>
      </c>
      <c r="B505" t="s">
        <v>811</v>
      </c>
      <c r="C505" t="s">
        <v>807</v>
      </c>
      <c r="D505" t="s">
        <v>808</v>
      </c>
      <c r="E505">
        <v>8</v>
      </c>
      <c r="F505">
        <v>1</v>
      </c>
      <c r="H505">
        <v>1</v>
      </c>
      <c r="K505">
        <v>4</v>
      </c>
    </row>
    <row r="506" spans="1:11">
      <c r="A506">
        <v>753642</v>
      </c>
      <c r="B506" t="s">
        <v>812</v>
      </c>
      <c r="C506" t="s">
        <v>807</v>
      </c>
      <c r="D506" t="s">
        <v>808</v>
      </c>
      <c r="E506">
        <v>8</v>
      </c>
      <c r="F506">
        <v>1</v>
      </c>
      <c r="H506">
        <v>1</v>
      </c>
      <c r="K506">
        <v>5</v>
      </c>
    </row>
    <row r="507" spans="1:11">
      <c r="A507">
        <v>753643</v>
      </c>
      <c r="B507" t="s">
        <v>813</v>
      </c>
      <c r="C507" t="s">
        <v>807</v>
      </c>
      <c r="D507" t="s">
        <v>808</v>
      </c>
      <c r="E507">
        <v>8</v>
      </c>
      <c r="F507">
        <v>1</v>
      </c>
      <c r="H507">
        <v>1</v>
      </c>
      <c r="K507">
        <v>6</v>
      </c>
    </row>
    <row r="508" spans="1:11">
      <c r="A508">
        <v>753644</v>
      </c>
      <c r="B508" t="s">
        <v>814</v>
      </c>
      <c r="C508" t="s">
        <v>807</v>
      </c>
      <c r="D508" t="s">
        <v>808</v>
      </c>
      <c r="E508">
        <v>8</v>
      </c>
      <c r="F508">
        <v>1</v>
      </c>
      <c r="H508">
        <v>1</v>
      </c>
      <c r="K508">
        <v>7</v>
      </c>
    </row>
    <row r="509" spans="1:11">
      <c r="A509">
        <v>753645</v>
      </c>
      <c r="B509" t="s">
        <v>815</v>
      </c>
      <c r="C509" t="s">
        <v>807</v>
      </c>
      <c r="D509" t="s">
        <v>808</v>
      </c>
      <c r="E509">
        <v>8</v>
      </c>
      <c r="F509">
        <v>1</v>
      </c>
      <c r="H509">
        <v>1</v>
      </c>
      <c r="K509">
        <v>8</v>
      </c>
    </row>
    <row r="510" spans="1:11">
      <c r="A510">
        <v>753646</v>
      </c>
      <c r="B510" t="s">
        <v>816</v>
      </c>
      <c r="C510" t="s">
        <v>807</v>
      </c>
      <c r="D510" t="s">
        <v>808</v>
      </c>
      <c r="E510">
        <v>8</v>
      </c>
      <c r="F510">
        <v>1</v>
      </c>
      <c r="H510">
        <v>1</v>
      </c>
      <c r="K510">
        <v>9</v>
      </c>
    </row>
    <row r="511" spans="1:11">
      <c r="A511">
        <v>753647</v>
      </c>
      <c r="B511" t="s">
        <v>817</v>
      </c>
      <c r="C511" t="s">
        <v>807</v>
      </c>
      <c r="D511" t="s">
        <v>808</v>
      </c>
      <c r="E511">
        <v>8</v>
      </c>
      <c r="F511">
        <v>1</v>
      </c>
      <c r="H511">
        <v>1</v>
      </c>
      <c r="K511">
        <v>10</v>
      </c>
    </row>
    <row r="512" spans="1:11">
      <c r="A512">
        <v>753648</v>
      </c>
      <c r="B512" t="s">
        <v>818</v>
      </c>
      <c r="C512" t="s">
        <v>807</v>
      </c>
      <c r="D512" t="s">
        <v>808</v>
      </c>
      <c r="E512">
        <v>8</v>
      </c>
      <c r="F512">
        <v>1</v>
      </c>
      <c r="H512">
        <v>1</v>
      </c>
      <c r="K512">
        <v>11</v>
      </c>
    </row>
    <row r="513" spans="1:11">
      <c r="A513">
        <v>753649</v>
      </c>
      <c r="B513" t="s">
        <v>819</v>
      </c>
      <c r="C513" t="s">
        <v>807</v>
      </c>
      <c r="D513" t="s">
        <v>808</v>
      </c>
      <c r="E513">
        <v>8</v>
      </c>
      <c r="F513">
        <v>1</v>
      </c>
      <c r="H513">
        <v>1</v>
      </c>
      <c r="K513">
        <v>12</v>
      </c>
    </row>
    <row r="514" spans="1:11">
      <c r="A514">
        <v>753650</v>
      </c>
      <c r="B514" t="s">
        <v>820</v>
      </c>
      <c r="C514" t="s">
        <v>807</v>
      </c>
      <c r="D514" t="s">
        <v>808</v>
      </c>
      <c r="E514">
        <v>8</v>
      </c>
      <c r="F514">
        <v>1</v>
      </c>
      <c r="H514">
        <v>1</v>
      </c>
      <c r="K514">
        <v>13</v>
      </c>
    </row>
    <row r="515" spans="1:11">
      <c r="A515">
        <v>753651</v>
      </c>
      <c r="B515" t="s">
        <v>821</v>
      </c>
      <c r="C515" t="s">
        <v>807</v>
      </c>
      <c r="D515" t="s">
        <v>808</v>
      </c>
      <c r="E515">
        <v>8</v>
      </c>
      <c r="F515">
        <v>1</v>
      </c>
      <c r="H515">
        <v>1</v>
      </c>
      <c r="K515">
        <v>14</v>
      </c>
    </row>
    <row r="516" spans="1:11">
      <c r="A516">
        <v>753652</v>
      </c>
      <c r="B516" t="s">
        <v>822</v>
      </c>
      <c r="C516" t="s">
        <v>807</v>
      </c>
      <c r="D516" t="s">
        <v>808</v>
      </c>
      <c r="E516">
        <v>8</v>
      </c>
      <c r="F516">
        <v>1</v>
      </c>
      <c r="H516">
        <v>1</v>
      </c>
      <c r="K516">
        <v>15</v>
      </c>
    </row>
    <row r="517" spans="1:11">
      <c r="A517">
        <v>753653</v>
      </c>
      <c r="B517" t="s">
        <v>823</v>
      </c>
      <c r="C517" t="s">
        <v>807</v>
      </c>
      <c r="D517" t="s">
        <v>808</v>
      </c>
      <c r="E517">
        <v>8</v>
      </c>
      <c r="F517">
        <v>1</v>
      </c>
      <c r="H517">
        <v>1</v>
      </c>
      <c r="K517">
        <v>16</v>
      </c>
    </row>
    <row r="518" spans="1:11">
      <c r="A518">
        <v>753654</v>
      </c>
      <c r="B518" t="s">
        <v>824</v>
      </c>
      <c r="C518" t="s">
        <v>807</v>
      </c>
      <c r="D518" t="s">
        <v>808</v>
      </c>
      <c r="E518">
        <v>8</v>
      </c>
      <c r="F518">
        <v>1</v>
      </c>
      <c r="H518">
        <v>1</v>
      </c>
      <c r="K518">
        <v>17</v>
      </c>
    </row>
    <row r="519" spans="1:11">
      <c r="A519">
        <v>753655</v>
      </c>
      <c r="B519" t="s">
        <v>825</v>
      </c>
      <c r="C519" t="s">
        <v>807</v>
      </c>
      <c r="D519" t="s">
        <v>808</v>
      </c>
      <c r="E519">
        <v>8</v>
      </c>
      <c r="F519">
        <v>1</v>
      </c>
      <c r="H519">
        <v>1</v>
      </c>
      <c r="K519">
        <v>18</v>
      </c>
    </row>
    <row r="520" spans="1:11">
      <c r="A520">
        <v>753656</v>
      </c>
      <c r="B520" t="s">
        <v>826</v>
      </c>
      <c r="C520" t="s">
        <v>807</v>
      </c>
      <c r="D520" t="s">
        <v>808</v>
      </c>
      <c r="E520">
        <v>8</v>
      </c>
      <c r="F520">
        <v>1</v>
      </c>
      <c r="H520">
        <v>1</v>
      </c>
      <c r="K520">
        <v>19</v>
      </c>
    </row>
    <row r="521" spans="1:11">
      <c r="A521">
        <v>753657</v>
      </c>
      <c r="B521" t="s">
        <v>827</v>
      </c>
      <c r="C521" t="s">
        <v>807</v>
      </c>
      <c r="D521" t="s">
        <v>808</v>
      </c>
      <c r="E521">
        <v>8</v>
      </c>
      <c r="F521">
        <v>1</v>
      </c>
      <c r="H521">
        <v>1</v>
      </c>
      <c r="K521">
        <v>20</v>
      </c>
    </row>
    <row r="522" spans="1:11">
      <c r="A522">
        <v>753658</v>
      </c>
      <c r="B522" t="s">
        <v>828</v>
      </c>
      <c r="C522" t="s">
        <v>807</v>
      </c>
      <c r="D522" t="s">
        <v>808</v>
      </c>
      <c r="E522">
        <v>8</v>
      </c>
      <c r="F522">
        <v>1</v>
      </c>
      <c r="H522">
        <v>1</v>
      </c>
      <c r="K522">
        <v>21</v>
      </c>
    </row>
    <row r="523" spans="1:11">
      <c r="A523">
        <v>753659</v>
      </c>
      <c r="B523" t="s">
        <v>829</v>
      </c>
      <c r="C523" t="s">
        <v>807</v>
      </c>
      <c r="D523" t="s">
        <v>808</v>
      </c>
      <c r="E523">
        <v>8</v>
      </c>
      <c r="F523">
        <v>1</v>
      </c>
      <c r="H523">
        <v>1</v>
      </c>
      <c r="K523">
        <v>22</v>
      </c>
    </row>
    <row r="524" spans="1:11">
      <c r="A524">
        <v>753660</v>
      </c>
      <c r="B524" t="s">
        <v>830</v>
      </c>
      <c r="C524" t="s">
        <v>807</v>
      </c>
      <c r="D524" t="s">
        <v>808</v>
      </c>
      <c r="E524">
        <v>8</v>
      </c>
      <c r="F524">
        <v>1</v>
      </c>
      <c r="H524">
        <v>1</v>
      </c>
      <c r="K524">
        <v>23</v>
      </c>
    </row>
    <row r="525" spans="1:11">
      <c r="A525">
        <v>753661</v>
      </c>
      <c r="B525" t="s">
        <v>831</v>
      </c>
      <c r="C525" t="s">
        <v>807</v>
      </c>
      <c r="D525" t="s">
        <v>808</v>
      </c>
      <c r="E525">
        <v>8</v>
      </c>
      <c r="F525">
        <v>1</v>
      </c>
      <c r="H525">
        <v>1</v>
      </c>
      <c r="K525">
        <v>24</v>
      </c>
    </row>
    <row r="526" spans="1:11">
      <c r="A526">
        <v>753662</v>
      </c>
      <c r="B526" t="s">
        <v>832</v>
      </c>
      <c r="C526" t="s">
        <v>807</v>
      </c>
      <c r="D526" t="s">
        <v>808</v>
      </c>
      <c r="E526">
        <v>8</v>
      </c>
      <c r="F526">
        <v>1</v>
      </c>
      <c r="H526">
        <v>1</v>
      </c>
      <c r="K526">
        <v>25</v>
      </c>
    </row>
    <row r="527" spans="1:11">
      <c r="A527">
        <v>753663</v>
      </c>
      <c r="B527" t="s">
        <v>833</v>
      </c>
      <c r="C527" t="s">
        <v>807</v>
      </c>
      <c r="D527" t="s">
        <v>808</v>
      </c>
      <c r="E527">
        <v>8</v>
      </c>
      <c r="F527">
        <v>1</v>
      </c>
      <c r="H527">
        <v>1</v>
      </c>
      <c r="K527">
        <v>26</v>
      </c>
    </row>
    <row r="528" spans="1:11">
      <c r="A528">
        <v>753664</v>
      </c>
      <c r="B528" t="s">
        <v>834</v>
      </c>
      <c r="C528" t="s">
        <v>807</v>
      </c>
      <c r="D528" t="s">
        <v>808</v>
      </c>
      <c r="E528">
        <v>8</v>
      </c>
      <c r="F528">
        <v>1</v>
      </c>
      <c r="H528">
        <v>1</v>
      </c>
      <c r="K528">
        <v>27</v>
      </c>
    </row>
    <row r="529" spans="1:11">
      <c r="A529">
        <v>753665</v>
      </c>
      <c r="B529" t="s">
        <v>835</v>
      </c>
      <c r="C529" t="s">
        <v>807</v>
      </c>
      <c r="D529" t="s">
        <v>808</v>
      </c>
      <c r="E529">
        <v>8</v>
      </c>
      <c r="F529">
        <v>1</v>
      </c>
      <c r="H529">
        <v>1</v>
      </c>
      <c r="K529">
        <v>28</v>
      </c>
    </row>
    <row r="530" spans="1:11">
      <c r="A530">
        <v>753666</v>
      </c>
      <c r="B530" t="s">
        <v>836</v>
      </c>
      <c r="C530" t="s">
        <v>807</v>
      </c>
      <c r="D530" t="s">
        <v>808</v>
      </c>
      <c r="E530">
        <v>8</v>
      </c>
      <c r="F530">
        <v>1</v>
      </c>
      <c r="H530">
        <v>1</v>
      </c>
      <c r="K530">
        <v>29</v>
      </c>
    </row>
    <row r="531" spans="1:11">
      <c r="A531">
        <v>753667</v>
      </c>
      <c r="B531" t="s">
        <v>837</v>
      </c>
      <c r="C531" t="s">
        <v>807</v>
      </c>
      <c r="D531" t="s">
        <v>808</v>
      </c>
      <c r="E531">
        <v>8</v>
      </c>
      <c r="F531">
        <v>1</v>
      </c>
      <c r="H531">
        <v>1</v>
      </c>
      <c r="K531">
        <v>30</v>
      </c>
    </row>
    <row r="532" spans="1:11">
      <c r="A532">
        <v>753668</v>
      </c>
      <c r="B532" t="s">
        <v>838</v>
      </c>
      <c r="C532" t="s">
        <v>807</v>
      </c>
      <c r="D532" t="s">
        <v>808</v>
      </c>
      <c r="E532">
        <v>8</v>
      </c>
      <c r="F532">
        <v>1</v>
      </c>
      <c r="H532">
        <v>1</v>
      </c>
      <c r="K532">
        <v>31</v>
      </c>
    </row>
    <row r="533" spans="1:11">
      <c r="A533">
        <v>753669</v>
      </c>
      <c r="B533" t="s">
        <v>839</v>
      </c>
      <c r="C533" t="s">
        <v>807</v>
      </c>
      <c r="D533" t="s">
        <v>808</v>
      </c>
      <c r="E533">
        <v>8</v>
      </c>
      <c r="F533">
        <v>1</v>
      </c>
      <c r="H533">
        <v>1</v>
      </c>
      <c r="K533">
        <v>32</v>
      </c>
    </row>
    <row r="534" spans="1:11">
      <c r="A534">
        <v>753670</v>
      </c>
      <c r="B534" t="s">
        <v>840</v>
      </c>
      <c r="C534" t="s">
        <v>807</v>
      </c>
      <c r="D534" t="s">
        <v>808</v>
      </c>
      <c r="E534">
        <v>8</v>
      </c>
      <c r="F534">
        <v>1</v>
      </c>
      <c r="H534">
        <v>1</v>
      </c>
      <c r="K534">
        <v>33</v>
      </c>
    </row>
    <row r="535" spans="1:11">
      <c r="A535">
        <v>753671</v>
      </c>
      <c r="B535" t="s">
        <v>841</v>
      </c>
      <c r="C535" t="s">
        <v>807</v>
      </c>
      <c r="D535" t="s">
        <v>808</v>
      </c>
      <c r="E535">
        <v>8</v>
      </c>
      <c r="F535">
        <v>1</v>
      </c>
      <c r="H535">
        <v>1</v>
      </c>
      <c r="K535">
        <v>34</v>
      </c>
    </row>
    <row r="536" spans="1:11">
      <c r="A536">
        <v>753672</v>
      </c>
      <c r="B536" t="s">
        <v>842</v>
      </c>
      <c r="C536" t="s">
        <v>807</v>
      </c>
      <c r="D536" t="s">
        <v>808</v>
      </c>
      <c r="E536">
        <v>8</v>
      </c>
      <c r="F536">
        <v>1</v>
      </c>
      <c r="H536">
        <v>1</v>
      </c>
      <c r="K536">
        <v>35</v>
      </c>
    </row>
    <row r="537" spans="1:11">
      <c r="A537">
        <v>753673</v>
      </c>
      <c r="B537" t="s">
        <v>843</v>
      </c>
      <c r="C537" t="s">
        <v>807</v>
      </c>
      <c r="D537" t="s">
        <v>808</v>
      </c>
      <c r="E537">
        <v>8</v>
      </c>
      <c r="F537">
        <v>1</v>
      </c>
      <c r="H537">
        <v>1</v>
      </c>
      <c r="K537">
        <v>36</v>
      </c>
    </row>
    <row r="538" spans="1:11">
      <c r="A538">
        <v>753674</v>
      </c>
      <c r="B538" t="s">
        <v>844</v>
      </c>
      <c r="C538" t="s">
        <v>807</v>
      </c>
      <c r="D538" t="s">
        <v>808</v>
      </c>
      <c r="E538">
        <v>8</v>
      </c>
      <c r="F538">
        <v>1</v>
      </c>
      <c r="H538">
        <v>1</v>
      </c>
      <c r="K538">
        <v>37</v>
      </c>
    </row>
    <row r="539" spans="1:11">
      <c r="A539">
        <v>753675</v>
      </c>
      <c r="B539" t="s">
        <v>845</v>
      </c>
      <c r="C539" t="s">
        <v>807</v>
      </c>
      <c r="D539" t="s">
        <v>808</v>
      </c>
      <c r="E539">
        <v>8</v>
      </c>
      <c r="F539">
        <v>1</v>
      </c>
      <c r="H539">
        <v>1</v>
      </c>
      <c r="K539">
        <v>38</v>
      </c>
    </row>
    <row r="540" spans="1:11">
      <c r="A540">
        <v>753676</v>
      </c>
      <c r="B540" t="s">
        <v>846</v>
      </c>
      <c r="C540" t="s">
        <v>807</v>
      </c>
      <c r="D540" t="s">
        <v>808</v>
      </c>
      <c r="E540">
        <v>8</v>
      </c>
      <c r="F540">
        <v>1</v>
      </c>
      <c r="H540">
        <v>1</v>
      </c>
      <c r="K540">
        <v>39</v>
      </c>
    </row>
    <row r="541" spans="1:11">
      <c r="A541">
        <v>753677</v>
      </c>
      <c r="B541" t="s">
        <v>847</v>
      </c>
      <c r="C541" t="s">
        <v>807</v>
      </c>
      <c r="D541" t="s">
        <v>808</v>
      </c>
      <c r="E541">
        <v>8</v>
      </c>
      <c r="F541">
        <v>1</v>
      </c>
      <c r="H541">
        <v>1</v>
      </c>
      <c r="K541">
        <v>40</v>
      </c>
    </row>
    <row r="542" spans="1:11">
      <c r="A542">
        <v>753678</v>
      </c>
      <c r="B542" t="s">
        <v>848</v>
      </c>
      <c r="C542" t="s">
        <v>807</v>
      </c>
      <c r="D542" t="s">
        <v>808</v>
      </c>
      <c r="E542">
        <v>8</v>
      </c>
      <c r="F542">
        <v>1</v>
      </c>
      <c r="H542">
        <v>1</v>
      </c>
      <c r="K542">
        <v>41</v>
      </c>
    </row>
    <row r="543" spans="1:11">
      <c r="A543">
        <v>753679</v>
      </c>
      <c r="B543" t="s">
        <v>849</v>
      </c>
      <c r="C543" t="s">
        <v>807</v>
      </c>
      <c r="D543" t="s">
        <v>808</v>
      </c>
      <c r="E543">
        <v>8</v>
      </c>
      <c r="F543">
        <v>1</v>
      </c>
      <c r="H543">
        <v>1</v>
      </c>
      <c r="K543">
        <v>42</v>
      </c>
    </row>
    <row r="544" spans="1:11">
      <c r="A544">
        <v>753680</v>
      </c>
      <c r="B544" t="s">
        <v>850</v>
      </c>
      <c r="C544" t="s">
        <v>807</v>
      </c>
      <c r="D544" t="s">
        <v>808</v>
      </c>
      <c r="E544">
        <v>8</v>
      </c>
      <c r="F544">
        <v>1</v>
      </c>
      <c r="H544">
        <v>1</v>
      </c>
      <c r="K544">
        <v>43</v>
      </c>
    </row>
    <row r="545" spans="1:11">
      <c r="A545">
        <v>753681</v>
      </c>
      <c r="B545" t="s">
        <v>851</v>
      </c>
      <c r="C545" t="s">
        <v>807</v>
      </c>
      <c r="D545" t="s">
        <v>808</v>
      </c>
      <c r="E545">
        <v>8</v>
      </c>
      <c r="F545">
        <v>1</v>
      </c>
      <c r="H545">
        <v>1</v>
      </c>
      <c r="K545">
        <v>44</v>
      </c>
    </row>
    <row r="546" spans="1:11">
      <c r="A546">
        <v>753682</v>
      </c>
      <c r="B546" t="s">
        <v>852</v>
      </c>
      <c r="C546" t="s">
        <v>807</v>
      </c>
      <c r="D546" t="s">
        <v>808</v>
      </c>
      <c r="E546">
        <v>8</v>
      </c>
      <c r="F546">
        <v>1</v>
      </c>
      <c r="H546">
        <v>1</v>
      </c>
      <c r="K546">
        <v>45</v>
      </c>
    </row>
    <row r="547" spans="1:11">
      <c r="A547">
        <v>753683</v>
      </c>
      <c r="B547" t="s">
        <v>853</v>
      </c>
      <c r="C547" t="s">
        <v>807</v>
      </c>
      <c r="D547" t="s">
        <v>808</v>
      </c>
      <c r="E547">
        <v>8</v>
      </c>
      <c r="F547">
        <v>1</v>
      </c>
      <c r="H547">
        <v>1</v>
      </c>
      <c r="K547">
        <v>46</v>
      </c>
    </row>
    <row r="548" spans="1:11">
      <c r="A548">
        <v>753684</v>
      </c>
      <c r="B548" t="s">
        <v>854</v>
      </c>
      <c r="C548" t="s">
        <v>807</v>
      </c>
      <c r="D548" t="s">
        <v>808</v>
      </c>
      <c r="E548">
        <v>8</v>
      </c>
      <c r="F548">
        <v>1</v>
      </c>
      <c r="H548">
        <v>1</v>
      </c>
      <c r="K548">
        <v>47</v>
      </c>
    </row>
    <row r="549" spans="1:11">
      <c r="A549">
        <v>753685</v>
      </c>
      <c r="B549" t="s">
        <v>855</v>
      </c>
      <c r="C549" t="s">
        <v>807</v>
      </c>
      <c r="D549" t="s">
        <v>808</v>
      </c>
      <c r="E549">
        <v>8</v>
      </c>
      <c r="F549">
        <v>1</v>
      </c>
      <c r="H549">
        <v>1</v>
      </c>
      <c r="K549">
        <v>48</v>
      </c>
    </row>
    <row r="550" spans="1:11">
      <c r="A550">
        <v>753686</v>
      </c>
      <c r="B550" t="s">
        <v>856</v>
      </c>
      <c r="C550" t="s">
        <v>807</v>
      </c>
      <c r="D550" t="s">
        <v>808</v>
      </c>
      <c r="E550">
        <v>8</v>
      </c>
      <c r="F550">
        <v>1</v>
      </c>
      <c r="H550">
        <v>1</v>
      </c>
      <c r="K550">
        <v>49</v>
      </c>
    </row>
    <row r="551" spans="1:11">
      <c r="A551">
        <v>753687</v>
      </c>
      <c r="B551" t="s">
        <v>857</v>
      </c>
      <c r="C551" t="s">
        <v>807</v>
      </c>
      <c r="D551" t="s">
        <v>808</v>
      </c>
      <c r="E551">
        <v>8</v>
      </c>
      <c r="F551">
        <v>1</v>
      </c>
      <c r="H551">
        <v>1</v>
      </c>
      <c r="K551">
        <v>50</v>
      </c>
    </row>
    <row r="552" spans="1:11">
      <c r="A552">
        <v>753688</v>
      </c>
      <c r="B552" t="s">
        <v>858</v>
      </c>
      <c r="C552" t="s">
        <v>807</v>
      </c>
      <c r="D552" t="s">
        <v>808</v>
      </c>
      <c r="E552">
        <v>8</v>
      </c>
      <c r="F552">
        <v>1</v>
      </c>
      <c r="H552">
        <v>1</v>
      </c>
      <c r="K552">
        <v>51</v>
      </c>
    </row>
    <row r="553" spans="1:11">
      <c r="A553">
        <v>753689</v>
      </c>
      <c r="B553" t="s">
        <v>859</v>
      </c>
      <c r="C553" t="s">
        <v>807</v>
      </c>
      <c r="D553" t="s">
        <v>808</v>
      </c>
      <c r="E553">
        <v>8</v>
      </c>
      <c r="F553">
        <v>1</v>
      </c>
      <c r="H553">
        <v>1</v>
      </c>
      <c r="K553">
        <v>52</v>
      </c>
    </row>
    <row r="554" spans="1:11">
      <c r="A554">
        <v>753690</v>
      </c>
      <c r="B554" t="s">
        <v>860</v>
      </c>
      <c r="C554" t="s">
        <v>807</v>
      </c>
      <c r="D554" t="s">
        <v>808</v>
      </c>
      <c r="E554">
        <v>8</v>
      </c>
      <c r="F554">
        <v>1</v>
      </c>
      <c r="H554">
        <v>1</v>
      </c>
      <c r="K554">
        <v>53</v>
      </c>
    </row>
    <row r="555" spans="1:11">
      <c r="A555">
        <v>753691</v>
      </c>
      <c r="B555" t="s">
        <v>861</v>
      </c>
      <c r="C555" t="s">
        <v>807</v>
      </c>
      <c r="D555" t="s">
        <v>808</v>
      </c>
      <c r="E555">
        <v>8</v>
      </c>
      <c r="F555">
        <v>1</v>
      </c>
      <c r="H555">
        <v>1</v>
      </c>
      <c r="K555">
        <v>54</v>
      </c>
    </row>
    <row r="556" spans="1:11">
      <c r="A556">
        <v>753692</v>
      </c>
      <c r="B556" t="s">
        <v>862</v>
      </c>
      <c r="C556" t="s">
        <v>807</v>
      </c>
      <c r="D556" t="s">
        <v>808</v>
      </c>
      <c r="E556">
        <v>8</v>
      </c>
      <c r="F556">
        <v>1</v>
      </c>
      <c r="H556">
        <v>1</v>
      </c>
      <c r="K556">
        <v>55</v>
      </c>
    </row>
    <row r="557" spans="1:11">
      <c r="A557">
        <v>753693</v>
      </c>
      <c r="B557" t="s">
        <v>863</v>
      </c>
      <c r="C557" t="s">
        <v>807</v>
      </c>
      <c r="D557" t="s">
        <v>808</v>
      </c>
      <c r="E557">
        <v>8</v>
      </c>
      <c r="F557">
        <v>1</v>
      </c>
      <c r="H557">
        <v>1</v>
      </c>
      <c r="K557">
        <v>56</v>
      </c>
    </row>
    <row r="558" spans="1:11">
      <c r="A558">
        <v>753694</v>
      </c>
      <c r="B558" t="s">
        <v>864</v>
      </c>
      <c r="C558" t="s">
        <v>807</v>
      </c>
      <c r="D558" t="s">
        <v>808</v>
      </c>
      <c r="E558">
        <v>8</v>
      </c>
      <c r="F558">
        <v>1</v>
      </c>
      <c r="H558">
        <v>1</v>
      </c>
      <c r="K558">
        <v>57</v>
      </c>
    </row>
    <row r="559" spans="1:11">
      <c r="A559">
        <v>753695</v>
      </c>
      <c r="B559" t="s">
        <v>865</v>
      </c>
      <c r="C559" t="s">
        <v>807</v>
      </c>
      <c r="D559" t="s">
        <v>808</v>
      </c>
      <c r="E559">
        <v>8</v>
      </c>
      <c r="F559">
        <v>1</v>
      </c>
      <c r="H559">
        <v>1</v>
      </c>
      <c r="K559">
        <v>58</v>
      </c>
    </row>
    <row r="560" spans="1:11">
      <c r="A560">
        <v>753696</v>
      </c>
      <c r="B560" t="s">
        <v>866</v>
      </c>
      <c r="C560" t="s">
        <v>807</v>
      </c>
      <c r="D560" t="s">
        <v>808</v>
      </c>
      <c r="E560">
        <v>8</v>
      </c>
      <c r="F560">
        <v>1</v>
      </c>
      <c r="H560">
        <v>1</v>
      </c>
      <c r="K560">
        <v>59</v>
      </c>
    </row>
    <row r="561" spans="1:11">
      <c r="A561">
        <v>753697</v>
      </c>
      <c r="B561" t="s">
        <v>867</v>
      </c>
      <c r="C561" t="s">
        <v>807</v>
      </c>
      <c r="D561" t="s">
        <v>808</v>
      </c>
      <c r="E561">
        <v>8</v>
      </c>
      <c r="F561">
        <v>1</v>
      </c>
      <c r="H561">
        <v>1</v>
      </c>
      <c r="K561">
        <v>60</v>
      </c>
    </row>
    <row r="562" spans="1:11">
      <c r="A562">
        <v>753698</v>
      </c>
      <c r="B562" t="s">
        <v>868</v>
      </c>
      <c r="C562" t="s">
        <v>807</v>
      </c>
      <c r="D562" t="s">
        <v>808</v>
      </c>
      <c r="E562">
        <v>8</v>
      </c>
      <c r="F562">
        <v>1</v>
      </c>
      <c r="H562">
        <v>1</v>
      </c>
      <c r="K562">
        <v>61</v>
      </c>
    </row>
    <row r="563" spans="1:11">
      <c r="A563">
        <v>753699</v>
      </c>
      <c r="B563" t="s">
        <v>869</v>
      </c>
      <c r="C563" t="s">
        <v>807</v>
      </c>
      <c r="D563" t="s">
        <v>808</v>
      </c>
      <c r="E563">
        <v>8</v>
      </c>
      <c r="F563">
        <v>1</v>
      </c>
      <c r="H563">
        <v>1</v>
      </c>
      <c r="K563">
        <v>62</v>
      </c>
    </row>
    <row r="564" spans="1:11">
      <c r="A564">
        <v>753700</v>
      </c>
      <c r="B564" t="s">
        <v>870</v>
      </c>
      <c r="C564" t="s">
        <v>807</v>
      </c>
      <c r="D564" t="s">
        <v>808</v>
      </c>
      <c r="E564">
        <v>8</v>
      </c>
      <c r="F564">
        <v>1</v>
      </c>
      <c r="H564">
        <v>1</v>
      </c>
      <c r="K564">
        <v>63</v>
      </c>
    </row>
    <row r="565" spans="1:11">
      <c r="A565">
        <v>753701</v>
      </c>
      <c r="B565" t="s">
        <v>871</v>
      </c>
      <c r="C565" t="s">
        <v>807</v>
      </c>
      <c r="D565" t="s">
        <v>808</v>
      </c>
      <c r="E565">
        <v>8</v>
      </c>
      <c r="F565">
        <v>1</v>
      </c>
      <c r="H565">
        <v>1</v>
      </c>
      <c r="K565">
        <v>64</v>
      </c>
    </row>
    <row r="566" spans="1:11">
      <c r="A566">
        <v>753702</v>
      </c>
      <c r="B566" t="s">
        <v>872</v>
      </c>
      <c r="C566" t="s">
        <v>807</v>
      </c>
      <c r="D566" t="s">
        <v>808</v>
      </c>
      <c r="E566">
        <v>8</v>
      </c>
      <c r="F566">
        <v>1</v>
      </c>
      <c r="H566">
        <v>1</v>
      </c>
      <c r="K566">
        <v>65</v>
      </c>
    </row>
    <row r="567" spans="1:11">
      <c r="A567">
        <v>753703</v>
      </c>
      <c r="B567" t="s">
        <v>873</v>
      </c>
      <c r="C567" t="s">
        <v>807</v>
      </c>
      <c r="D567" t="s">
        <v>808</v>
      </c>
      <c r="E567">
        <v>8</v>
      </c>
      <c r="F567">
        <v>1</v>
      </c>
      <c r="H567">
        <v>1</v>
      </c>
      <c r="K567">
        <v>66</v>
      </c>
    </row>
    <row r="568" spans="1:11">
      <c r="A568">
        <v>753704</v>
      </c>
      <c r="B568" t="s">
        <v>874</v>
      </c>
      <c r="C568" t="s">
        <v>807</v>
      </c>
      <c r="D568" t="s">
        <v>808</v>
      </c>
      <c r="E568">
        <v>8</v>
      </c>
      <c r="F568">
        <v>1</v>
      </c>
      <c r="H568">
        <v>1</v>
      </c>
      <c r="K568">
        <v>67</v>
      </c>
    </row>
    <row r="569" spans="1:11">
      <c r="A569">
        <v>753705</v>
      </c>
      <c r="B569" t="s">
        <v>875</v>
      </c>
      <c r="C569" t="s">
        <v>807</v>
      </c>
      <c r="D569" t="s">
        <v>808</v>
      </c>
      <c r="E569">
        <v>8</v>
      </c>
      <c r="F569">
        <v>1</v>
      </c>
      <c r="H569">
        <v>1</v>
      </c>
      <c r="K569">
        <v>68</v>
      </c>
    </row>
    <row r="570" spans="1:11">
      <c r="A570">
        <v>753706</v>
      </c>
      <c r="B570" t="s">
        <v>876</v>
      </c>
      <c r="C570" t="s">
        <v>807</v>
      </c>
      <c r="D570" t="s">
        <v>808</v>
      </c>
      <c r="E570">
        <v>8</v>
      </c>
      <c r="F570">
        <v>1</v>
      </c>
      <c r="H570">
        <v>1</v>
      </c>
      <c r="K570">
        <v>69</v>
      </c>
    </row>
    <row r="571" spans="1:11">
      <c r="A571">
        <v>753707</v>
      </c>
      <c r="B571" t="s">
        <v>877</v>
      </c>
      <c r="C571" t="s">
        <v>807</v>
      </c>
      <c r="D571" t="s">
        <v>808</v>
      </c>
      <c r="E571">
        <v>8</v>
      </c>
      <c r="F571">
        <v>1</v>
      </c>
      <c r="H571">
        <v>1</v>
      </c>
      <c r="K571">
        <v>70</v>
      </c>
    </row>
    <row r="572" spans="1:11">
      <c r="A572">
        <v>753708</v>
      </c>
      <c r="B572" t="s">
        <v>878</v>
      </c>
      <c r="C572" t="s">
        <v>807</v>
      </c>
      <c r="D572" t="s">
        <v>808</v>
      </c>
      <c r="E572">
        <v>8</v>
      </c>
      <c r="F572">
        <v>1</v>
      </c>
      <c r="H572">
        <v>1</v>
      </c>
      <c r="K572">
        <v>71</v>
      </c>
    </row>
    <row r="573" spans="1:11">
      <c r="A573">
        <v>753561</v>
      </c>
      <c r="B573" t="s">
        <v>879</v>
      </c>
      <c r="C573" t="s">
        <v>880</v>
      </c>
      <c r="D573" t="s">
        <v>881</v>
      </c>
      <c r="E573">
        <v>9</v>
      </c>
      <c r="F573">
        <v>1</v>
      </c>
      <c r="H573">
        <v>1</v>
      </c>
      <c r="K573">
        <v>1</v>
      </c>
    </row>
    <row r="574" spans="1:11">
      <c r="A574">
        <v>753562</v>
      </c>
      <c r="B574" t="s">
        <v>882</v>
      </c>
      <c r="C574" t="s">
        <v>880</v>
      </c>
      <c r="D574" t="s">
        <v>881</v>
      </c>
      <c r="E574">
        <v>9</v>
      </c>
      <c r="F574">
        <v>1</v>
      </c>
      <c r="H574">
        <v>1</v>
      </c>
      <c r="K574">
        <v>2</v>
      </c>
    </row>
    <row r="575" spans="1:11">
      <c r="A575">
        <v>753563</v>
      </c>
      <c r="B575" t="s">
        <v>883</v>
      </c>
      <c r="C575" t="s">
        <v>880</v>
      </c>
      <c r="D575" t="s">
        <v>881</v>
      </c>
      <c r="E575">
        <v>9</v>
      </c>
      <c r="F575">
        <v>1</v>
      </c>
      <c r="H575">
        <v>1</v>
      </c>
      <c r="K575">
        <v>3</v>
      </c>
    </row>
    <row r="576" spans="1:11">
      <c r="A576">
        <v>753564</v>
      </c>
      <c r="B576" t="s">
        <v>884</v>
      </c>
      <c r="C576" t="s">
        <v>880</v>
      </c>
      <c r="D576" t="s">
        <v>881</v>
      </c>
      <c r="E576">
        <v>9</v>
      </c>
      <c r="F576">
        <v>1</v>
      </c>
      <c r="H576">
        <v>1</v>
      </c>
      <c r="K576">
        <v>4</v>
      </c>
    </row>
    <row r="577" spans="1:11">
      <c r="A577">
        <v>753565</v>
      </c>
      <c r="B577" t="s">
        <v>885</v>
      </c>
      <c r="C577" t="s">
        <v>880</v>
      </c>
      <c r="D577" t="s">
        <v>881</v>
      </c>
      <c r="E577">
        <v>9</v>
      </c>
      <c r="F577">
        <v>1</v>
      </c>
      <c r="H577">
        <v>1</v>
      </c>
      <c r="K577">
        <v>5</v>
      </c>
    </row>
    <row r="578" spans="1:11">
      <c r="A578">
        <v>753566</v>
      </c>
      <c r="B578" t="s">
        <v>886</v>
      </c>
      <c r="C578" t="s">
        <v>880</v>
      </c>
      <c r="D578" t="s">
        <v>881</v>
      </c>
      <c r="E578">
        <v>9</v>
      </c>
      <c r="F578">
        <v>1</v>
      </c>
      <c r="H578">
        <v>1</v>
      </c>
      <c r="K578">
        <v>6</v>
      </c>
    </row>
    <row r="579" spans="1:11">
      <c r="A579">
        <v>753567</v>
      </c>
      <c r="B579" t="s">
        <v>887</v>
      </c>
      <c r="C579" t="s">
        <v>880</v>
      </c>
      <c r="D579" t="s">
        <v>881</v>
      </c>
      <c r="E579">
        <v>9</v>
      </c>
      <c r="F579">
        <v>1</v>
      </c>
      <c r="H579">
        <v>1</v>
      </c>
      <c r="K579">
        <v>7</v>
      </c>
    </row>
    <row r="580" spans="1:11">
      <c r="A580">
        <v>753568</v>
      </c>
      <c r="B580" t="s">
        <v>888</v>
      </c>
      <c r="C580" t="s">
        <v>880</v>
      </c>
      <c r="D580" t="s">
        <v>881</v>
      </c>
      <c r="E580">
        <v>9</v>
      </c>
      <c r="F580">
        <v>1</v>
      </c>
      <c r="H580">
        <v>1</v>
      </c>
      <c r="K580">
        <v>8</v>
      </c>
    </row>
    <row r="581" spans="1:11">
      <c r="A581">
        <v>753569</v>
      </c>
      <c r="B581" t="s">
        <v>889</v>
      </c>
      <c r="C581" t="s">
        <v>880</v>
      </c>
      <c r="D581" t="s">
        <v>881</v>
      </c>
      <c r="E581">
        <v>9</v>
      </c>
      <c r="F581">
        <v>1</v>
      </c>
      <c r="H581">
        <v>1</v>
      </c>
      <c r="K581">
        <v>9</v>
      </c>
    </row>
    <row r="582" spans="1:11">
      <c r="A582">
        <v>753570</v>
      </c>
      <c r="B582" t="s">
        <v>890</v>
      </c>
      <c r="C582" t="s">
        <v>880</v>
      </c>
      <c r="D582" t="s">
        <v>881</v>
      </c>
      <c r="E582">
        <v>9</v>
      </c>
      <c r="F582">
        <v>1</v>
      </c>
      <c r="H582">
        <v>1</v>
      </c>
      <c r="K582">
        <v>10</v>
      </c>
    </row>
    <row r="583" spans="1:11">
      <c r="A583">
        <v>753571</v>
      </c>
      <c r="B583" t="s">
        <v>891</v>
      </c>
      <c r="C583" t="s">
        <v>880</v>
      </c>
      <c r="D583" t="s">
        <v>881</v>
      </c>
      <c r="E583">
        <v>9</v>
      </c>
      <c r="F583">
        <v>1</v>
      </c>
      <c r="H583">
        <v>1</v>
      </c>
      <c r="K583">
        <v>11</v>
      </c>
    </row>
    <row r="584" spans="1:11">
      <c r="A584">
        <v>753572</v>
      </c>
      <c r="B584" t="s">
        <v>892</v>
      </c>
      <c r="C584" t="s">
        <v>880</v>
      </c>
      <c r="D584" t="s">
        <v>881</v>
      </c>
      <c r="E584">
        <v>9</v>
      </c>
      <c r="F584">
        <v>1</v>
      </c>
      <c r="H584">
        <v>1</v>
      </c>
      <c r="K584">
        <v>12</v>
      </c>
    </row>
    <row r="585" spans="1:11">
      <c r="A585">
        <v>753573</v>
      </c>
      <c r="B585" t="s">
        <v>893</v>
      </c>
      <c r="C585" t="s">
        <v>880</v>
      </c>
      <c r="D585" t="s">
        <v>881</v>
      </c>
      <c r="E585">
        <v>9</v>
      </c>
      <c r="F585">
        <v>1</v>
      </c>
      <c r="H585">
        <v>1</v>
      </c>
      <c r="K585">
        <v>13</v>
      </c>
    </row>
    <row r="586" spans="1:11">
      <c r="A586">
        <v>753574</v>
      </c>
      <c r="B586" t="s">
        <v>894</v>
      </c>
      <c r="C586" t="s">
        <v>880</v>
      </c>
      <c r="D586" t="s">
        <v>881</v>
      </c>
      <c r="E586">
        <v>9</v>
      </c>
      <c r="F586">
        <v>1</v>
      </c>
      <c r="H586">
        <v>1</v>
      </c>
      <c r="K586">
        <v>14</v>
      </c>
    </row>
    <row r="587" spans="1:11">
      <c r="A587">
        <v>753575</v>
      </c>
      <c r="B587" t="s">
        <v>895</v>
      </c>
      <c r="C587" t="s">
        <v>880</v>
      </c>
      <c r="D587" t="s">
        <v>881</v>
      </c>
      <c r="E587">
        <v>9</v>
      </c>
      <c r="F587">
        <v>1</v>
      </c>
      <c r="H587">
        <v>1</v>
      </c>
      <c r="K587">
        <v>15</v>
      </c>
    </row>
    <row r="588" spans="1:11">
      <c r="A588">
        <v>753576</v>
      </c>
      <c r="B588" t="s">
        <v>896</v>
      </c>
      <c r="C588" t="s">
        <v>880</v>
      </c>
      <c r="D588" t="s">
        <v>881</v>
      </c>
      <c r="E588">
        <v>9</v>
      </c>
      <c r="F588">
        <v>1</v>
      </c>
      <c r="H588">
        <v>1</v>
      </c>
      <c r="K588">
        <v>16</v>
      </c>
    </row>
    <row r="589" spans="1:11">
      <c r="A589">
        <v>753577</v>
      </c>
      <c r="B589" t="s">
        <v>897</v>
      </c>
      <c r="C589" t="s">
        <v>880</v>
      </c>
      <c r="D589" t="s">
        <v>881</v>
      </c>
      <c r="E589">
        <v>9</v>
      </c>
      <c r="F589">
        <v>1</v>
      </c>
      <c r="H589">
        <v>1</v>
      </c>
      <c r="K589">
        <v>17</v>
      </c>
    </row>
    <row r="590" spans="1:11">
      <c r="A590">
        <v>753578</v>
      </c>
      <c r="B590" t="s">
        <v>898</v>
      </c>
      <c r="C590" t="s">
        <v>880</v>
      </c>
      <c r="D590" t="s">
        <v>881</v>
      </c>
      <c r="E590">
        <v>9</v>
      </c>
      <c r="F590">
        <v>1</v>
      </c>
      <c r="H590">
        <v>1</v>
      </c>
      <c r="K590">
        <v>18</v>
      </c>
    </row>
    <row r="591" spans="1:11">
      <c r="A591">
        <v>753579</v>
      </c>
      <c r="B591" t="s">
        <v>899</v>
      </c>
      <c r="C591" t="s">
        <v>880</v>
      </c>
      <c r="D591" t="s">
        <v>881</v>
      </c>
      <c r="E591">
        <v>9</v>
      </c>
      <c r="F591">
        <v>1</v>
      </c>
      <c r="H591">
        <v>1</v>
      </c>
      <c r="K591">
        <v>19</v>
      </c>
    </row>
    <row r="592" spans="1:11">
      <c r="A592">
        <v>753580</v>
      </c>
      <c r="B592" t="s">
        <v>900</v>
      </c>
      <c r="C592" t="s">
        <v>880</v>
      </c>
      <c r="D592" t="s">
        <v>881</v>
      </c>
      <c r="E592">
        <v>9</v>
      </c>
      <c r="F592">
        <v>1</v>
      </c>
      <c r="H592">
        <v>1</v>
      </c>
      <c r="K592">
        <v>20</v>
      </c>
    </row>
    <row r="593" spans="1:11">
      <c r="A593">
        <v>753581</v>
      </c>
      <c r="B593" t="s">
        <v>901</v>
      </c>
      <c r="C593" t="s">
        <v>880</v>
      </c>
      <c r="D593" t="s">
        <v>881</v>
      </c>
      <c r="E593">
        <v>9</v>
      </c>
      <c r="F593">
        <v>1</v>
      </c>
      <c r="H593">
        <v>1</v>
      </c>
      <c r="K593">
        <v>21</v>
      </c>
    </row>
    <row r="594" spans="1:11">
      <c r="A594">
        <v>753582</v>
      </c>
      <c r="B594" t="s">
        <v>902</v>
      </c>
      <c r="C594" t="s">
        <v>880</v>
      </c>
      <c r="D594" t="s">
        <v>881</v>
      </c>
      <c r="E594">
        <v>9</v>
      </c>
      <c r="F594">
        <v>1</v>
      </c>
      <c r="H594">
        <v>1</v>
      </c>
      <c r="K594">
        <v>22</v>
      </c>
    </row>
    <row r="595" spans="1:11">
      <c r="A595">
        <v>753583</v>
      </c>
      <c r="B595" t="s">
        <v>903</v>
      </c>
      <c r="C595" t="s">
        <v>880</v>
      </c>
      <c r="D595" t="s">
        <v>881</v>
      </c>
      <c r="E595">
        <v>9</v>
      </c>
      <c r="F595">
        <v>1</v>
      </c>
      <c r="H595">
        <v>1</v>
      </c>
      <c r="K595">
        <v>23</v>
      </c>
    </row>
    <row r="596" spans="1:11">
      <c r="A596">
        <v>753584</v>
      </c>
      <c r="B596" t="s">
        <v>904</v>
      </c>
      <c r="C596" t="s">
        <v>880</v>
      </c>
      <c r="D596" t="s">
        <v>881</v>
      </c>
      <c r="E596">
        <v>9</v>
      </c>
      <c r="F596">
        <v>1</v>
      </c>
      <c r="H596">
        <v>1</v>
      </c>
      <c r="K596">
        <v>24</v>
      </c>
    </row>
    <row r="597" spans="1:11">
      <c r="A597">
        <v>753585</v>
      </c>
      <c r="B597" t="s">
        <v>905</v>
      </c>
      <c r="C597" t="s">
        <v>880</v>
      </c>
      <c r="D597" t="s">
        <v>881</v>
      </c>
      <c r="E597">
        <v>9</v>
      </c>
      <c r="F597">
        <v>1</v>
      </c>
      <c r="H597">
        <v>1</v>
      </c>
      <c r="K597">
        <v>25</v>
      </c>
    </row>
    <row r="598" spans="1:11">
      <c r="A598">
        <v>753586</v>
      </c>
      <c r="B598" t="s">
        <v>906</v>
      </c>
      <c r="C598" t="s">
        <v>880</v>
      </c>
      <c r="D598" t="s">
        <v>881</v>
      </c>
      <c r="E598">
        <v>9</v>
      </c>
      <c r="F598">
        <v>1</v>
      </c>
      <c r="H598">
        <v>1</v>
      </c>
      <c r="K598">
        <v>26</v>
      </c>
    </row>
    <row r="599" spans="1:11">
      <c r="A599">
        <v>753587</v>
      </c>
      <c r="B599" t="s">
        <v>907</v>
      </c>
      <c r="C599" t="s">
        <v>880</v>
      </c>
      <c r="D599" t="s">
        <v>881</v>
      </c>
      <c r="E599">
        <v>9</v>
      </c>
      <c r="F599">
        <v>1</v>
      </c>
      <c r="H599">
        <v>1</v>
      </c>
      <c r="K599">
        <v>27</v>
      </c>
    </row>
    <row r="600" spans="1:11">
      <c r="A600">
        <v>753588</v>
      </c>
      <c r="B600" t="s">
        <v>908</v>
      </c>
      <c r="C600" t="s">
        <v>880</v>
      </c>
      <c r="D600" t="s">
        <v>881</v>
      </c>
      <c r="E600">
        <v>9</v>
      </c>
      <c r="F600">
        <v>1</v>
      </c>
      <c r="H600">
        <v>1</v>
      </c>
      <c r="K600">
        <v>28</v>
      </c>
    </row>
    <row r="601" spans="1:11">
      <c r="A601">
        <v>753589</v>
      </c>
      <c r="B601" t="s">
        <v>909</v>
      </c>
      <c r="C601" t="s">
        <v>880</v>
      </c>
      <c r="D601" t="s">
        <v>881</v>
      </c>
      <c r="E601">
        <v>9</v>
      </c>
      <c r="F601">
        <v>1</v>
      </c>
      <c r="H601">
        <v>1</v>
      </c>
      <c r="K601">
        <v>29</v>
      </c>
    </row>
    <row r="602" spans="1:11">
      <c r="A602">
        <v>753590</v>
      </c>
      <c r="B602" t="s">
        <v>910</v>
      </c>
      <c r="C602" t="s">
        <v>880</v>
      </c>
      <c r="D602" t="s">
        <v>881</v>
      </c>
      <c r="E602">
        <v>9</v>
      </c>
      <c r="F602">
        <v>1</v>
      </c>
      <c r="H602">
        <v>1</v>
      </c>
      <c r="K602">
        <v>30</v>
      </c>
    </row>
    <row r="603" spans="1:11">
      <c r="A603">
        <v>753591</v>
      </c>
      <c r="B603" t="s">
        <v>911</v>
      </c>
      <c r="C603" t="s">
        <v>880</v>
      </c>
      <c r="D603" t="s">
        <v>881</v>
      </c>
      <c r="E603">
        <v>9</v>
      </c>
      <c r="F603">
        <v>1</v>
      </c>
      <c r="H603">
        <v>1</v>
      </c>
      <c r="K603">
        <v>31</v>
      </c>
    </row>
    <row r="604" spans="1:11">
      <c r="A604">
        <v>753592</v>
      </c>
      <c r="B604" t="s">
        <v>912</v>
      </c>
      <c r="C604" t="s">
        <v>880</v>
      </c>
      <c r="D604" t="s">
        <v>881</v>
      </c>
      <c r="E604">
        <v>9</v>
      </c>
      <c r="F604">
        <v>1</v>
      </c>
      <c r="H604">
        <v>1</v>
      </c>
      <c r="K604">
        <v>32</v>
      </c>
    </row>
    <row r="605" spans="1:11">
      <c r="A605">
        <v>753593</v>
      </c>
      <c r="B605" t="s">
        <v>913</v>
      </c>
      <c r="C605" t="s">
        <v>880</v>
      </c>
      <c r="D605" t="s">
        <v>881</v>
      </c>
      <c r="E605">
        <v>9</v>
      </c>
      <c r="F605">
        <v>1</v>
      </c>
      <c r="H605">
        <v>1</v>
      </c>
      <c r="K605">
        <v>33</v>
      </c>
    </row>
    <row r="606" spans="1:11">
      <c r="A606">
        <v>753594</v>
      </c>
      <c r="B606" t="s">
        <v>914</v>
      </c>
      <c r="C606" t="s">
        <v>880</v>
      </c>
      <c r="D606" t="s">
        <v>881</v>
      </c>
      <c r="E606">
        <v>9</v>
      </c>
      <c r="F606">
        <v>1</v>
      </c>
      <c r="H606">
        <v>1</v>
      </c>
      <c r="K606">
        <v>34</v>
      </c>
    </row>
    <row r="607" spans="1:11">
      <c r="A607">
        <v>753595</v>
      </c>
      <c r="B607" t="s">
        <v>915</v>
      </c>
      <c r="C607" t="s">
        <v>880</v>
      </c>
      <c r="D607" t="s">
        <v>881</v>
      </c>
      <c r="E607">
        <v>9</v>
      </c>
      <c r="F607">
        <v>1</v>
      </c>
      <c r="H607">
        <v>1</v>
      </c>
      <c r="K607">
        <v>35</v>
      </c>
    </row>
    <row r="608" spans="1:11">
      <c r="A608">
        <v>753596</v>
      </c>
      <c r="B608" t="s">
        <v>916</v>
      </c>
      <c r="C608" t="s">
        <v>880</v>
      </c>
      <c r="D608" t="s">
        <v>881</v>
      </c>
      <c r="E608">
        <v>9</v>
      </c>
      <c r="F608">
        <v>1</v>
      </c>
      <c r="H608">
        <v>1</v>
      </c>
      <c r="K608">
        <v>36</v>
      </c>
    </row>
    <row r="609" spans="1:11">
      <c r="A609">
        <v>753597</v>
      </c>
      <c r="B609" t="s">
        <v>917</v>
      </c>
      <c r="C609" t="s">
        <v>880</v>
      </c>
      <c r="D609" t="s">
        <v>881</v>
      </c>
      <c r="E609">
        <v>9</v>
      </c>
      <c r="F609">
        <v>1</v>
      </c>
      <c r="H609">
        <v>1</v>
      </c>
      <c r="K609">
        <v>37</v>
      </c>
    </row>
    <row r="610" spans="1:11">
      <c r="A610">
        <v>753598</v>
      </c>
      <c r="B610" t="s">
        <v>918</v>
      </c>
      <c r="C610" t="s">
        <v>880</v>
      </c>
      <c r="D610" t="s">
        <v>881</v>
      </c>
      <c r="E610">
        <v>9</v>
      </c>
      <c r="F610">
        <v>1</v>
      </c>
      <c r="H610">
        <v>1</v>
      </c>
      <c r="K610">
        <v>38</v>
      </c>
    </row>
    <row r="611" spans="1:11">
      <c r="A611">
        <v>753599</v>
      </c>
      <c r="B611" t="s">
        <v>919</v>
      </c>
      <c r="C611" t="s">
        <v>880</v>
      </c>
      <c r="D611" t="s">
        <v>881</v>
      </c>
      <c r="E611">
        <v>9</v>
      </c>
      <c r="F611">
        <v>1</v>
      </c>
      <c r="H611">
        <v>1</v>
      </c>
      <c r="K611">
        <v>39</v>
      </c>
    </row>
    <row r="612" spans="1:11">
      <c r="A612">
        <v>753600</v>
      </c>
      <c r="B612" t="s">
        <v>920</v>
      </c>
      <c r="C612" t="s">
        <v>880</v>
      </c>
      <c r="D612" t="s">
        <v>881</v>
      </c>
      <c r="E612">
        <v>9</v>
      </c>
      <c r="F612">
        <v>1</v>
      </c>
      <c r="H612">
        <v>1</v>
      </c>
      <c r="K612">
        <v>40</v>
      </c>
    </row>
    <row r="613" spans="1:11">
      <c r="A613">
        <v>753601</v>
      </c>
      <c r="B613" t="s">
        <v>921</v>
      </c>
      <c r="C613" t="s">
        <v>880</v>
      </c>
      <c r="D613" t="s">
        <v>881</v>
      </c>
      <c r="E613">
        <v>9</v>
      </c>
      <c r="F613">
        <v>1</v>
      </c>
      <c r="H613">
        <v>1</v>
      </c>
      <c r="K613">
        <v>41</v>
      </c>
    </row>
    <row r="614" spans="1:11">
      <c r="A614">
        <v>753602</v>
      </c>
      <c r="B614" t="s">
        <v>922</v>
      </c>
      <c r="C614" t="s">
        <v>880</v>
      </c>
      <c r="D614" t="s">
        <v>881</v>
      </c>
      <c r="E614">
        <v>9</v>
      </c>
      <c r="F614">
        <v>1</v>
      </c>
      <c r="H614">
        <v>1</v>
      </c>
      <c r="K614">
        <v>42</v>
      </c>
    </row>
    <row r="615" spans="1:11">
      <c r="A615">
        <v>753603</v>
      </c>
      <c r="B615" t="s">
        <v>923</v>
      </c>
      <c r="C615" t="s">
        <v>880</v>
      </c>
      <c r="D615" t="s">
        <v>881</v>
      </c>
      <c r="E615">
        <v>9</v>
      </c>
      <c r="F615">
        <v>1</v>
      </c>
      <c r="H615">
        <v>1</v>
      </c>
      <c r="K615">
        <v>43</v>
      </c>
    </row>
    <row r="616" spans="1:11">
      <c r="A616">
        <v>753604</v>
      </c>
      <c r="B616" t="s">
        <v>924</v>
      </c>
      <c r="C616" t="s">
        <v>880</v>
      </c>
      <c r="D616" t="s">
        <v>881</v>
      </c>
      <c r="E616">
        <v>9</v>
      </c>
      <c r="F616">
        <v>1</v>
      </c>
      <c r="H616">
        <v>1</v>
      </c>
      <c r="K616">
        <v>44</v>
      </c>
    </row>
    <row r="617" spans="1:11">
      <c r="A617">
        <v>753605</v>
      </c>
      <c r="B617" t="s">
        <v>925</v>
      </c>
      <c r="C617" t="s">
        <v>880</v>
      </c>
      <c r="D617" t="s">
        <v>881</v>
      </c>
      <c r="E617">
        <v>9</v>
      </c>
      <c r="F617">
        <v>1</v>
      </c>
      <c r="H617">
        <v>1</v>
      </c>
      <c r="K617">
        <v>45</v>
      </c>
    </row>
    <row r="618" spans="1:11">
      <c r="A618">
        <v>753606</v>
      </c>
      <c r="B618" t="s">
        <v>926</v>
      </c>
      <c r="C618" t="s">
        <v>880</v>
      </c>
      <c r="D618" t="s">
        <v>881</v>
      </c>
      <c r="E618">
        <v>9</v>
      </c>
      <c r="F618">
        <v>1</v>
      </c>
      <c r="H618">
        <v>1</v>
      </c>
      <c r="K618">
        <v>46</v>
      </c>
    </row>
    <row r="619" spans="1:11">
      <c r="A619">
        <v>753607</v>
      </c>
      <c r="B619" t="s">
        <v>927</v>
      </c>
      <c r="C619" t="s">
        <v>880</v>
      </c>
      <c r="D619" t="s">
        <v>881</v>
      </c>
      <c r="E619">
        <v>9</v>
      </c>
      <c r="F619">
        <v>1</v>
      </c>
      <c r="H619">
        <v>1</v>
      </c>
      <c r="K619">
        <v>47</v>
      </c>
    </row>
    <row r="620" spans="1:11">
      <c r="A620">
        <v>753608</v>
      </c>
      <c r="B620" t="s">
        <v>928</v>
      </c>
      <c r="C620" t="s">
        <v>880</v>
      </c>
      <c r="D620" t="s">
        <v>881</v>
      </c>
      <c r="E620">
        <v>9</v>
      </c>
      <c r="F620">
        <v>1</v>
      </c>
      <c r="H620">
        <v>1</v>
      </c>
      <c r="K620">
        <v>48</v>
      </c>
    </row>
    <row r="621" spans="1:11">
      <c r="A621">
        <v>753609</v>
      </c>
      <c r="B621" t="s">
        <v>929</v>
      </c>
      <c r="C621" t="s">
        <v>880</v>
      </c>
      <c r="D621" t="s">
        <v>881</v>
      </c>
      <c r="E621">
        <v>9</v>
      </c>
      <c r="F621">
        <v>1</v>
      </c>
      <c r="H621">
        <v>1</v>
      </c>
      <c r="K621">
        <v>49</v>
      </c>
    </row>
    <row r="622" spans="1:11">
      <c r="A622">
        <v>753610</v>
      </c>
      <c r="B622" t="s">
        <v>930</v>
      </c>
      <c r="C622" t="s">
        <v>880</v>
      </c>
      <c r="D622" t="s">
        <v>881</v>
      </c>
      <c r="E622">
        <v>9</v>
      </c>
      <c r="F622">
        <v>1</v>
      </c>
      <c r="H622">
        <v>1</v>
      </c>
      <c r="K622">
        <v>50</v>
      </c>
    </row>
    <row r="623" spans="1:11">
      <c r="A623">
        <v>753611</v>
      </c>
      <c r="B623" t="s">
        <v>931</v>
      </c>
      <c r="C623" t="s">
        <v>880</v>
      </c>
      <c r="D623" t="s">
        <v>881</v>
      </c>
      <c r="E623">
        <v>9</v>
      </c>
      <c r="F623">
        <v>1</v>
      </c>
      <c r="H623">
        <v>1</v>
      </c>
      <c r="K623">
        <v>51</v>
      </c>
    </row>
    <row r="624" spans="1:11">
      <c r="A624">
        <v>753612</v>
      </c>
      <c r="B624" t="s">
        <v>932</v>
      </c>
      <c r="C624" t="s">
        <v>880</v>
      </c>
      <c r="D624" t="s">
        <v>881</v>
      </c>
      <c r="E624">
        <v>9</v>
      </c>
      <c r="F624">
        <v>1</v>
      </c>
      <c r="H624">
        <v>1</v>
      </c>
      <c r="K624">
        <v>52</v>
      </c>
    </row>
    <row r="625" spans="1:11">
      <c r="A625">
        <v>753613</v>
      </c>
      <c r="B625" t="s">
        <v>933</v>
      </c>
      <c r="C625" t="s">
        <v>880</v>
      </c>
      <c r="D625" t="s">
        <v>881</v>
      </c>
      <c r="E625">
        <v>9</v>
      </c>
      <c r="F625">
        <v>1</v>
      </c>
      <c r="H625">
        <v>1</v>
      </c>
      <c r="K625">
        <v>53</v>
      </c>
    </row>
    <row r="626" spans="1:11">
      <c r="A626">
        <v>753614</v>
      </c>
      <c r="B626" t="s">
        <v>934</v>
      </c>
      <c r="C626" t="s">
        <v>880</v>
      </c>
      <c r="D626" t="s">
        <v>881</v>
      </c>
      <c r="E626">
        <v>9</v>
      </c>
      <c r="F626">
        <v>1</v>
      </c>
      <c r="H626">
        <v>1</v>
      </c>
      <c r="K626">
        <v>54</v>
      </c>
    </row>
    <row r="627" spans="1:11">
      <c r="A627">
        <v>753615</v>
      </c>
      <c r="B627" t="s">
        <v>935</v>
      </c>
      <c r="C627" t="s">
        <v>880</v>
      </c>
      <c r="D627" t="s">
        <v>881</v>
      </c>
      <c r="E627">
        <v>9</v>
      </c>
      <c r="F627">
        <v>1</v>
      </c>
      <c r="H627">
        <v>1</v>
      </c>
      <c r="K627">
        <v>55</v>
      </c>
    </row>
    <row r="628" spans="1:11">
      <c r="A628">
        <v>753616</v>
      </c>
      <c r="B628" t="s">
        <v>936</v>
      </c>
      <c r="C628" t="s">
        <v>880</v>
      </c>
      <c r="D628" t="s">
        <v>881</v>
      </c>
      <c r="E628">
        <v>9</v>
      </c>
      <c r="F628">
        <v>1</v>
      </c>
      <c r="H628">
        <v>1</v>
      </c>
      <c r="K628">
        <v>56</v>
      </c>
    </row>
    <row r="629" spans="1:11">
      <c r="A629">
        <v>753617</v>
      </c>
      <c r="B629" t="s">
        <v>937</v>
      </c>
      <c r="C629" t="s">
        <v>880</v>
      </c>
      <c r="D629" t="s">
        <v>881</v>
      </c>
      <c r="E629">
        <v>9</v>
      </c>
      <c r="F629">
        <v>1</v>
      </c>
      <c r="H629">
        <v>1</v>
      </c>
      <c r="K629">
        <v>57</v>
      </c>
    </row>
    <row r="630" spans="1:11">
      <c r="A630">
        <v>753618</v>
      </c>
      <c r="B630" t="s">
        <v>938</v>
      </c>
      <c r="C630" t="s">
        <v>880</v>
      </c>
      <c r="D630" t="s">
        <v>881</v>
      </c>
      <c r="E630">
        <v>9</v>
      </c>
      <c r="F630">
        <v>1</v>
      </c>
      <c r="H630">
        <v>1</v>
      </c>
      <c r="K630">
        <v>58</v>
      </c>
    </row>
    <row r="631" spans="1:11">
      <c r="A631">
        <v>753619</v>
      </c>
      <c r="B631" t="s">
        <v>939</v>
      </c>
      <c r="C631" t="s">
        <v>880</v>
      </c>
      <c r="D631" t="s">
        <v>881</v>
      </c>
      <c r="E631">
        <v>9</v>
      </c>
      <c r="F631">
        <v>1</v>
      </c>
      <c r="H631">
        <v>1</v>
      </c>
      <c r="K631">
        <v>59</v>
      </c>
    </row>
    <row r="632" spans="1:11">
      <c r="A632">
        <v>753620</v>
      </c>
      <c r="B632" t="s">
        <v>940</v>
      </c>
      <c r="C632" t="s">
        <v>880</v>
      </c>
      <c r="D632" t="s">
        <v>881</v>
      </c>
      <c r="E632">
        <v>9</v>
      </c>
      <c r="F632">
        <v>1</v>
      </c>
      <c r="H632">
        <v>1</v>
      </c>
      <c r="K632">
        <v>60</v>
      </c>
    </row>
    <row r="633" spans="1:11">
      <c r="A633">
        <v>753621</v>
      </c>
      <c r="B633" t="s">
        <v>941</v>
      </c>
      <c r="C633" t="s">
        <v>880</v>
      </c>
      <c r="D633" t="s">
        <v>881</v>
      </c>
      <c r="E633">
        <v>9</v>
      </c>
      <c r="F633">
        <v>1</v>
      </c>
      <c r="H633">
        <v>1</v>
      </c>
      <c r="K633">
        <v>61</v>
      </c>
    </row>
    <row r="634" spans="1:11">
      <c r="A634">
        <v>753622</v>
      </c>
      <c r="B634" t="s">
        <v>942</v>
      </c>
      <c r="C634" t="s">
        <v>880</v>
      </c>
      <c r="D634" t="s">
        <v>881</v>
      </c>
      <c r="E634">
        <v>9</v>
      </c>
      <c r="F634">
        <v>1</v>
      </c>
      <c r="H634">
        <v>1</v>
      </c>
      <c r="K634">
        <v>62</v>
      </c>
    </row>
    <row r="635" spans="1:11">
      <c r="A635">
        <v>753623</v>
      </c>
      <c r="B635" t="s">
        <v>943</v>
      </c>
      <c r="C635" t="s">
        <v>880</v>
      </c>
      <c r="D635" t="s">
        <v>881</v>
      </c>
      <c r="E635">
        <v>9</v>
      </c>
      <c r="F635">
        <v>1</v>
      </c>
      <c r="H635">
        <v>1</v>
      </c>
      <c r="K635">
        <v>63</v>
      </c>
    </row>
    <row r="636" spans="1:11">
      <c r="A636">
        <v>753624</v>
      </c>
      <c r="B636" t="s">
        <v>944</v>
      </c>
      <c r="C636" t="s">
        <v>880</v>
      </c>
      <c r="D636" t="s">
        <v>881</v>
      </c>
      <c r="E636">
        <v>9</v>
      </c>
      <c r="F636">
        <v>1</v>
      </c>
      <c r="H636">
        <v>1</v>
      </c>
      <c r="K636">
        <v>64</v>
      </c>
    </row>
    <row r="637" spans="1:11">
      <c r="A637">
        <v>753625</v>
      </c>
      <c r="B637" t="s">
        <v>945</v>
      </c>
      <c r="C637" t="s">
        <v>880</v>
      </c>
      <c r="D637" t="s">
        <v>881</v>
      </c>
      <c r="E637">
        <v>9</v>
      </c>
      <c r="F637">
        <v>1</v>
      </c>
      <c r="H637">
        <v>1</v>
      </c>
      <c r="K637">
        <v>65</v>
      </c>
    </row>
    <row r="638" spans="1:11">
      <c r="A638">
        <v>753626</v>
      </c>
      <c r="B638" t="s">
        <v>946</v>
      </c>
      <c r="C638" t="s">
        <v>880</v>
      </c>
      <c r="D638" t="s">
        <v>881</v>
      </c>
      <c r="E638">
        <v>9</v>
      </c>
      <c r="F638">
        <v>1</v>
      </c>
      <c r="H638">
        <v>1</v>
      </c>
      <c r="K638">
        <v>66</v>
      </c>
    </row>
    <row r="639" spans="1:11">
      <c r="A639">
        <v>753627</v>
      </c>
      <c r="B639" t="s">
        <v>947</v>
      </c>
      <c r="C639" t="s">
        <v>880</v>
      </c>
      <c r="D639" t="s">
        <v>881</v>
      </c>
      <c r="E639">
        <v>9</v>
      </c>
      <c r="F639">
        <v>1</v>
      </c>
      <c r="H639">
        <v>1</v>
      </c>
      <c r="K639">
        <v>67</v>
      </c>
    </row>
    <row r="640" spans="1:11">
      <c r="A640">
        <v>753628</v>
      </c>
      <c r="B640" t="s">
        <v>948</v>
      </c>
      <c r="C640" t="s">
        <v>880</v>
      </c>
      <c r="D640" t="s">
        <v>881</v>
      </c>
      <c r="E640">
        <v>9</v>
      </c>
      <c r="F640">
        <v>1</v>
      </c>
      <c r="H640">
        <v>1</v>
      </c>
      <c r="K640">
        <v>68</v>
      </c>
    </row>
    <row r="641" spans="1:11">
      <c r="A641">
        <v>753629</v>
      </c>
      <c r="B641" t="s">
        <v>949</v>
      </c>
      <c r="C641" t="s">
        <v>880</v>
      </c>
      <c r="D641" t="s">
        <v>881</v>
      </c>
      <c r="E641">
        <v>9</v>
      </c>
      <c r="F641">
        <v>1</v>
      </c>
      <c r="H641">
        <v>1</v>
      </c>
      <c r="K641">
        <v>69</v>
      </c>
    </row>
    <row r="642" spans="1:11">
      <c r="A642">
        <v>753630</v>
      </c>
      <c r="B642" t="s">
        <v>950</v>
      </c>
      <c r="C642" t="s">
        <v>880</v>
      </c>
      <c r="D642" t="s">
        <v>881</v>
      </c>
      <c r="E642">
        <v>9</v>
      </c>
      <c r="F642">
        <v>1</v>
      </c>
      <c r="H642">
        <v>1</v>
      </c>
      <c r="K642">
        <v>70</v>
      </c>
    </row>
    <row r="643" spans="1:11">
      <c r="A643">
        <v>753631</v>
      </c>
      <c r="B643" t="s">
        <v>951</v>
      </c>
      <c r="C643" t="s">
        <v>880</v>
      </c>
      <c r="D643" t="s">
        <v>881</v>
      </c>
      <c r="E643">
        <v>9</v>
      </c>
      <c r="F643">
        <v>1</v>
      </c>
      <c r="H643">
        <v>1</v>
      </c>
      <c r="K643">
        <v>71</v>
      </c>
    </row>
    <row r="644" spans="1:11">
      <c r="A644">
        <v>753635</v>
      </c>
      <c r="B644" t="s">
        <v>952</v>
      </c>
      <c r="C644" t="s">
        <v>953</v>
      </c>
      <c r="D644" t="s">
        <v>954</v>
      </c>
      <c r="E644">
        <v>10</v>
      </c>
      <c r="F644">
        <v>1</v>
      </c>
      <c r="H644">
        <v>1</v>
      </c>
      <c r="K644">
        <v>1</v>
      </c>
    </row>
    <row r="645" spans="1:11">
      <c r="A645">
        <v>753636</v>
      </c>
      <c r="B645" t="s">
        <v>955</v>
      </c>
      <c r="C645" t="s">
        <v>953</v>
      </c>
      <c r="D645" t="s">
        <v>954</v>
      </c>
      <c r="E645">
        <v>10</v>
      </c>
      <c r="F645">
        <v>1</v>
      </c>
      <c r="H645">
        <v>1</v>
      </c>
      <c r="K645">
        <v>2</v>
      </c>
    </row>
    <row r="646" spans="1:11">
      <c r="A646">
        <v>753637</v>
      </c>
      <c r="B646" t="s">
        <v>956</v>
      </c>
      <c r="C646" t="s">
        <v>953</v>
      </c>
      <c r="D646" t="s">
        <v>954</v>
      </c>
      <c r="E646">
        <v>10</v>
      </c>
      <c r="F646">
        <v>1</v>
      </c>
      <c r="H646">
        <v>1</v>
      </c>
      <c r="K646">
        <v>3</v>
      </c>
    </row>
    <row r="647" spans="1:11">
      <c r="A647">
        <v>753855</v>
      </c>
      <c r="B647" t="s">
        <v>957</v>
      </c>
      <c r="C647" t="s">
        <v>958</v>
      </c>
      <c r="D647" t="s">
        <v>959</v>
      </c>
      <c r="E647">
        <v>11</v>
      </c>
      <c r="F647">
        <v>1</v>
      </c>
      <c r="H647">
        <v>1</v>
      </c>
      <c r="K647">
        <v>1</v>
      </c>
    </row>
    <row r="648" spans="1:11">
      <c r="A648">
        <v>753856</v>
      </c>
      <c r="B648" t="s">
        <v>960</v>
      </c>
      <c r="C648" t="s">
        <v>958</v>
      </c>
      <c r="D648" t="s">
        <v>959</v>
      </c>
      <c r="E648">
        <v>11</v>
      </c>
      <c r="F648">
        <v>1</v>
      </c>
      <c r="H648">
        <v>1</v>
      </c>
      <c r="K648">
        <v>2</v>
      </c>
    </row>
    <row r="649" spans="1:11">
      <c r="A649">
        <v>753857</v>
      </c>
      <c r="B649" t="s">
        <v>961</v>
      </c>
      <c r="C649" t="s">
        <v>958</v>
      </c>
      <c r="D649" t="s">
        <v>959</v>
      </c>
      <c r="E649">
        <v>11</v>
      </c>
      <c r="F649">
        <v>1</v>
      </c>
      <c r="H649">
        <v>1</v>
      </c>
      <c r="K649">
        <v>3</v>
      </c>
    </row>
    <row r="650" spans="1:11">
      <c r="A650">
        <v>754009</v>
      </c>
      <c r="B650" t="s">
        <v>962</v>
      </c>
      <c r="C650" t="s">
        <v>963</v>
      </c>
      <c r="D650" t="s">
        <v>964</v>
      </c>
      <c r="E650">
        <v>12</v>
      </c>
      <c r="F650">
        <v>1</v>
      </c>
      <c r="H650">
        <v>1</v>
      </c>
      <c r="K650">
        <v>1</v>
      </c>
    </row>
    <row r="651" spans="1:11">
      <c r="A651">
        <v>754010</v>
      </c>
      <c r="B651" t="s">
        <v>965</v>
      </c>
      <c r="C651" t="s">
        <v>963</v>
      </c>
      <c r="D651" t="s">
        <v>964</v>
      </c>
      <c r="E651">
        <v>12</v>
      </c>
      <c r="F651">
        <v>1</v>
      </c>
      <c r="H651">
        <v>1</v>
      </c>
      <c r="K651">
        <v>2</v>
      </c>
    </row>
    <row r="652" spans="1:11">
      <c r="A652">
        <v>754011</v>
      </c>
      <c r="B652" t="s">
        <v>966</v>
      </c>
      <c r="C652" t="s">
        <v>963</v>
      </c>
      <c r="D652" t="s">
        <v>964</v>
      </c>
      <c r="E652">
        <v>12</v>
      </c>
      <c r="F652">
        <v>1</v>
      </c>
      <c r="H652">
        <v>1</v>
      </c>
      <c r="K652">
        <v>3</v>
      </c>
    </row>
    <row r="653" spans="1:11">
      <c r="A653">
        <v>754006</v>
      </c>
      <c r="B653" t="s">
        <v>967</v>
      </c>
      <c r="C653" t="s">
        <v>968</v>
      </c>
      <c r="D653" t="s">
        <v>969</v>
      </c>
      <c r="E653">
        <v>13</v>
      </c>
      <c r="F653">
        <v>1</v>
      </c>
      <c r="H653">
        <v>1</v>
      </c>
      <c r="K653">
        <v>1</v>
      </c>
    </row>
    <row r="654" spans="1:11">
      <c r="A654">
        <v>754007</v>
      </c>
      <c r="B654" t="s">
        <v>970</v>
      </c>
      <c r="C654" t="s">
        <v>968</v>
      </c>
      <c r="D654" t="s">
        <v>969</v>
      </c>
      <c r="E654">
        <v>13</v>
      </c>
      <c r="F654">
        <v>1</v>
      </c>
      <c r="H654">
        <v>1</v>
      </c>
      <c r="K654">
        <v>2</v>
      </c>
    </row>
    <row r="655" spans="1:11">
      <c r="A655">
        <v>754008</v>
      </c>
      <c r="B655" t="s">
        <v>971</v>
      </c>
      <c r="C655" t="s">
        <v>968</v>
      </c>
      <c r="D655" t="s">
        <v>969</v>
      </c>
      <c r="E655">
        <v>13</v>
      </c>
      <c r="F655">
        <v>1</v>
      </c>
      <c r="H655">
        <v>1</v>
      </c>
      <c r="K655">
        <v>3</v>
      </c>
    </row>
    <row r="656" spans="1:11">
      <c r="A656">
        <v>754003</v>
      </c>
      <c r="B656" t="s">
        <v>972</v>
      </c>
      <c r="C656" t="s">
        <v>973</v>
      </c>
      <c r="D656" t="s">
        <v>974</v>
      </c>
      <c r="E656">
        <v>14</v>
      </c>
      <c r="F656">
        <v>1</v>
      </c>
      <c r="H656">
        <v>1</v>
      </c>
      <c r="K656">
        <v>1</v>
      </c>
    </row>
    <row r="657" spans="1:11">
      <c r="A657">
        <v>754004</v>
      </c>
      <c r="B657" t="s">
        <v>975</v>
      </c>
      <c r="C657" t="s">
        <v>973</v>
      </c>
      <c r="D657" t="s">
        <v>974</v>
      </c>
      <c r="E657">
        <v>14</v>
      </c>
      <c r="F657">
        <v>1</v>
      </c>
      <c r="H657">
        <v>1</v>
      </c>
      <c r="K657">
        <v>2</v>
      </c>
    </row>
    <row r="658" spans="1:11">
      <c r="A658">
        <v>754005</v>
      </c>
      <c r="B658" t="s">
        <v>976</v>
      </c>
      <c r="C658" t="s">
        <v>973</v>
      </c>
      <c r="D658" t="s">
        <v>974</v>
      </c>
      <c r="E658">
        <v>14</v>
      </c>
      <c r="F658">
        <v>1</v>
      </c>
      <c r="H658">
        <v>1</v>
      </c>
      <c r="K658">
        <v>3</v>
      </c>
    </row>
    <row r="659" spans="1:11">
      <c r="A659">
        <v>753858</v>
      </c>
      <c r="B659" t="s">
        <v>977</v>
      </c>
      <c r="C659" t="s">
        <v>978</v>
      </c>
      <c r="D659" t="s">
        <v>979</v>
      </c>
      <c r="E659">
        <v>15</v>
      </c>
      <c r="F659">
        <v>1</v>
      </c>
      <c r="H659">
        <v>1</v>
      </c>
      <c r="K659">
        <v>1</v>
      </c>
    </row>
    <row r="660" spans="1:11">
      <c r="A660">
        <v>753859</v>
      </c>
      <c r="B660" t="s">
        <v>980</v>
      </c>
      <c r="C660" t="s">
        <v>978</v>
      </c>
      <c r="D660" t="s">
        <v>979</v>
      </c>
      <c r="E660">
        <v>15</v>
      </c>
      <c r="F660">
        <v>1</v>
      </c>
      <c r="H660">
        <v>1</v>
      </c>
      <c r="K660">
        <v>2</v>
      </c>
    </row>
    <row r="661" spans="1:11">
      <c r="A661">
        <v>753860</v>
      </c>
      <c r="B661" t="s">
        <v>981</v>
      </c>
      <c r="C661" t="s">
        <v>978</v>
      </c>
      <c r="D661" t="s">
        <v>979</v>
      </c>
      <c r="E661">
        <v>15</v>
      </c>
      <c r="F661">
        <v>1</v>
      </c>
      <c r="H661">
        <v>1</v>
      </c>
      <c r="K661">
        <v>3</v>
      </c>
    </row>
    <row r="662" spans="1:11">
      <c r="A662">
        <v>753486</v>
      </c>
      <c r="B662" t="s">
        <v>982</v>
      </c>
      <c r="C662" t="s">
        <v>983</v>
      </c>
      <c r="D662" t="s">
        <v>984</v>
      </c>
      <c r="E662">
        <v>16</v>
      </c>
      <c r="F662">
        <v>1</v>
      </c>
      <c r="H662">
        <v>1</v>
      </c>
      <c r="K662">
        <v>1</v>
      </c>
    </row>
    <row r="663" spans="1:11">
      <c r="A663">
        <v>753487</v>
      </c>
      <c r="B663" t="s">
        <v>985</v>
      </c>
      <c r="C663" t="s">
        <v>983</v>
      </c>
      <c r="D663" t="s">
        <v>984</v>
      </c>
      <c r="E663">
        <v>16</v>
      </c>
      <c r="F663">
        <v>1</v>
      </c>
      <c r="H663">
        <v>1</v>
      </c>
      <c r="K663">
        <v>2</v>
      </c>
    </row>
    <row r="664" spans="1:11">
      <c r="A664">
        <v>753488</v>
      </c>
      <c r="B664" t="s">
        <v>986</v>
      </c>
      <c r="C664" t="s">
        <v>983</v>
      </c>
      <c r="D664" t="s">
        <v>984</v>
      </c>
      <c r="E664">
        <v>16</v>
      </c>
      <c r="F664">
        <v>1</v>
      </c>
      <c r="H664">
        <v>1</v>
      </c>
      <c r="K664">
        <v>3</v>
      </c>
    </row>
    <row r="665" spans="1:11">
      <c r="A665">
        <v>753852</v>
      </c>
      <c r="B665" t="s">
        <v>987</v>
      </c>
      <c r="C665" t="s">
        <v>988</v>
      </c>
      <c r="D665" t="s">
        <v>989</v>
      </c>
      <c r="E665">
        <v>17</v>
      </c>
      <c r="F665">
        <v>1</v>
      </c>
      <c r="H665">
        <v>1</v>
      </c>
      <c r="K665">
        <v>1</v>
      </c>
    </row>
    <row r="666" spans="1:11">
      <c r="A666">
        <v>753853</v>
      </c>
      <c r="B666" t="s">
        <v>990</v>
      </c>
      <c r="C666" t="s">
        <v>988</v>
      </c>
      <c r="D666" t="s">
        <v>989</v>
      </c>
      <c r="E666">
        <v>17</v>
      </c>
      <c r="F666">
        <v>1</v>
      </c>
      <c r="H666">
        <v>1</v>
      </c>
      <c r="K666">
        <v>2</v>
      </c>
    </row>
    <row r="667" spans="1:11">
      <c r="A667">
        <v>753854</v>
      </c>
      <c r="B667" t="s">
        <v>991</v>
      </c>
      <c r="C667" t="s">
        <v>988</v>
      </c>
      <c r="D667" t="s">
        <v>989</v>
      </c>
      <c r="E667">
        <v>17</v>
      </c>
      <c r="F667">
        <v>1</v>
      </c>
      <c r="H667">
        <v>1</v>
      </c>
      <c r="K667">
        <v>3</v>
      </c>
    </row>
    <row r="668" spans="1:11">
      <c r="A668">
        <v>753632</v>
      </c>
      <c r="B668" t="s">
        <v>992</v>
      </c>
      <c r="C668" t="s">
        <v>993</v>
      </c>
      <c r="D668" t="s">
        <v>994</v>
      </c>
      <c r="E668">
        <v>18</v>
      </c>
      <c r="F668">
        <v>1</v>
      </c>
      <c r="H668">
        <v>1</v>
      </c>
      <c r="K668">
        <v>1</v>
      </c>
    </row>
    <row r="669" spans="1:11">
      <c r="A669">
        <v>753633</v>
      </c>
      <c r="B669" t="s">
        <v>995</v>
      </c>
      <c r="C669" t="s">
        <v>993</v>
      </c>
      <c r="D669" t="s">
        <v>994</v>
      </c>
      <c r="E669">
        <v>18</v>
      </c>
      <c r="F669">
        <v>1</v>
      </c>
      <c r="H669">
        <v>1</v>
      </c>
      <c r="K669">
        <v>2</v>
      </c>
    </row>
    <row r="670" spans="1:11">
      <c r="A670">
        <v>753634</v>
      </c>
      <c r="B670" t="s">
        <v>996</v>
      </c>
      <c r="C670" t="s">
        <v>993</v>
      </c>
      <c r="D670" t="s">
        <v>994</v>
      </c>
      <c r="E670">
        <v>18</v>
      </c>
      <c r="F670">
        <v>1</v>
      </c>
      <c r="H670">
        <v>1</v>
      </c>
      <c r="K670">
        <v>3</v>
      </c>
    </row>
    <row r="671" spans="1:11">
      <c r="A671">
        <v>754012</v>
      </c>
      <c r="B671" t="s">
        <v>997</v>
      </c>
      <c r="C671" t="s">
        <v>998</v>
      </c>
      <c r="D671" t="s">
        <v>999</v>
      </c>
      <c r="E671">
        <v>19</v>
      </c>
      <c r="F671">
        <v>1</v>
      </c>
      <c r="H671">
        <v>1</v>
      </c>
      <c r="K671">
        <v>1</v>
      </c>
    </row>
    <row r="672" spans="1:11">
      <c r="A672">
        <v>754013</v>
      </c>
      <c r="B672" t="s">
        <v>1000</v>
      </c>
      <c r="C672" t="s">
        <v>998</v>
      </c>
      <c r="D672" t="s">
        <v>999</v>
      </c>
      <c r="E672">
        <v>19</v>
      </c>
      <c r="F672">
        <v>1</v>
      </c>
      <c r="H672">
        <v>1</v>
      </c>
      <c r="K672">
        <v>2</v>
      </c>
    </row>
    <row r="673" spans="1:11">
      <c r="A673">
        <v>754014</v>
      </c>
      <c r="B673" t="s">
        <v>1001</v>
      </c>
      <c r="C673" t="s">
        <v>998</v>
      </c>
      <c r="D673" t="s">
        <v>999</v>
      </c>
      <c r="E673">
        <v>19</v>
      </c>
      <c r="F673">
        <v>1</v>
      </c>
      <c r="H673">
        <v>1</v>
      </c>
      <c r="K67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E94F-BAD1-42B9-8940-9EE12B49214D}">
  <dimension ref="A1:Z1000"/>
  <sheetViews>
    <sheetView workbookViewId="0">
      <selection sqref="A1:M1048576"/>
    </sheetView>
  </sheetViews>
  <sheetFormatPr defaultColWidth="12.88671875" defaultRowHeight="14.4"/>
  <cols>
    <col min="1" max="1" width="12.33203125" bestFit="1" customWidth="1"/>
    <col min="2" max="2" width="36.88671875" customWidth="1"/>
    <col min="3" max="3" width="14" bestFit="1" customWidth="1"/>
    <col min="4" max="4" width="11.33203125" bestFit="1" customWidth="1"/>
    <col min="5" max="5" width="17.88671875" bestFit="1" customWidth="1"/>
    <col min="6" max="6" width="6.5546875" bestFit="1" customWidth="1"/>
    <col min="7" max="7" width="11.6640625" bestFit="1" customWidth="1"/>
    <col min="8" max="8" width="4.44140625" bestFit="1" customWidth="1"/>
    <col min="9" max="9" width="8" bestFit="1" customWidth="1"/>
    <col min="10" max="10" width="9.77734375" bestFit="1" customWidth="1"/>
    <col min="11" max="11" width="8.5546875" bestFit="1" customWidth="1"/>
    <col min="12" max="12" width="9.77734375" bestFit="1" customWidth="1"/>
    <col min="13" max="13" width="10.5546875" bestFit="1" customWidth="1"/>
    <col min="14" max="14" width="9.5546875" bestFit="1" customWidth="1"/>
    <col min="15" max="15" width="12.5546875" customWidth="1"/>
  </cols>
  <sheetData>
    <row r="1" spans="1:26" ht="13.5" customHeight="1">
      <c r="A1" s="13" t="s">
        <v>4</v>
      </c>
      <c r="B1" s="14" t="s">
        <v>5</v>
      </c>
      <c r="C1" s="15" t="s">
        <v>0</v>
      </c>
      <c r="D1" s="16" t="s">
        <v>2</v>
      </c>
      <c r="E1" s="17" t="s">
        <v>6</v>
      </c>
      <c r="F1" s="16" t="s">
        <v>1</v>
      </c>
      <c r="G1" s="18" t="s">
        <v>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218</v>
      </c>
      <c r="O1" t="s">
        <v>218</v>
      </c>
      <c r="P1" t="s">
        <v>98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5" customHeight="1">
      <c r="A2" s="20" t="s">
        <v>15</v>
      </c>
      <c r="B2" s="21" t="s">
        <v>16</v>
      </c>
      <c r="C2" s="22">
        <f>IF(N2=O2,P2,"error")</f>
        <v>753820</v>
      </c>
      <c r="D2" s="23">
        <v>1</v>
      </c>
      <c r="E2" s="24"/>
      <c r="F2" s="21" t="s">
        <v>13</v>
      </c>
      <c r="G2" s="25" t="s">
        <v>14</v>
      </c>
      <c r="H2" s="6"/>
      <c r="I2" s="7"/>
      <c r="J2" s="7"/>
      <c r="K2" s="7"/>
      <c r="L2" s="7"/>
      <c r="M2" s="7"/>
      <c r="N2" t="str">
        <f>_xlfn.CONCAT(D2,"_",F2)</f>
        <v>1_C05</v>
      </c>
      <c r="O2" t="s">
        <v>219</v>
      </c>
      <c r="P2">
        <v>753820</v>
      </c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5" customHeight="1">
      <c r="A3" s="20" t="s">
        <v>15</v>
      </c>
      <c r="B3" s="21" t="s">
        <v>16</v>
      </c>
      <c r="C3" s="22">
        <f t="shared" ref="C3:C63" si="0">IF(N3=O3,P3,"error")</f>
        <v>753821</v>
      </c>
      <c r="D3" s="23">
        <v>1</v>
      </c>
      <c r="E3" s="24"/>
      <c r="F3" s="21" t="s">
        <v>17</v>
      </c>
      <c r="G3" s="25" t="s">
        <v>18</v>
      </c>
      <c r="H3" s="6"/>
      <c r="I3" s="7"/>
      <c r="J3" s="7"/>
      <c r="K3" s="7"/>
      <c r="L3" s="7"/>
      <c r="M3" s="7"/>
      <c r="N3" t="str">
        <f>_xlfn.CONCAT(D3,"_",F3)</f>
        <v>1_D05</v>
      </c>
      <c r="O3" t="s">
        <v>220</v>
      </c>
      <c r="P3">
        <v>753821</v>
      </c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5" customHeight="1">
      <c r="A4" s="20" t="s">
        <v>15</v>
      </c>
      <c r="B4" s="21" t="s">
        <v>16</v>
      </c>
      <c r="C4" s="22">
        <f t="shared" si="0"/>
        <v>753822</v>
      </c>
      <c r="D4" s="23">
        <v>1</v>
      </c>
      <c r="E4" s="24"/>
      <c r="F4" s="21" t="s">
        <v>19</v>
      </c>
      <c r="G4" s="25" t="s">
        <v>20</v>
      </c>
      <c r="H4" s="6"/>
      <c r="I4" s="7"/>
      <c r="J4" s="7"/>
      <c r="K4" s="7"/>
      <c r="L4" s="7"/>
      <c r="M4" s="7"/>
      <c r="N4" t="str">
        <f>_xlfn.CONCAT(D4,"_",F4)</f>
        <v>1_E05</v>
      </c>
      <c r="O4" t="s">
        <v>221</v>
      </c>
      <c r="P4">
        <v>753822</v>
      </c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5" customHeight="1">
      <c r="A5" s="20" t="s">
        <v>15</v>
      </c>
      <c r="B5" s="21" t="s">
        <v>16</v>
      </c>
      <c r="C5" s="22">
        <f t="shared" si="0"/>
        <v>753823</v>
      </c>
      <c r="D5" s="23">
        <v>1</v>
      </c>
      <c r="E5" s="24"/>
      <c r="F5" s="21" t="s">
        <v>21</v>
      </c>
      <c r="G5" s="25" t="s">
        <v>22</v>
      </c>
      <c r="H5" s="6"/>
      <c r="I5" s="7"/>
      <c r="J5" s="7"/>
      <c r="K5" s="7"/>
      <c r="L5" s="7"/>
      <c r="M5" s="7"/>
      <c r="N5" t="str">
        <f>_xlfn.CONCAT(D5,"_",F5)</f>
        <v>1_F05</v>
      </c>
      <c r="O5" t="s">
        <v>222</v>
      </c>
      <c r="P5">
        <v>753823</v>
      </c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" customHeight="1">
      <c r="A6" s="20" t="s">
        <v>15</v>
      </c>
      <c r="B6" s="21" t="s">
        <v>16</v>
      </c>
      <c r="C6" s="22">
        <f t="shared" si="0"/>
        <v>753824</v>
      </c>
      <c r="D6" s="23">
        <v>1</v>
      </c>
      <c r="E6" s="24"/>
      <c r="F6" s="21" t="s">
        <v>23</v>
      </c>
      <c r="G6" s="25" t="s">
        <v>24</v>
      </c>
      <c r="H6" s="8"/>
      <c r="I6" s="7"/>
      <c r="J6" s="7"/>
      <c r="K6" s="7"/>
      <c r="L6" s="7"/>
      <c r="M6" s="7"/>
      <c r="N6" t="str">
        <f>_xlfn.CONCAT(D6,"_",F6)</f>
        <v>1_D06</v>
      </c>
      <c r="O6" t="s">
        <v>223</v>
      </c>
      <c r="P6">
        <v>753824</v>
      </c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5" customHeight="1">
      <c r="A7" s="20" t="s">
        <v>15</v>
      </c>
      <c r="B7" s="21" t="s">
        <v>16</v>
      </c>
      <c r="C7" s="22">
        <f t="shared" si="0"/>
        <v>753836</v>
      </c>
      <c r="D7" s="23">
        <v>1</v>
      </c>
      <c r="E7" s="24"/>
      <c r="F7" s="21" t="s">
        <v>25</v>
      </c>
      <c r="G7" s="25" t="s">
        <v>26</v>
      </c>
      <c r="H7" s="6"/>
      <c r="I7" s="7"/>
      <c r="J7" s="7"/>
      <c r="K7" s="7"/>
      <c r="L7" s="7"/>
      <c r="M7" s="7"/>
      <c r="N7" t="str">
        <f>_xlfn.CONCAT(D7,"_",F7)</f>
        <v>1_E06</v>
      </c>
      <c r="O7" t="s">
        <v>224</v>
      </c>
      <c r="P7">
        <v>753836</v>
      </c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5" customHeight="1">
      <c r="A8" s="20" t="s">
        <v>15</v>
      </c>
      <c r="B8" s="21" t="s">
        <v>16</v>
      </c>
      <c r="C8" s="22">
        <f t="shared" si="0"/>
        <v>753837</v>
      </c>
      <c r="D8" s="23">
        <v>1</v>
      </c>
      <c r="E8" s="24"/>
      <c r="F8" s="21" t="s">
        <v>27</v>
      </c>
      <c r="G8" s="25" t="s">
        <v>28</v>
      </c>
      <c r="H8" s="6"/>
      <c r="I8" s="7"/>
      <c r="J8" s="7"/>
      <c r="K8" s="7"/>
      <c r="L8" s="7"/>
      <c r="M8" s="7"/>
      <c r="N8" t="str">
        <f>_xlfn.CONCAT(D8,"_",F8)</f>
        <v>1_F06</v>
      </c>
      <c r="O8" t="s">
        <v>225</v>
      </c>
      <c r="P8">
        <v>753837</v>
      </c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5" customHeight="1">
      <c r="A9" s="20" t="s">
        <v>15</v>
      </c>
      <c r="B9" s="21" t="s">
        <v>16</v>
      </c>
      <c r="C9" s="22">
        <f t="shared" si="0"/>
        <v>753838</v>
      </c>
      <c r="D9" s="23">
        <v>1</v>
      </c>
      <c r="E9" s="24"/>
      <c r="F9" s="21" t="s">
        <v>29</v>
      </c>
      <c r="G9" s="25" t="s">
        <v>30</v>
      </c>
      <c r="H9" s="6"/>
      <c r="I9" s="7"/>
      <c r="J9" s="7"/>
      <c r="K9" s="7"/>
      <c r="L9" s="7"/>
      <c r="M9" s="7"/>
      <c r="N9" t="str">
        <f>_xlfn.CONCAT(D9,"_",F9)</f>
        <v>1_F07</v>
      </c>
      <c r="O9" t="s">
        <v>226</v>
      </c>
      <c r="P9">
        <v>753838</v>
      </c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>
      <c r="A10" s="20" t="s">
        <v>15</v>
      </c>
      <c r="B10" s="21" t="s">
        <v>16</v>
      </c>
      <c r="C10" s="22">
        <f t="shared" si="0"/>
        <v>753839</v>
      </c>
      <c r="D10" s="23">
        <v>1</v>
      </c>
      <c r="E10" s="24"/>
      <c r="F10" s="21" t="s">
        <v>31</v>
      </c>
      <c r="G10" s="25" t="s">
        <v>32</v>
      </c>
      <c r="H10" s="6"/>
      <c r="I10" s="7"/>
      <c r="J10" s="7"/>
      <c r="K10" s="7"/>
      <c r="L10" s="7"/>
      <c r="M10" s="7"/>
      <c r="N10" t="str">
        <f>_xlfn.CONCAT(D10,"_",F10)</f>
        <v>1_G07</v>
      </c>
      <c r="O10" t="s">
        <v>227</v>
      </c>
      <c r="P10">
        <v>753839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5" customHeight="1">
      <c r="A11" s="20" t="s">
        <v>15</v>
      </c>
      <c r="B11" s="21" t="s">
        <v>16</v>
      </c>
      <c r="C11" s="22">
        <f t="shared" si="0"/>
        <v>753840</v>
      </c>
      <c r="D11" s="23">
        <v>1</v>
      </c>
      <c r="E11" s="24"/>
      <c r="F11" s="21" t="s">
        <v>33</v>
      </c>
      <c r="G11" s="25" t="s">
        <v>34</v>
      </c>
      <c r="H11" s="6"/>
      <c r="I11" s="7"/>
      <c r="J11" s="7"/>
      <c r="K11" s="7"/>
      <c r="L11" s="7"/>
      <c r="M11" s="7"/>
      <c r="N11" t="str">
        <f>_xlfn.CONCAT(D11,"_",F11)</f>
        <v>1_H07</v>
      </c>
      <c r="O11" t="s">
        <v>228</v>
      </c>
      <c r="P11">
        <v>753840</v>
      </c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5" customHeight="1">
      <c r="A12" s="20" t="s">
        <v>15</v>
      </c>
      <c r="B12" s="21" t="s">
        <v>16</v>
      </c>
      <c r="C12" s="22">
        <f t="shared" si="0"/>
        <v>753510</v>
      </c>
      <c r="D12" s="23">
        <v>1</v>
      </c>
      <c r="E12" s="24"/>
      <c r="F12" s="21" t="s">
        <v>35</v>
      </c>
      <c r="G12" s="25" t="s">
        <v>36</v>
      </c>
      <c r="H12" s="6"/>
      <c r="I12" s="7"/>
      <c r="J12" s="7"/>
      <c r="K12" s="7"/>
      <c r="L12" s="7"/>
      <c r="M12" s="7"/>
      <c r="N12" t="str">
        <f>_xlfn.CONCAT(D12,"_",F12)</f>
        <v>1_A08</v>
      </c>
      <c r="O12" t="s">
        <v>229</v>
      </c>
      <c r="P12">
        <v>753510</v>
      </c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5" customHeight="1">
      <c r="A13" s="20" t="s">
        <v>15</v>
      </c>
      <c r="B13" s="21" t="s">
        <v>16</v>
      </c>
      <c r="C13" s="22">
        <f t="shared" si="0"/>
        <v>753511</v>
      </c>
      <c r="D13" s="23">
        <v>1</v>
      </c>
      <c r="E13" s="24"/>
      <c r="F13" s="21" t="s">
        <v>37</v>
      </c>
      <c r="G13" s="25" t="s">
        <v>38</v>
      </c>
      <c r="H13" s="6"/>
      <c r="I13" s="7"/>
      <c r="J13" s="7"/>
      <c r="K13" s="7"/>
      <c r="L13" s="7"/>
      <c r="M13" s="7"/>
      <c r="N13" t="str">
        <f>_xlfn.CONCAT(D13,"_",F13)</f>
        <v>1_B08</v>
      </c>
      <c r="O13" t="s">
        <v>230</v>
      </c>
      <c r="P13">
        <v>753511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5" customHeight="1">
      <c r="A14" s="20" t="s">
        <v>15</v>
      </c>
      <c r="B14" s="21" t="s">
        <v>16</v>
      </c>
      <c r="C14" s="22">
        <f t="shared" si="0"/>
        <v>753512</v>
      </c>
      <c r="D14" s="23">
        <v>1</v>
      </c>
      <c r="E14" s="24"/>
      <c r="F14" s="21" t="s">
        <v>39</v>
      </c>
      <c r="G14" s="25" t="s">
        <v>40</v>
      </c>
      <c r="H14" s="7"/>
      <c r="I14" s="7"/>
      <c r="J14" s="7"/>
      <c r="K14" s="7"/>
      <c r="L14" s="7"/>
      <c r="M14" s="7"/>
      <c r="N14" t="str">
        <f>_xlfn.CONCAT(D14,"_",F14)</f>
        <v>1_A09</v>
      </c>
      <c r="O14" t="s">
        <v>231</v>
      </c>
      <c r="P14">
        <v>753512</v>
      </c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5" customHeight="1">
      <c r="A15" s="20" t="s">
        <v>15</v>
      </c>
      <c r="B15" s="21" t="s">
        <v>16</v>
      </c>
      <c r="C15" s="22">
        <f t="shared" si="0"/>
        <v>753513</v>
      </c>
      <c r="D15" s="23">
        <v>1</v>
      </c>
      <c r="E15" s="24"/>
      <c r="F15" s="21" t="s">
        <v>41</v>
      </c>
      <c r="G15" s="25" t="s">
        <v>42</v>
      </c>
      <c r="H15" s="7"/>
      <c r="I15" s="7"/>
      <c r="J15" s="7"/>
      <c r="K15" s="7"/>
      <c r="L15" s="7"/>
      <c r="M15" s="7"/>
      <c r="N15" t="str">
        <f>_xlfn.CONCAT(D15,"_",F15)</f>
        <v>1_B09</v>
      </c>
      <c r="O15" t="s">
        <v>232</v>
      </c>
      <c r="P15">
        <v>753513</v>
      </c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5" customHeight="1">
      <c r="A16" s="20" t="s">
        <v>15</v>
      </c>
      <c r="B16" s="21" t="s">
        <v>16</v>
      </c>
      <c r="C16" s="22">
        <f t="shared" si="0"/>
        <v>753514</v>
      </c>
      <c r="D16" s="23">
        <v>2</v>
      </c>
      <c r="E16" s="24"/>
      <c r="F16" s="21" t="s">
        <v>43</v>
      </c>
      <c r="G16" s="25" t="s">
        <v>44</v>
      </c>
      <c r="H16" s="7"/>
      <c r="I16" s="7"/>
      <c r="J16" s="7"/>
      <c r="K16" s="7"/>
      <c r="L16" s="7"/>
      <c r="M16" s="7"/>
      <c r="N16" t="str">
        <f>_xlfn.CONCAT(D16,"_",F16)</f>
        <v>2_C07</v>
      </c>
      <c r="O16" t="s">
        <v>233</v>
      </c>
      <c r="P16">
        <v>753514</v>
      </c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5" customHeight="1">
      <c r="A17" s="20" t="s">
        <v>15</v>
      </c>
      <c r="B17" s="21" t="s">
        <v>16</v>
      </c>
      <c r="C17" s="22">
        <f t="shared" si="0"/>
        <v>753515</v>
      </c>
      <c r="D17" s="23">
        <v>2</v>
      </c>
      <c r="E17" s="24"/>
      <c r="F17" s="21" t="s">
        <v>45</v>
      </c>
      <c r="G17" s="25" t="s">
        <v>46</v>
      </c>
      <c r="H17" s="7"/>
      <c r="I17" s="7"/>
      <c r="J17" s="7"/>
      <c r="K17" s="7"/>
      <c r="L17" s="7"/>
      <c r="M17" s="7"/>
      <c r="N17" t="str">
        <f>_xlfn.CONCAT(D17,"_",F17)</f>
        <v>2_D07</v>
      </c>
      <c r="O17" t="s">
        <v>234</v>
      </c>
      <c r="P17">
        <v>753515</v>
      </c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5" customHeight="1">
      <c r="A18" s="20" t="s">
        <v>15</v>
      </c>
      <c r="B18" s="21" t="s">
        <v>16</v>
      </c>
      <c r="C18" s="22">
        <f t="shared" si="0"/>
        <v>753516</v>
      </c>
      <c r="D18" s="23">
        <v>2</v>
      </c>
      <c r="E18" s="24"/>
      <c r="F18" s="21" t="s">
        <v>47</v>
      </c>
      <c r="G18" s="25" t="s">
        <v>48</v>
      </c>
      <c r="H18" s="7"/>
      <c r="I18" s="7"/>
      <c r="J18" s="7"/>
      <c r="K18" s="7"/>
      <c r="L18" s="7"/>
      <c r="M18" s="7"/>
      <c r="N18" t="str">
        <f>_xlfn.CONCAT(D18,"_",F18)</f>
        <v>2_H12</v>
      </c>
      <c r="O18" t="s">
        <v>235</v>
      </c>
      <c r="P18">
        <v>753516</v>
      </c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5" customHeight="1">
      <c r="A19" s="21" t="s">
        <v>15</v>
      </c>
      <c r="B19" s="21" t="s">
        <v>16</v>
      </c>
      <c r="C19" s="22">
        <f t="shared" si="0"/>
        <v>753517</v>
      </c>
      <c r="D19" s="23">
        <v>4</v>
      </c>
      <c r="E19" s="24"/>
      <c r="F19" s="21" t="s">
        <v>49</v>
      </c>
      <c r="G19" s="25" t="s">
        <v>50</v>
      </c>
      <c r="H19" s="7"/>
      <c r="I19" s="7"/>
      <c r="J19" s="7"/>
      <c r="K19" s="7"/>
      <c r="L19" s="7"/>
      <c r="M19" s="7"/>
      <c r="N19" t="str">
        <f>_xlfn.CONCAT(D19,"_",F19)</f>
        <v>4_C11</v>
      </c>
      <c r="O19" t="s">
        <v>236</v>
      </c>
      <c r="P19">
        <v>753517</v>
      </c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5" customHeight="1">
      <c r="A20" s="21" t="s">
        <v>15</v>
      </c>
      <c r="B20" s="21" t="s">
        <v>16</v>
      </c>
      <c r="C20" s="22">
        <f t="shared" si="0"/>
        <v>753518</v>
      </c>
      <c r="D20" s="23">
        <v>4</v>
      </c>
      <c r="E20" s="24"/>
      <c r="F20" s="21" t="s">
        <v>51</v>
      </c>
      <c r="G20" s="25" t="s">
        <v>52</v>
      </c>
      <c r="H20" s="7"/>
      <c r="I20" s="7"/>
      <c r="J20" s="7"/>
      <c r="K20" s="7"/>
      <c r="L20" s="7"/>
      <c r="M20" s="7"/>
      <c r="N20" t="str">
        <f>_xlfn.CONCAT(D20,"_",F20)</f>
        <v>4_D11</v>
      </c>
      <c r="O20" t="s">
        <v>237</v>
      </c>
      <c r="P20">
        <v>753518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5" customHeight="1">
      <c r="A21" s="21" t="s">
        <v>15</v>
      </c>
      <c r="B21" s="21" t="s">
        <v>16</v>
      </c>
      <c r="C21" s="22">
        <f t="shared" si="0"/>
        <v>753519</v>
      </c>
      <c r="D21" s="23">
        <v>4</v>
      </c>
      <c r="E21" s="24"/>
      <c r="F21" s="21" t="s">
        <v>53</v>
      </c>
      <c r="G21" s="25" t="s">
        <v>54</v>
      </c>
      <c r="H21" s="7"/>
      <c r="I21" s="7"/>
      <c r="J21" s="7"/>
      <c r="K21" s="7"/>
      <c r="L21" s="7"/>
      <c r="M21" s="7"/>
      <c r="N21" t="str">
        <f>_xlfn.CONCAT(D21,"_",F21)</f>
        <v>4_F11</v>
      </c>
      <c r="O21" t="s">
        <v>238</v>
      </c>
      <c r="P21">
        <v>753519</v>
      </c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5" customHeight="1">
      <c r="A22" s="21" t="s">
        <v>15</v>
      </c>
      <c r="B22" s="21" t="s">
        <v>16</v>
      </c>
      <c r="C22" s="22">
        <f t="shared" si="0"/>
        <v>753520</v>
      </c>
      <c r="D22" s="23">
        <v>4</v>
      </c>
      <c r="E22" s="24"/>
      <c r="F22" s="21" t="s">
        <v>55</v>
      </c>
      <c r="G22" s="25" t="s">
        <v>56</v>
      </c>
      <c r="H22" s="7"/>
      <c r="I22" s="7"/>
      <c r="J22" s="7"/>
      <c r="K22" s="7"/>
      <c r="L22" s="7"/>
      <c r="M22" s="7"/>
      <c r="N22" t="str">
        <f>_xlfn.CONCAT(D22,"_",F22)</f>
        <v>4_G11</v>
      </c>
      <c r="O22" t="s">
        <v>239</v>
      </c>
      <c r="P22">
        <v>753520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5" customHeight="1">
      <c r="A23" s="21" t="s">
        <v>15</v>
      </c>
      <c r="B23" s="21" t="s">
        <v>16</v>
      </c>
      <c r="C23" s="22">
        <f t="shared" si="0"/>
        <v>753529</v>
      </c>
      <c r="D23" s="23">
        <v>4</v>
      </c>
      <c r="E23" s="24"/>
      <c r="F23" s="21" t="s">
        <v>57</v>
      </c>
      <c r="G23" s="25" t="s">
        <v>58</v>
      </c>
      <c r="H23" s="7"/>
      <c r="I23" s="7"/>
      <c r="J23" s="7"/>
      <c r="K23" s="7"/>
      <c r="L23" s="7"/>
      <c r="M23" s="7"/>
      <c r="N23" t="str">
        <f>_xlfn.CONCAT(D23,"_",F23)</f>
        <v>4_H11</v>
      </c>
      <c r="O23" t="s">
        <v>240</v>
      </c>
      <c r="P23">
        <v>753529</v>
      </c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5" customHeight="1">
      <c r="A24" s="21" t="s">
        <v>15</v>
      </c>
      <c r="B24" s="21" t="s">
        <v>16</v>
      </c>
      <c r="C24" s="22">
        <f t="shared" si="0"/>
        <v>753530</v>
      </c>
      <c r="D24" s="23">
        <v>4</v>
      </c>
      <c r="E24" s="24"/>
      <c r="F24" s="21" t="s">
        <v>59</v>
      </c>
      <c r="G24" s="25" t="s">
        <v>60</v>
      </c>
      <c r="H24" s="7"/>
      <c r="I24" s="7"/>
      <c r="J24" s="7"/>
      <c r="K24" s="7"/>
      <c r="L24" s="7"/>
      <c r="M24" s="7"/>
      <c r="N24" t="str">
        <f>_xlfn.CONCAT(D24,"_",F24)</f>
        <v>4_A12</v>
      </c>
      <c r="O24" t="s">
        <v>241</v>
      </c>
      <c r="P24">
        <v>753530</v>
      </c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5" customHeight="1">
      <c r="A25" s="21" t="s">
        <v>15</v>
      </c>
      <c r="B25" s="21" t="s">
        <v>16</v>
      </c>
      <c r="C25" s="22">
        <f t="shared" si="0"/>
        <v>753531</v>
      </c>
      <c r="D25" s="23">
        <v>4</v>
      </c>
      <c r="E25" s="24"/>
      <c r="F25" s="21" t="s">
        <v>61</v>
      </c>
      <c r="G25" s="25" t="s">
        <v>62</v>
      </c>
      <c r="H25" s="7"/>
      <c r="I25" s="7"/>
      <c r="J25" s="7"/>
      <c r="K25" s="7"/>
      <c r="L25" s="7"/>
      <c r="M25" s="7"/>
      <c r="N25" t="str">
        <f>_xlfn.CONCAT(D25,"_",F25)</f>
        <v>4_B12</v>
      </c>
      <c r="O25" t="s">
        <v>242</v>
      </c>
      <c r="P25">
        <v>753531</v>
      </c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5" customHeight="1">
      <c r="A26" s="21" t="s">
        <v>15</v>
      </c>
      <c r="B26" s="21" t="s">
        <v>16</v>
      </c>
      <c r="C26" s="22">
        <f t="shared" si="0"/>
        <v>753532</v>
      </c>
      <c r="D26" s="23">
        <v>4</v>
      </c>
      <c r="E26" s="24"/>
      <c r="F26" s="21" t="s">
        <v>63</v>
      </c>
      <c r="G26" s="25" t="s">
        <v>64</v>
      </c>
      <c r="H26" s="7"/>
      <c r="I26" s="7"/>
      <c r="J26" s="7"/>
      <c r="K26" s="7"/>
      <c r="L26" s="7"/>
      <c r="M26" s="7"/>
      <c r="N26" t="str">
        <f>_xlfn.CONCAT(D26,"_",F26)</f>
        <v>4_C12</v>
      </c>
      <c r="O26" t="s">
        <v>243</v>
      </c>
      <c r="P26">
        <v>753532</v>
      </c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5" customHeight="1">
      <c r="A27" s="21" t="s">
        <v>15</v>
      </c>
      <c r="B27" s="21" t="s">
        <v>16</v>
      </c>
      <c r="C27" s="22">
        <f t="shared" si="0"/>
        <v>753533</v>
      </c>
      <c r="D27" s="23">
        <v>4</v>
      </c>
      <c r="E27" s="24"/>
      <c r="F27" s="21" t="s">
        <v>65</v>
      </c>
      <c r="G27" s="25" t="s">
        <v>66</v>
      </c>
      <c r="H27" s="7"/>
      <c r="I27" s="7"/>
      <c r="J27" s="7"/>
      <c r="K27" s="7"/>
      <c r="L27" s="7"/>
      <c r="M27" s="7"/>
      <c r="N27" t="str">
        <f>_xlfn.CONCAT(D27,"_",F27)</f>
        <v>4_D12</v>
      </c>
      <c r="O27" t="s">
        <v>244</v>
      </c>
      <c r="P27">
        <v>753533</v>
      </c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5" customHeight="1">
      <c r="A28" s="21" t="s">
        <v>15</v>
      </c>
      <c r="B28" s="21" t="s">
        <v>16</v>
      </c>
      <c r="C28" s="22">
        <f t="shared" si="0"/>
        <v>754015</v>
      </c>
      <c r="D28" s="23">
        <v>4</v>
      </c>
      <c r="E28" s="24"/>
      <c r="F28" s="21" t="s">
        <v>67</v>
      </c>
      <c r="G28" s="25" t="s">
        <v>68</v>
      </c>
      <c r="H28" s="7"/>
      <c r="I28" s="7"/>
      <c r="J28" s="7"/>
      <c r="K28" s="7"/>
      <c r="L28" s="7"/>
      <c r="M28" s="7"/>
      <c r="N28" t="str">
        <f>_xlfn.CONCAT(D28,"_",F28)</f>
        <v>4_E12</v>
      </c>
      <c r="O28" t="s">
        <v>245</v>
      </c>
      <c r="P28">
        <v>754015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5" customHeight="1">
      <c r="A29" s="27" t="s">
        <v>15</v>
      </c>
      <c r="B29" s="21" t="s">
        <v>16</v>
      </c>
      <c r="C29" s="22">
        <f t="shared" si="0"/>
        <v>754016</v>
      </c>
      <c r="D29" s="23">
        <v>4</v>
      </c>
      <c r="E29" s="24"/>
      <c r="F29" s="21" t="s">
        <v>47</v>
      </c>
      <c r="G29" s="25" t="s">
        <v>48</v>
      </c>
      <c r="H29" s="7"/>
      <c r="I29" s="7"/>
      <c r="J29" s="7"/>
      <c r="K29" s="7"/>
      <c r="L29" s="7"/>
      <c r="M29" s="7"/>
      <c r="N29" t="str">
        <f>_xlfn.CONCAT(D29,"_",F29)</f>
        <v>4_H12</v>
      </c>
      <c r="O29" t="s">
        <v>246</v>
      </c>
      <c r="P29">
        <v>754016</v>
      </c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5" customHeight="1">
      <c r="A30" s="21" t="s">
        <v>15</v>
      </c>
      <c r="B30" s="21" t="s">
        <v>16</v>
      </c>
      <c r="C30" s="22">
        <f t="shared" si="0"/>
        <v>754017</v>
      </c>
      <c r="D30" s="23">
        <v>5</v>
      </c>
      <c r="E30" s="24"/>
      <c r="F30" s="21" t="s">
        <v>69</v>
      </c>
      <c r="G30" s="30" t="s">
        <v>70</v>
      </c>
      <c r="H30" s="7"/>
      <c r="I30" s="7"/>
      <c r="J30" s="7"/>
      <c r="K30" s="7"/>
      <c r="L30" s="7"/>
      <c r="M30" s="7"/>
      <c r="N30" t="str">
        <f>_xlfn.CONCAT(D30,"_",F30)</f>
        <v>5_D01</v>
      </c>
      <c r="O30" t="s">
        <v>247</v>
      </c>
      <c r="P30">
        <v>754017</v>
      </c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5" customHeight="1">
      <c r="A31" s="21" t="s">
        <v>15</v>
      </c>
      <c r="B31" s="21" t="s">
        <v>16</v>
      </c>
      <c r="C31" s="22">
        <f t="shared" si="0"/>
        <v>754018</v>
      </c>
      <c r="D31" s="23">
        <v>5</v>
      </c>
      <c r="E31" s="24"/>
      <c r="F31" s="21" t="s">
        <v>71</v>
      </c>
      <c r="G31" s="30" t="s">
        <v>72</v>
      </c>
      <c r="H31" s="7"/>
      <c r="I31" s="7"/>
      <c r="J31" s="7"/>
      <c r="K31" s="7"/>
      <c r="L31" s="7"/>
      <c r="M31" s="7"/>
      <c r="N31" t="str">
        <f>_xlfn.CONCAT(D31,"_",F31)</f>
        <v>5_E01</v>
      </c>
      <c r="O31" t="s">
        <v>248</v>
      </c>
      <c r="P31">
        <v>754018</v>
      </c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5" customHeight="1">
      <c r="A32" s="21" t="s">
        <v>15</v>
      </c>
      <c r="B32" s="21" t="s">
        <v>16</v>
      </c>
      <c r="C32" s="22">
        <f t="shared" si="0"/>
        <v>754019</v>
      </c>
      <c r="D32" s="23">
        <v>5</v>
      </c>
      <c r="E32" s="24"/>
      <c r="F32" s="21" t="s">
        <v>73</v>
      </c>
      <c r="G32" s="30" t="s">
        <v>74</v>
      </c>
      <c r="H32" s="7"/>
      <c r="I32" s="7"/>
      <c r="J32" s="7"/>
      <c r="K32" s="7"/>
      <c r="L32" s="7"/>
      <c r="M32" s="7"/>
      <c r="N32" t="str">
        <f>_xlfn.CONCAT(D32,"_",F32)</f>
        <v>5_F01</v>
      </c>
      <c r="O32" t="s">
        <v>249</v>
      </c>
      <c r="P32">
        <v>754019</v>
      </c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5" customHeight="1">
      <c r="A33" s="21" t="s">
        <v>15</v>
      </c>
      <c r="B33" s="21" t="s">
        <v>16</v>
      </c>
      <c r="C33" s="22">
        <f t="shared" si="0"/>
        <v>754071</v>
      </c>
      <c r="D33" s="23">
        <v>5</v>
      </c>
      <c r="E33" s="24"/>
      <c r="F33" s="21" t="s">
        <v>75</v>
      </c>
      <c r="G33" s="30" t="s">
        <v>76</v>
      </c>
      <c r="H33" s="7"/>
      <c r="I33" s="7"/>
      <c r="J33" s="7"/>
      <c r="K33" s="7"/>
      <c r="L33" s="7"/>
      <c r="M33" s="7"/>
      <c r="N33" t="str">
        <f>_xlfn.CONCAT(D33,"_",F33)</f>
        <v>5_G01</v>
      </c>
      <c r="O33" t="s">
        <v>250</v>
      </c>
      <c r="P33">
        <v>754071</v>
      </c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5" customHeight="1">
      <c r="A34" s="21" t="s">
        <v>15</v>
      </c>
      <c r="B34" s="21" t="s">
        <v>16</v>
      </c>
      <c r="C34" s="22">
        <f t="shared" si="0"/>
        <v>754072</v>
      </c>
      <c r="D34" s="23">
        <v>5</v>
      </c>
      <c r="E34" s="24"/>
      <c r="F34" s="21" t="s">
        <v>77</v>
      </c>
      <c r="G34" s="30" t="s">
        <v>78</v>
      </c>
      <c r="H34" s="7"/>
      <c r="I34" s="7"/>
      <c r="J34" s="7"/>
      <c r="K34" s="7"/>
      <c r="L34" s="7"/>
      <c r="M34" s="7"/>
      <c r="N34" t="str">
        <f>_xlfn.CONCAT(D34,"_",F34)</f>
        <v>5_H01</v>
      </c>
      <c r="O34" t="s">
        <v>251</v>
      </c>
      <c r="P34">
        <v>754072</v>
      </c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5" customHeight="1">
      <c r="A35" s="21" t="s">
        <v>15</v>
      </c>
      <c r="B35" s="21" t="s">
        <v>16</v>
      </c>
      <c r="C35" s="22">
        <f t="shared" si="0"/>
        <v>754073</v>
      </c>
      <c r="D35" s="23">
        <v>5</v>
      </c>
      <c r="E35" s="24"/>
      <c r="F35" s="21" t="s">
        <v>79</v>
      </c>
      <c r="G35" s="30" t="s">
        <v>80</v>
      </c>
      <c r="H35" s="7"/>
      <c r="I35" s="7"/>
      <c r="J35" s="7"/>
      <c r="K35" s="7"/>
      <c r="L35" s="7"/>
      <c r="M35" s="7"/>
      <c r="N35" t="str">
        <f>_xlfn.CONCAT(D35,"_",F35)</f>
        <v>5_A02</v>
      </c>
      <c r="O35" t="s">
        <v>252</v>
      </c>
      <c r="P35">
        <v>754073</v>
      </c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5" customHeight="1">
      <c r="A36" s="21" t="s">
        <v>15</v>
      </c>
      <c r="B36" s="21" t="s">
        <v>16</v>
      </c>
      <c r="C36" s="22">
        <f t="shared" si="0"/>
        <v>754074</v>
      </c>
      <c r="D36" s="23">
        <v>5</v>
      </c>
      <c r="E36" s="24"/>
      <c r="F36" s="21" t="s">
        <v>81</v>
      </c>
      <c r="G36" s="30">
        <v>10</v>
      </c>
      <c r="H36" s="7"/>
      <c r="I36" s="7"/>
      <c r="J36" s="7"/>
      <c r="K36" s="7"/>
      <c r="L36" s="7"/>
      <c r="M36" s="7"/>
      <c r="N36" t="str">
        <f>_xlfn.CONCAT(D36,"_",F36)</f>
        <v>5_B02</v>
      </c>
      <c r="O36" t="s">
        <v>253</v>
      </c>
      <c r="P36">
        <v>754074</v>
      </c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5" customHeight="1">
      <c r="A37" s="21" t="s">
        <v>15</v>
      </c>
      <c r="B37" s="21" t="s">
        <v>16</v>
      </c>
      <c r="C37" s="22">
        <f t="shared" si="0"/>
        <v>754075</v>
      </c>
      <c r="D37" s="23">
        <v>5</v>
      </c>
      <c r="E37" s="24"/>
      <c r="F37" s="21" t="s">
        <v>82</v>
      </c>
      <c r="G37" s="30">
        <v>11</v>
      </c>
      <c r="H37" s="7"/>
      <c r="I37" s="7"/>
      <c r="J37" s="7"/>
      <c r="K37" s="7"/>
      <c r="L37" s="7"/>
      <c r="M37" s="7"/>
      <c r="N37" t="str">
        <f>_xlfn.CONCAT(D37,"_",F37)</f>
        <v>5_C02</v>
      </c>
      <c r="O37" t="s">
        <v>254</v>
      </c>
      <c r="P37">
        <v>754075</v>
      </c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5" customHeight="1">
      <c r="A38" s="21" t="s">
        <v>15</v>
      </c>
      <c r="B38" s="21" t="s">
        <v>16</v>
      </c>
      <c r="C38" s="22">
        <f t="shared" si="0"/>
        <v>753998</v>
      </c>
      <c r="D38" s="23">
        <v>5</v>
      </c>
      <c r="E38" s="24"/>
      <c r="F38" s="21" t="s">
        <v>83</v>
      </c>
      <c r="G38" s="30">
        <v>12</v>
      </c>
      <c r="H38" s="7"/>
      <c r="I38" s="7"/>
      <c r="J38" s="7"/>
      <c r="K38" s="7"/>
      <c r="L38" s="7"/>
      <c r="M38" s="7"/>
      <c r="N38" t="str">
        <f>_xlfn.CONCAT(D38,"_",F38)</f>
        <v>5_D02</v>
      </c>
      <c r="O38" t="s">
        <v>255</v>
      </c>
      <c r="P38">
        <v>753998</v>
      </c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5" customHeight="1">
      <c r="A39" s="21" t="s">
        <v>15</v>
      </c>
      <c r="B39" s="21" t="s">
        <v>16</v>
      </c>
      <c r="C39" s="22">
        <f t="shared" si="0"/>
        <v>753987</v>
      </c>
      <c r="D39" s="23">
        <v>5</v>
      </c>
      <c r="E39" s="24"/>
      <c r="F39" s="21" t="s">
        <v>84</v>
      </c>
      <c r="G39" s="30">
        <v>13</v>
      </c>
      <c r="H39" s="7"/>
      <c r="I39" s="7"/>
      <c r="J39" s="7"/>
      <c r="K39" s="7"/>
      <c r="L39" s="7"/>
      <c r="M39" s="7"/>
      <c r="N39" t="str">
        <f>_xlfn.CONCAT(D39,"_",F39)</f>
        <v>5_E02</v>
      </c>
      <c r="O39" t="s">
        <v>256</v>
      </c>
      <c r="P39">
        <v>753987</v>
      </c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5" customHeight="1">
      <c r="A40" s="21" t="s">
        <v>15</v>
      </c>
      <c r="B40" s="21" t="s">
        <v>16</v>
      </c>
      <c r="C40" s="22">
        <f t="shared" si="0"/>
        <v>753988</v>
      </c>
      <c r="D40" s="23">
        <v>5</v>
      </c>
      <c r="E40" s="24"/>
      <c r="F40" s="21" t="s">
        <v>85</v>
      </c>
      <c r="G40" s="30">
        <v>14</v>
      </c>
      <c r="H40" s="7"/>
      <c r="I40" s="7"/>
      <c r="J40" s="7"/>
      <c r="K40" s="7"/>
      <c r="L40" s="7"/>
      <c r="M40" s="7"/>
      <c r="N40" t="str">
        <f>_xlfn.CONCAT(D40,"_",F40)</f>
        <v>5_F02</v>
      </c>
      <c r="O40" t="s">
        <v>257</v>
      </c>
      <c r="P40">
        <v>753988</v>
      </c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5" customHeight="1">
      <c r="A41" s="21" t="s">
        <v>15</v>
      </c>
      <c r="B41" s="21" t="s">
        <v>16</v>
      </c>
      <c r="C41" s="22">
        <f t="shared" si="0"/>
        <v>753991</v>
      </c>
      <c r="D41" s="23">
        <v>5</v>
      </c>
      <c r="E41" s="24"/>
      <c r="F41" s="21" t="s">
        <v>86</v>
      </c>
      <c r="G41" s="30">
        <v>20</v>
      </c>
      <c r="H41" s="7"/>
      <c r="I41" s="7"/>
      <c r="J41" s="7"/>
      <c r="K41" s="7"/>
      <c r="L41" s="7"/>
      <c r="M41" s="7"/>
      <c r="N41" t="str">
        <f>_xlfn.CONCAT(D41,"_",F41)</f>
        <v>5_D03</v>
      </c>
      <c r="O41" t="s">
        <v>258</v>
      </c>
      <c r="P41">
        <v>753991</v>
      </c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5" customHeight="1">
      <c r="A42" s="21" t="s">
        <v>15</v>
      </c>
      <c r="B42" s="21" t="s">
        <v>16</v>
      </c>
      <c r="C42" s="22">
        <f t="shared" si="0"/>
        <v>753993</v>
      </c>
      <c r="D42" s="23">
        <v>5</v>
      </c>
      <c r="E42" s="24"/>
      <c r="F42" s="21" t="s">
        <v>87</v>
      </c>
      <c r="G42" s="30">
        <v>21</v>
      </c>
      <c r="H42" s="7"/>
      <c r="I42" s="7"/>
      <c r="J42" s="7"/>
      <c r="K42" s="7"/>
      <c r="L42" s="7"/>
      <c r="M42" s="7"/>
      <c r="N42" t="str">
        <f>_xlfn.CONCAT(D42,"_",F42)</f>
        <v>5_E03</v>
      </c>
      <c r="O42" t="s">
        <v>259</v>
      </c>
      <c r="P42">
        <v>753993</v>
      </c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5" customHeight="1">
      <c r="A43" s="21" t="s">
        <v>15</v>
      </c>
      <c r="B43" s="21" t="s">
        <v>16</v>
      </c>
      <c r="C43" s="22">
        <f t="shared" si="0"/>
        <v>753992</v>
      </c>
      <c r="D43" s="23">
        <v>5</v>
      </c>
      <c r="E43" s="24"/>
      <c r="F43" s="21" t="s">
        <v>88</v>
      </c>
      <c r="G43" s="30">
        <v>22</v>
      </c>
      <c r="H43" s="7"/>
      <c r="I43" s="7"/>
      <c r="J43" s="7"/>
      <c r="K43" s="7"/>
      <c r="L43" s="7"/>
      <c r="M43" s="7"/>
      <c r="N43" t="str">
        <f>_xlfn.CONCAT(D43,"_",F43)</f>
        <v>5_F03</v>
      </c>
      <c r="O43" t="s">
        <v>260</v>
      </c>
      <c r="P43">
        <v>753992</v>
      </c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5" customHeight="1">
      <c r="A44" s="21" t="s">
        <v>15</v>
      </c>
      <c r="B44" s="21" t="s">
        <v>16</v>
      </c>
      <c r="C44" s="22">
        <f t="shared" si="0"/>
        <v>754000</v>
      </c>
      <c r="D44" s="23">
        <v>5</v>
      </c>
      <c r="E44" s="24"/>
      <c r="F44" s="21" t="s">
        <v>89</v>
      </c>
      <c r="G44" s="30">
        <v>23</v>
      </c>
      <c r="H44" s="7"/>
      <c r="I44" s="7"/>
      <c r="J44" s="7"/>
      <c r="K44" s="7"/>
      <c r="L44" s="7"/>
      <c r="M44" s="7"/>
      <c r="N44" t="str">
        <f>_xlfn.CONCAT(D44,"_",F44)</f>
        <v>5_G03</v>
      </c>
      <c r="O44" t="s">
        <v>261</v>
      </c>
      <c r="P44">
        <v>754000</v>
      </c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5" customHeight="1">
      <c r="A45" s="21" t="s">
        <v>15</v>
      </c>
      <c r="B45" s="21" t="s">
        <v>16</v>
      </c>
      <c r="C45" s="22">
        <f t="shared" si="0"/>
        <v>754001</v>
      </c>
      <c r="D45" s="23">
        <v>5</v>
      </c>
      <c r="E45" s="24"/>
      <c r="F45" s="21" t="s">
        <v>90</v>
      </c>
      <c r="G45" s="30">
        <v>24</v>
      </c>
      <c r="H45" s="7"/>
      <c r="I45" s="7"/>
      <c r="J45" s="7"/>
      <c r="K45" s="7"/>
      <c r="L45" s="7"/>
      <c r="M45" s="7"/>
      <c r="N45" t="str">
        <f>_xlfn.CONCAT(D45,"_",F45)</f>
        <v>5_H03</v>
      </c>
      <c r="O45" t="s">
        <v>262</v>
      </c>
      <c r="P45">
        <v>754001</v>
      </c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5" customHeight="1">
      <c r="A46" s="27" t="s">
        <v>15</v>
      </c>
      <c r="B46" s="27" t="s">
        <v>16</v>
      </c>
      <c r="C46" s="22">
        <f t="shared" si="0"/>
        <v>753999</v>
      </c>
      <c r="D46" s="27">
        <v>7</v>
      </c>
      <c r="E46" s="27"/>
      <c r="F46" s="27" t="s">
        <v>91</v>
      </c>
      <c r="G46" s="30">
        <v>79</v>
      </c>
      <c r="H46" s="7"/>
      <c r="I46" s="7"/>
      <c r="J46" s="7"/>
      <c r="K46" s="7"/>
      <c r="L46" s="7"/>
      <c r="M46" s="7"/>
      <c r="N46" t="str">
        <f>_xlfn.CONCAT(D46,"_",F46)</f>
        <v>7_G10</v>
      </c>
      <c r="O46" t="s">
        <v>263</v>
      </c>
      <c r="P46">
        <v>753999</v>
      </c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5" customHeight="1">
      <c r="A47" s="27" t="s">
        <v>15</v>
      </c>
      <c r="B47" s="27" t="s">
        <v>16</v>
      </c>
      <c r="C47" s="22">
        <f t="shared" si="0"/>
        <v>753884</v>
      </c>
      <c r="D47" s="27">
        <v>7</v>
      </c>
      <c r="E47" s="27"/>
      <c r="F47" s="27" t="s">
        <v>92</v>
      </c>
      <c r="G47" s="30">
        <v>80</v>
      </c>
      <c r="H47" s="7"/>
      <c r="I47" s="7"/>
      <c r="J47" s="7"/>
      <c r="K47" s="7"/>
      <c r="L47" s="7"/>
      <c r="M47" s="7"/>
      <c r="N47" t="str">
        <f>_xlfn.CONCAT(D47,"_",F47)</f>
        <v>7_H10</v>
      </c>
      <c r="O47" t="s">
        <v>264</v>
      </c>
      <c r="P47">
        <v>753884</v>
      </c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5" customHeight="1">
      <c r="A48" s="27" t="s">
        <v>15</v>
      </c>
      <c r="B48" s="27" t="s">
        <v>16</v>
      </c>
      <c r="C48" s="22">
        <f t="shared" si="0"/>
        <v>753691</v>
      </c>
      <c r="D48" s="27">
        <v>7</v>
      </c>
      <c r="E48" s="27"/>
      <c r="F48" s="27" t="s">
        <v>93</v>
      </c>
      <c r="G48" s="30">
        <v>81</v>
      </c>
      <c r="H48" s="7"/>
      <c r="I48" s="7"/>
      <c r="J48" s="7"/>
      <c r="K48" s="7"/>
      <c r="L48" s="7"/>
      <c r="M48" s="7"/>
      <c r="N48" t="str">
        <f>_xlfn.CONCAT(D48,"_",F48)</f>
        <v>7_A11</v>
      </c>
      <c r="O48" t="s">
        <v>265</v>
      </c>
      <c r="P48">
        <v>753691</v>
      </c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5" customHeight="1">
      <c r="A49" s="27" t="s">
        <v>15</v>
      </c>
      <c r="B49" s="27" t="s">
        <v>16</v>
      </c>
      <c r="C49" s="22">
        <f t="shared" si="0"/>
        <v>753676</v>
      </c>
      <c r="D49" s="27">
        <v>7</v>
      </c>
      <c r="E49" s="27"/>
      <c r="F49" s="27" t="s">
        <v>94</v>
      </c>
      <c r="G49" s="30">
        <v>82</v>
      </c>
      <c r="H49" s="7"/>
      <c r="I49" s="7"/>
      <c r="J49" s="7"/>
      <c r="K49" s="7"/>
      <c r="L49" s="7"/>
      <c r="M49" s="7"/>
      <c r="N49" t="str">
        <f>_xlfn.CONCAT(D49,"_",F49)</f>
        <v>7_B11</v>
      </c>
      <c r="O49" t="s">
        <v>266</v>
      </c>
      <c r="P49">
        <v>753676</v>
      </c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5" customHeight="1">
      <c r="A50" s="27" t="s">
        <v>15</v>
      </c>
      <c r="B50" s="27" t="s">
        <v>16</v>
      </c>
      <c r="C50" s="22">
        <f t="shared" si="0"/>
        <v>753587</v>
      </c>
      <c r="D50" s="27">
        <v>7</v>
      </c>
      <c r="E50" s="27"/>
      <c r="F50" s="27" t="s">
        <v>49</v>
      </c>
      <c r="G50" s="30">
        <v>83</v>
      </c>
      <c r="H50" s="7"/>
      <c r="I50" s="7"/>
      <c r="J50" s="7"/>
      <c r="K50" s="7"/>
      <c r="L50" s="7"/>
      <c r="M50" s="7"/>
      <c r="N50" t="str">
        <f>_xlfn.CONCAT(D50,"_",F50)</f>
        <v>7_C11</v>
      </c>
      <c r="O50" t="s">
        <v>267</v>
      </c>
      <c r="P50">
        <v>753587</v>
      </c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5" customHeight="1">
      <c r="A51" s="27" t="s">
        <v>15</v>
      </c>
      <c r="B51" s="27" t="s">
        <v>16</v>
      </c>
      <c r="C51" s="22">
        <f t="shared" si="0"/>
        <v>753617</v>
      </c>
      <c r="D51" s="27">
        <v>7</v>
      </c>
      <c r="E51" s="27"/>
      <c r="F51" s="27" t="s">
        <v>51</v>
      </c>
      <c r="G51" s="30">
        <v>84</v>
      </c>
      <c r="H51" s="7"/>
      <c r="I51" s="7"/>
      <c r="J51" s="7"/>
      <c r="K51" s="7"/>
      <c r="L51" s="7"/>
      <c r="M51" s="7"/>
      <c r="N51" t="str">
        <f>_xlfn.CONCAT(D51,"_",F51)</f>
        <v>7_D11</v>
      </c>
      <c r="O51" t="s">
        <v>268</v>
      </c>
      <c r="P51">
        <v>753617</v>
      </c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5" customHeight="1">
      <c r="A52" s="27" t="s">
        <v>15</v>
      </c>
      <c r="B52" s="27" t="s">
        <v>16</v>
      </c>
      <c r="C52" s="22">
        <f t="shared" si="0"/>
        <v>753618</v>
      </c>
      <c r="D52" s="27">
        <v>7</v>
      </c>
      <c r="E52" s="27"/>
      <c r="F52" s="27" t="s">
        <v>95</v>
      </c>
      <c r="G52" s="30">
        <v>85</v>
      </c>
      <c r="H52" s="7"/>
      <c r="I52" s="7"/>
      <c r="J52" s="7"/>
      <c r="K52" s="7"/>
      <c r="L52" s="7"/>
      <c r="M52" s="7"/>
      <c r="N52" t="str">
        <f>_xlfn.CONCAT(D52,"_",F52)</f>
        <v>7_E11</v>
      </c>
      <c r="O52" t="s">
        <v>269</v>
      </c>
      <c r="P52">
        <v>753618</v>
      </c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5" customHeight="1">
      <c r="A53" s="27" t="s">
        <v>15</v>
      </c>
      <c r="B53" s="27" t="s">
        <v>16</v>
      </c>
      <c r="C53" s="22">
        <f t="shared" si="0"/>
        <v>753619</v>
      </c>
      <c r="D53" s="27">
        <v>7</v>
      </c>
      <c r="E53" s="27"/>
      <c r="F53" s="27" t="s">
        <v>53</v>
      </c>
      <c r="G53" s="30">
        <v>86</v>
      </c>
      <c r="H53" s="7"/>
      <c r="I53" s="7"/>
      <c r="J53" s="7"/>
      <c r="K53" s="7"/>
      <c r="L53" s="7"/>
      <c r="M53" s="7"/>
      <c r="N53" t="str">
        <f>_xlfn.CONCAT(D53,"_",F53)</f>
        <v>7_F11</v>
      </c>
      <c r="O53" t="s">
        <v>270</v>
      </c>
      <c r="P53">
        <v>753619</v>
      </c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5" customHeight="1">
      <c r="A54" s="27" t="s">
        <v>15</v>
      </c>
      <c r="B54" s="27" t="s">
        <v>16</v>
      </c>
      <c r="C54" s="22">
        <f t="shared" si="0"/>
        <v>753620</v>
      </c>
      <c r="D54" s="27">
        <v>7</v>
      </c>
      <c r="E54" s="27"/>
      <c r="F54" s="27" t="s">
        <v>55</v>
      </c>
      <c r="G54" s="30">
        <v>87</v>
      </c>
      <c r="H54" s="7"/>
      <c r="I54" s="7"/>
      <c r="J54" s="7"/>
      <c r="K54" s="7"/>
      <c r="L54" s="7"/>
      <c r="M54" s="7"/>
      <c r="N54" t="str">
        <f>_xlfn.CONCAT(D54,"_",F54)</f>
        <v>7_G11</v>
      </c>
      <c r="O54" t="s">
        <v>271</v>
      </c>
      <c r="P54">
        <v>753620</v>
      </c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5" customHeight="1">
      <c r="A55" s="27" t="s">
        <v>15</v>
      </c>
      <c r="B55" s="27" t="s">
        <v>16</v>
      </c>
      <c r="C55" s="22">
        <f t="shared" si="0"/>
        <v>753621</v>
      </c>
      <c r="D55" s="27">
        <v>7</v>
      </c>
      <c r="E55" s="27"/>
      <c r="F55" s="27" t="s">
        <v>57</v>
      </c>
      <c r="G55" s="30">
        <v>88</v>
      </c>
      <c r="H55" s="7"/>
      <c r="I55" s="7"/>
      <c r="J55" s="7"/>
      <c r="K55" s="7"/>
      <c r="L55" s="7"/>
      <c r="M55" s="7"/>
      <c r="N55" t="str">
        <f>_xlfn.CONCAT(D55,"_",F55)</f>
        <v>7_H11</v>
      </c>
      <c r="O55" t="s">
        <v>272</v>
      </c>
      <c r="P55">
        <v>753621</v>
      </c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5" customHeight="1">
      <c r="A56" s="27" t="s">
        <v>15</v>
      </c>
      <c r="B56" s="27" t="s">
        <v>16</v>
      </c>
      <c r="C56" s="22">
        <f t="shared" si="0"/>
        <v>753627</v>
      </c>
      <c r="D56" s="27">
        <v>7</v>
      </c>
      <c r="E56" s="27"/>
      <c r="F56" s="27" t="s">
        <v>59</v>
      </c>
      <c r="G56" s="30">
        <v>89</v>
      </c>
      <c r="H56" s="7"/>
      <c r="I56" s="7"/>
      <c r="J56" s="7"/>
      <c r="K56" s="7"/>
      <c r="L56" s="7"/>
      <c r="M56" s="7"/>
      <c r="N56" t="str">
        <f>_xlfn.CONCAT(D56,"_",F56)</f>
        <v>7_A12</v>
      </c>
      <c r="O56" t="s">
        <v>273</v>
      </c>
      <c r="P56">
        <v>753627</v>
      </c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5" customHeight="1">
      <c r="A57" s="27" t="s">
        <v>15</v>
      </c>
      <c r="B57" s="27" t="s">
        <v>16</v>
      </c>
      <c r="C57" s="22">
        <f t="shared" si="0"/>
        <v>753565</v>
      </c>
      <c r="D57" s="27">
        <v>7</v>
      </c>
      <c r="E57" s="27"/>
      <c r="F57" s="27" t="s">
        <v>61</v>
      </c>
      <c r="G57" s="30">
        <v>90</v>
      </c>
      <c r="H57" s="7"/>
      <c r="I57" s="7"/>
      <c r="J57" s="7"/>
      <c r="K57" s="7"/>
      <c r="L57" s="7"/>
      <c r="M57" s="7"/>
      <c r="N57" t="str">
        <f>_xlfn.CONCAT(D57,"_",F57)</f>
        <v>7_B12</v>
      </c>
      <c r="O57" t="s">
        <v>274</v>
      </c>
      <c r="P57">
        <v>753565</v>
      </c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5" customHeight="1">
      <c r="A58" s="27" t="s">
        <v>15</v>
      </c>
      <c r="B58" s="27" t="s">
        <v>16</v>
      </c>
      <c r="C58" s="22">
        <f t="shared" si="0"/>
        <v>753567</v>
      </c>
      <c r="D58" s="27">
        <v>7</v>
      </c>
      <c r="E58" s="27"/>
      <c r="F58" s="27" t="s">
        <v>63</v>
      </c>
      <c r="G58" s="30">
        <v>91</v>
      </c>
      <c r="H58" s="7"/>
      <c r="I58" s="7"/>
      <c r="J58" s="7"/>
      <c r="K58" s="7"/>
      <c r="L58" s="7"/>
      <c r="M58" s="7"/>
      <c r="N58" t="str">
        <f>_xlfn.CONCAT(D58,"_",F58)</f>
        <v>7_C12</v>
      </c>
      <c r="O58" t="s">
        <v>275</v>
      </c>
      <c r="P58">
        <v>753567</v>
      </c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5" customHeight="1">
      <c r="A59" s="27" t="s">
        <v>15</v>
      </c>
      <c r="B59" s="27" t="s">
        <v>16</v>
      </c>
      <c r="C59" s="22">
        <f t="shared" si="0"/>
        <v>753568</v>
      </c>
      <c r="D59" s="27">
        <v>7</v>
      </c>
      <c r="E59" s="27"/>
      <c r="F59" s="27" t="s">
        <v>65</v>
      </c>
      <c r="G59" s="30">
        <v>92</v>
      </c>
      <c r="H59" s="7"/>
      <c r="I59" s="7"/>
      <c r="J59" s="7"/>
      <c r="K59" s="7"/>
      <c r="L59" s="7"/>
      <c r="M59" s="7"/>
      <c r="N59" t="str">
        <f>_xlfn.CONCAT(D59,"_",F59)</f>
        <v>7_D12</v>
      </c>
      <c r="O59" t="s">
        <v>276</v>
      </c>
      <c r="P59">
        <v>753568</v>
      </c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5" customHeight="1">
      <c r="A60" s="27" t="s">
        <v>15</v>
      </c>
      <c r="B60" s="27" t="s">
        <v>16</v>
      </c>
      <c r="C60" s="22">
        <f t="shared" si="0"/>
        <v>753574</v>
      </c>
      <c r="D60" s="27">
        <v>7</v>
      </c>
      <c r="E60" s="27"/>
      <c r="F60" s="27" t="s">
        <v>67</v>
      </c>
      <c r="G60" s="30">
        <v>93</v>
      </c>
      <c r="H60" s="7"/>
      <c r="I60" s="7"/>
      <c r="J60" s="7"/>
      <c r="K60" s="7"/>
      <c r="L60" s="7"/>
      <c r="M60" s="7"/>
      <c r="N60" t="str">
        <f>_xlfn.CONCAT(D60,"_",F60)</f>
        <v>7_E12</v>
      </c>
      <c r="O60" t="s">
        <v>277</v>
      </c>
      <c r="P60">
        <v>753574</v>
      </c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5" customHeight="1">
      <c r="A61" s="27" t="s">
        <v>15</v>
      </c>
      <c r="B61" s="27" t="s">
        <v>16</v>
      </c>
      <c r="C61" s="22">
        <f t="shared" si="0"/>
        <v>753575</v>
      </c>
      <c r="D61" s="27">
        <v>7</v>
      </c>
      <c r="E61" s="27"/>
      <c r="F61" s="27" t="s">
        <v>96</v>
      </c>
      <c r="G61" s="30">
        <v>94</v>
      </c>
      <c r="H61" s="7"/>
      <c r="I61" s="7"/>
      <c r="J61" s="7"/>
      <c r="K61" s="7"/>
      <c r="L61" s="7"/>
      <c r="M61" s="7"/>
      <c r="N61" t="str">
        <f>_xlfn.CONCAT(D61,"_",F61)</f>
        <v>7_F12</v>
      </c>
      <c r="O61" t="s">
        <v>278</v>
      </c>
      <c r="P61">
        <v>753575</v>
      </c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5" customHeight="1">
      <c r="A62" s="27" t="s">
        <v>15</v>
      </c>
      <c r="B62" s="27" t="s">
        <v>16</v>
      </c>
      <c r="C62" s="22">
        <f t="shared" si="0"/>
        <v>753576</v>
      </c>
      <c r="D62" s="27">
        <v>7</v>
      </c>
      <c r="E62" s="27"/>
      <c r="F62" s="27" t="s">
        <v>97</v>
      </c>
      <c r="G62" s="30">
        <v>95</v>
      </c>
      <c r="H62" s="7"/>
      <c r="I62" s="7"/>
      <c r="J62" s="7"/>
      <c r="K62" s="7"/>
      <c r="L62" s="7"/>
      <c r="M62" s="7"/>
      <c r="N62" t="str">
        <f>_xlfn.CONCAT(D62,"_",F62)</f>
        <v>7_G12</v>
      </c>
      <c r="O62" t="s">
        <v>279</v>
      </c>
      <c r="P62">
        <v>753576</v>
      </c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5" customHeight="1">
      <c r="A63" s="27" t="s">
        <v>15</v>
      </c>
      <c r="B63" s="27" t="s">
        <v>16</v>
      </c>
      <c r="C63" s="22">
        <f t="shared" si="0"/>
        <v>753588</v>
      </c>
      <c r="D63" s="27">
        <v>7</v>
      </c>
      <c r="E63" s="27"/>
      <c r="F63" s="27" t="s">
        <v>47</v>
      </c>
      <c r="G63" s="30">
        <v>96</v>
      </c>
      <c r="H63" s="7"/>
      <c r="I63" s="7"/>
      <c r="J63" s="7"/>
      <c r="K63" s="7"/>
      <c r="L63" s="7"/>
      <c r="M63" s="7"/>
      <c r="N63" t="str">
        <f>_xlfn.CONCAT(D63,"_",F63)</f>
        <v>7_H12</v>
      </c>
      <c r="O63" t="s">
        <v>280</v>
      </c>
      <c r="P63">
        <v>753588</v>
      </c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5" customHeight="1">
      <c r="A64" s="20" t="s">
        <v>15</v>
      </c>
      <c r="B64" s="21" t="s">
        <v>16</v>
      </c>
      <c r="C64" s="22">
        <v>753635</v>
      </c>
      <c r="D64" s="23">
        <v>1</v>
      </c>
      <c r="E64" s="24"/>
      <c r="F64" s="21" t="s">
        <v>100</v>
      </c>
      <c r="G64" s="25" t="s">
        <v>101</v>
      </c>
      <c r="H64" s="6"/>
      <c r="I64" s="7"/>
      <c r="J64" s="7"/>
      <c r="K64" s="7"/>
      <c r="L64" s="7"/>
      <c r="M64" s="7"/>
      <c r="N64" t="str">
        <f>_xlfn.CONCAT(D64,"_",F64)</f>
        <v>1_A01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5" customHeight="1">
      <c r="A65" s="20" t="s">
        <v>15</v>
      </c>
      <c r="B65" s="21" t="s">
        <v>16</v>
      </c>
      <c r="C65" s="22">
        <v>753857</v>
      </c>
      <c r="D65" s="23">
        <v>1</v>
      </c>
      <c r="E65" s="24"/>
      <c r="F65" s="21" t="s">
        <v>102</v>
      </c>
      <c r="G65" s="25" t="s">
        <v>103</v>
      </c>
      <c r="H65" s="6"/>
      <c r="I65" s="7"/>
      <c r="J65" s="7"/>
      <c r="K65" s="7"/>
      <c r="L65" s="7"/>
      <c r="M65" s="7"/>
      <c r="N65" t="str">
        <f>_xlfn.CONCAT(D65,"_",F65)</f>
        <v>1_B01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5" customHeight="1">
      <c r="A66" s="20" t="s">
        <v>15</v>
      </c>
      <c r="B66" s="21" t="s">
        <v>16</v>
      </c>
      <c r="C66" s="22">
        <v>754009</v>
      </c>
      <c r="D66" s="23">
        <v>1</v>
      </c>
      <c r="E66" s="24"/>
      <c r="F66" s="21" t="s">
        <v>104</v>
      </c>
      <c r="G66" s="25" t="s">
        <v>105</v>
      </c>
      <c r="H66" s="6"/>
      <c r="I66" s="7"/>
      <c r="J66" s="7"/>
      <c r="K66" s="7"/>
      <c r="L66" s="7"/>
      <c r="M66" s="7"/>
      <c r="N66" t="str">
        <f>_xlfn.CONCAT(D66,"_",F66)</f>
        <v>1_C01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5" customHeight="1">
      <c r="A67" s="20" t="s">
        <v>15</v>
      </c>
      <c r="B67" s="21" t="s">
        <v>16</v>
      </c>
      <c r="C67" s="22">
        <v>754008</v>
      </c>
      <c r="D67" s="23">
        <v>1</v>
      </c>
      <c r="E67" s="24"/>
      <c r="F67" s="21" t="s">
        <v>69</v>
      </c>
      <c r="G67" s="25" t="s">
        <v>106</v>
      </c>
      <c r="H67" s="6"/>
      <c r="I67" s="7"/>
      <c r="J67" s="7"/>
      <c r="K67" s="7"/>
      <c r="L67" s="7"/>
      <c r="M67" s="7"/>
      <c r="N67" t="str">
        <f>_xlfn.CONCAT(D67,"_",F67)</f>
        <v>1_D01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5" customHeight="1">
      <c r="A68" s="20" t="s">
        <v>15</v>
      </c>
      <c r="B68" s="21" t="s">
        <v>16</v>
      </c>
      <c r="C68" s="22">
        <v>754005</v>
      </c>
      <c r="D68" s="23">
        <v>1</v>
      </c>
      <c r="E68" s="24"/>
      <c r="F68" s="21" t="s">
        <v>71</v>
      </c>
      <c r="G68" s="25" t="s">
        <v>107</v>
      </c>
      <c r="H68" s="6"/>
      <c r="I68" s="7"/>
      <c r="J68" s="7"/>
      <c r="K68" s="7"/>
      <c r="L68" s="7"/>
      <c r="M68" s="7"/>
      <c r="N68" t="str">
        <f>_xlfn.CONCAT(D68,"_",F68)</f>
        <v>1_E01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5" customHeight="1">
      <c r="A69" s="20" t="s">
        <v>15</v>
      </c>
      <c r="B69" s="21" t="s">
        <v>16</v>
      </c>
      <c r="C69" s="22">
        <v>753636</v>
      </c>
      <c r="D69" s="23">
        <v>1</v>
      </c>
      <c r="E69" s="24"/>
      <c r="F69" s="21" t="s">
        <v>73</v>
      </c>
      <c r="G69" s="25" t="s">
        <v>108</v>
      </c>
      <c r="H69" s="6"/>
      <c r="I69" s="7"/>
      <c r="J69" s="7"/>
      <c r="K69" s="7"/>
      <c r="L69" s="7"/>
      <c r="M69" s="7"/>
      <c r="N69" t="str">
        <f>_xlfn.CONCAT(D69,"_",F69)</f>
        <v>1_F01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5" customHeight="1">
      <c r="A70" s="20" t="s">
        <v>15</v>
      </c>
      <c r="B70" s="21" t="s">
        <v>16</v>
      </c>
      <c r="C70" s="22">
        <v>753856</v>
      </c>
      <c r="D70" s="23">
        <v>1</v>
      </c>
      <c r="E70" s="24"/>
      <c r="F70" s="21" t="s">
        <v>75</v>
      </c>
      <c r="G70" s="25" t="s">
        <v>109</v>
      </c>
      <c r="H70" s="6"/>
      <c r="I70" s="7"/>
      <c r="J70" s="7"/>
      <c r="K70" s="7"/>
      <c r="L70" s="7"/>
      <c r="M70" s="7"/>
      <c r="N70" t="str">
        <f>_xlfn.CONCAT(D70,"_",F70)</f>
        <v>1_G01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5" customHeight="1">
      <c r="A71" s="20" t="s">
        <v>15</v>
      </c>
      <c r="B71" s="21" t="s">
        <v>16</v>
      </c>
      <c r="C71" s="22">
        <v>754011</v>
      </c>
      <c r="D71" s="23">
        <v>1</v>
      </c>
      <c r="E71" s="24"/>
      <c r="F71" s="21" t="s">
        <v>77</v>
      </c>
      <c r="G71" s="25" t="s">
        <v>110</v>
      </c>
      <c r="H71" s="6"/>
      <c r="I71" s="7"/>
      <c r="J71" s="7"/>
      <c r="K71" s="7"/>
      <c r="L71" s="7"/>
      <c r="M71" s="7"/>
      <c r="N71" t="str">
        <f>_xlfn.CONCAT(D71,"_",F71)</f>
        <v>1_H01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5" customHeight="1">
      <c r="A72" s="20" t="s">
        <v>15</v>
      </c>
      <c r="B72" s="21" t="s">
        <v>16</v>
      </c>
      <c r="C72" s="22">
        <v>754007</v>
      </c>
      <c r="D72" s="23">
        <v>1</v>
      </c>
      <c r="E72" s="24"/>
      <c r="F72" s="21" t="s">
        <v>79</v>
      </c>
      <c r="G72" s="25" t="s">
        <v>111</v>
      </c>
      <c r="H72" s="6"/>
      <c r="I72" s="7"/>
      <c r="J72" s="7"/>
      <c r="K72" s="7"/>
      <c r="L72" s="7"/>
      <c r="M72" s="7"/>
      <c r="N72" t="str">
        <f>_xlfn.CONCAT(D72,"_",F72)</f>
        <v>1_A02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5" customHeight="1">
      <c r="A73" s="20" t="s">
        <v>15</v>
      </c>
      <c r="B73" s="21" t="s">
        <v>16</v>
      </c>
      <c r="C73" s="22">
        <v>754004</v>
      </c>
      <c r="D73" s="23">
        <v>1</v>
      </c>
      <c r="E73" s="24"/>
      <c r="F73" s="21" t="s">
        <v>81</v>
      </c>
      <c r="G73" s="25" t="s">
        <v>112</v>
      </c>
      <c r="H73" s="6"/>
      <c r="I73" s="7"/>
      <c r="J73" s="7"/>
      <c r="K73" s="7"/>
      <c r="L73" s="7"/>
      <c r="M73" s="7"/>
      <c r="N73" t="str">
        <f>_xlfn.CONCAT(D73,"_",F73)</f>
        <v>1_B02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5" customHeight="1">
      <c r="A74" s="20" t="s">
        <v>15</v>
      </c>
      <c r="B74" s="21" t="s">
        <v>16</v>
      </c>
      <c r="C74" s="22">
        <v>753637</v>
      </c>
      <c r="D74" s="23">
        <v>1</v>
      </c>
      <c r="E74" s="24"/>
      <c r="F74" s="21" t="s">
        <v>82</v>
      </c>
      <c r="G74" s="25" t="s">
        <v>113</v>
      </c>
      <c r="H74" s="6"/>
      <c r="I74" s="7"/>
      <c r="J74" s="7"/>
      <c r="K74" s="7"/>
      <c r="L74" s="7"/>
      <c r="M74" s="7"/>
      <c r="N74" t="str">
        <f>_xlfn.CONCAT(D74,"_",F74)</f>
        <v>1_C02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5" customHeight="1">
      <c r="A75" s="20" t="s">
        <v>15</v>
      </c>
      <c r="B75" s="21" t="s">
        <v>16</v>
      </c>
      <c r="C75" s="22">
        <v>753855</v>
      </c>
      <c r="D75" s="23">
        <v>1</v>
      </c>
      <c r="E75" s="24"/>
      <c r="F75" s="21" t="s">
        <v>83</v>
      </c>
      <c r="G75" s="25" t="s">
        <v>114</v>
      </c>
      <c r="H75" s="6"/>
      <c r="I75" s="7"/>
      <c r="J75" s="7"/>
      <c r="K75" s="7"/>
      <c r="L75" s="7"/>
      <c r="M75" s="7"/>
      <c r="N75" t="str">
        <f>_xlfn.CONCAT(D75,"_",F75)</f>
        <v>1_D02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5" customHeight="1">
      <c r="A76" s="20" t="s">
        <v>15</v>
      </c>
      <c r="B76" s="21" t="s">
        <v>16</v>
      </c>
      <c r="C76" s="22">
        <v>754010</v>
      </c>
      <c r="D76" s="23">
        <v>1</v>
      </c>
      <c r="E76" s="24"/>
      <c r="F76" s="21" t="s">
        <v>84</v>
      </c>
      <c r="G76" s="25" t="s">
        <v>115</v>
      </c>
      <c r="H76" s="6"/>
      <c r="I76" s="7"/>
      <c r="J76" s="7"/>
      <c r="K76" s="7"/>
      <c r="L76" s="7"/>
      <c r="M76" s="7"/>
      <c r="N76" t="str">
        <f>_xlfn.CONCAT(D76,"_",F76)</f>
        <v>1_E02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5" customHeight="1">
      <c r="A77" s="20" t="s">
        <v>15</v>
      </c>
      <c r="B77" s="21" t="s">
        <v>16</v>
      </c>
      <c r="C77" s="22">
        <v>754006</v>
      </c>
      <c r="D77" s="23">
        <v>1</v>
      </c>
      <c r="E77" s="24"/>
      <c r="F77" s="21" t="s">
        <v>85</v>
      </c>
      <c r="G77" s="25" t="s">
        <v>116</v>
      </c>
      <c r="H77" s="6"/>
      <c r="I77" s="7"/>
      <c r="J77" s="7"/>
      <c r="K77" s="7"/>
      <c r="L77" s="7"/>
      <c r="M77" s="7"/>
      <c r="N77" t="str">
        <f>_xlfn.CONCAT(D77,"_",F77)</f>
        <v>1_F02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5" customHeight="1">
      <c r="A78" s="20" t="s">
        <v>15</v>
      </c>
      <c r="B78" s="21" t="s">
        <v>16</v>
      </c>
      <c r="C78" s="22">
        <v>754003</v>
      </c>
      <c r="D78" s="23">
        <v>1</v>
      </c>
      <c r="E78" s="24"/>
      <c r="F78" s="21" t="s">
        <v>117</v>
      </c>
      <c r="G78" s="25" t="s">
        <v>118</v>
      </c>
      <c r="H78" s="6"/>
      <c r="I78" s="7"/>
      <c r="J78" s="7"/>
      <c r="K78" s="7"/>
      <c r="L78" s="7"/>
      <c r="M78" s="7"/>
      <c r="N78" t="str">
        <f>_xlfn.CONCAT(D78,"_",F78)</f>
        <v>1_G02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5" customHeight="1">
      <c r="A79" s="20" t="s">
        <v>15</v>
      </c>
      <c r="B79" s="21" t="s">
        <v>16</v>
      </c>
      <c r="C79" s="22">
        <v>753858</v>
      </c>
      <c r="D79" s="23">
        <v>1</v>
      </c>
      <c r="E79" s="24"/>
      <c r="F79" s="21" t="s">
        <v>119</v>
      </c>
      <c r="G79" s="25" t="s">
        <v>120</v>
      </c>
      <c r="H79" s="6"/>
      <c r="I79" s="7"/>
      <c r="J79" s="7"/>
      <c r="K79" s="7"/>
      <c r="L79" s="7"/>
      <c r="M79" s="7"/>
      <c r="N79" t="str">
        <f>_xlfn.CONCAT(D79,"_",F79)</f>
        <v>1_H02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5" customHeight="1">
      <c r="A80" s="20" t="s">
        <v>15</v>
      </c>
      <c r="B80" s="21" t="s">
        <v>16</v>
      </c>
      <c r="C80" s="22">
        <v>754014</v>
      </c>
      <c r="D80" s="23">
        <v>1</v>
      </c>
      <c r="E80" s="24"/>
      <c r="F80" s="21" t="s">
        <v>121</v>
      </c>
      <c r="G80" s="25" t="s">
        <v>122</v>
      </c>
      <c r="H80" s="6"/>
      <c r="I80" s="7"/>
      <c r="J80" s="7"/>
      <c r="K80" s="7"/>
      <c r="L80" s="7"/>
      <c r="M80" s="7"/>
      <c r="N80" t="str">
        <f>_xlfn.CONCAT(D80,"_",F80)</f>
        <v>1_A03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5" customHeight="1">
      <c r="A81" s="20" t="s">
        <v>15</v>
      </c>
      <c r="B81" s="21" t="s">
        <v>16</v>
      </c>
      <c r="C81" s="22">
        <v>753487</v>
      </c>
      <c r="D81" s="23">
        <v>1</v>
      </c>
      <c r="E81" s="24"/>
      <c r="F81" s="21" t="s">
        <v>123</v>
      </c>
      <c r="G81" s="25" t="s">
        <v>124</v>
      </c>
      <c r="H81" s="6"/>
      <c r="I81" s="7"/>
      <c r="J81" s="7"/>
      <c r="K81" s="7"/>
      <c r="L81" s="7"/>
      <c r="M81" s="7"/>
      <c r="N81" t="str">
        <f>_xlfn.CONCAT(D81,"_",F81)</f>
        <v>1_B03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5" customHeight="1">
      <c r="A82" s="20" t="s">
        <v>15</v>
      </c>
      <c r="B82" s="21" t="s">
        <v>16</v>
      </c>
      <c r="C82" s="22">
        <v>753853</v>
      </c>
      <c r="D82" s="23">
        <v>1</v>
      </c>
      <c r="E82" s="24"/>
      <c r="F82" s="21" t="s">
        <v>125</v>
      </c>
      <c r="G82" s="25" t="s">
        <v>126</v>
      </c>
      <c r="H82" s="6"/>
      <c r="I82" s="7"/>
      <c r="J82" s="7"/>
      <c r="K82" s="7"/>
      <c r="L82" s="7"/>
      <c r="M82" s="7"/>
      <c r="N82" t="str">
        <f>_xlfn.CONCAT(D82,"_",F82)</f>
        <v>1_C03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5" customHeight="1">
      <c r="A83" s="20" t="s">
        <v>15</v>
      </c>
      <c r="B83" s="21" t="s">
        <v>16</v>
      </c>
      <c r="C83" s="22">
        <v>753633</v>
      </c>
      <c r="D83" s="23">
        <v>1</v>
      </c>
      <c r="E83" s="24"/>
      <c r="F83" s="21" t="s">
        <v>86</v>
      </c>
      <c r="G83" s="25" t="s">
        <v>127</v>
      </c>
      <c r="H83" s="6"/>
      <c r="I83" s="7"/>
      <c r="J83" s="7"/>
      <c r="K83" s="7"/>
      <c r="L83" s="7"/>
      <c r="M83" s="7"/>
      <c r="N83" t="str">
        <f>_xlfn.CONCAT(D83,"_",F83)</f>
        <v>1_D03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5" customHeight="1">
      <c r="A84" s="20" t="s">
        <v>15</v>
      </c>
      <c r="B84" s="21" t="s">
        <v>16</v>
      </c>
      <c r="C84" s="22">
        <v>753486</v>
      </c>
      <c r="D84" s="23">
        <v>1</v>
      </c>
      <c r="E84" s="24"/>
      <c r="F84" s="21" t="s">
        <v>87</v>
      </c>
      <c r="G84" s="25" t="s">
        <v>128</v>
      </c>
      <c r="H84" s="6"/>
      <c r="I84" s="7"/>
      <c r="J84" s="7"/>
      <c r="K84" s="7"/>
      <c r="L84" s="7"/>
      <c r="M84" s="7"/>
      <c r="N84" t="str">
        <f>_xlfn.CONCAT(D84,"_",F84)</f>
        <v>1_E03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5" customHeight="1">
      <c r="A85" s="20" t="s">
        <v>15</v>
      </c>
      <c r="B85" s="21" t="s">
        <v>16</v>
      </c>
      <c r="C85" s="22">
        <v>753852</v>
      </c>
      <c r="D85" s="23">
        <v>1</v>
      </c>
      <c r="E85" s="24"/>
      <c r="F85" s="21" t="s">
        <v>88</v>
      </c>
      <c r="G85" s="25" t="s">
        <v>129</v>
      </c>
      <c r="H85" s="6"/>
      <c r="I85" s="7"/>
      <c r="J85" s="7"/>
      <c r="K85" s="7"/>
      <c r="L85" s="7"/>
      <c r="M85" s="7"/>
      <c r="N85" t="str">
        <f>_xlfn.CONCAT(D85,"_",F85)</f>
        <v>1_F03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5" customHeight="1">
      <c r="A86" s="20" t="s">
        <v>15</v>
      </c>
      <c r="B86" s="21" t="s">
        <v>16</v>
      </c>
      <c r="C86" s="22">
        <v>753632</v>
      </c>
      <c r="D86" s="23">
        <v>1</v>
      </c>
      <c r="E86" s="24"/>
      <c r="F86" s="21" t="s">
        <v>89</v>
      </c>
      <c r="G86" s="25" t="s">
        <v>130</v>
      </c>
      <c r="H86" s="6"/>
      <c r="I86" s="7"/>
      <c r="J86" s="7"/>
      <c r="K86" s="7"/>
      <c r="L86" s="7"/>
      <c r="M86" s="7"/>
      <c r="N86" t="str">
        <f>_xlfn.CONCAT(D86,"_",F86)</f>
        <v>1_G03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5" customHeight="1">
      <c r="A87" s="20" t="s">
        <v>15</v>
      </c>
      <c r="B87" s="21" t="s">
        <v>16</v>
      </c>
      <c r="C87" s="22">
        <v>754013</v>
      </c>
      <c r="D87" s="23">
        <v>1</v>
      </c>
      <c r="E87" s="24"/>
      <c r="F87" s="21" t="s">
        <v>90</v>
      </c>
      <c r="G87" s="25" t="s">
        <v>131</v>
      </c>
      <c r="H87" s="6"/>
      <c r="I87" s="7"/>
      <c r="J87" s="7"/>
      <c r="K87" s="7"/>
      <c r="L87" s="7"/>
      <c r="M87" s="7"/>
      <c r="N87" t="str">
        <f>_xlfn.CONCAT(D87,"_",F87)</f>
        <v>1_H03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5" customHeight="1">
      <c r="A88" s="20" t="s">
        <v>15</v>
      </c>
      <c r="B88" s="21" t="s">
        <v>16</v>
      </c>
      <c r="C88" s="22">
        <v>753859</v>
      </c>
      <c r="D88" s="23">
        <v>1</v>
      </c>
      <c r="E88" s="24"/>
      <c r="F88" s="21" t="s">
        <v>132</v>
      </c>
      <c r="G88" s="25" t="s">
        <v>133</v>
      </c>
      <c r="H88" s="6"/>
      <c r="I88" s="7"/>
      <c r="J88" s="7"/>
      <c r="K88" s="7"/>
      <c r="L88" s="7"/>
      <c r="M88" s="7"/>
      <c r="N88" t="str">
        <f>_xlfn.CONCAT(D88,"_",F88)</f>
        <v>1_A04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5" customHeight="1">
      <c r="A89" s="20" t="s">
        <v>15</v>
      </c>
      <c r="B89" s="21" t="s">
        <v>16</v>
      </c>
      <c r="C89" s="22">
        <v>754012</v>
      </c>
      <c r="D89" s="23">
        <v>1</v>
      </c>
      <c r="E89" s="24"/>
      <c r="F89" s="21" t="s">
        <v>134</v>
      </c>
      <c r="G89" s="25" t="s">
        <v>135</v>
      </c>
      <c r="H89" s="6"/>
      <c r="I89" s="7"/>
      <c r="J89" s="7"/>
      <c r="K89" s="7"/>
      <c r="L89" s="7"/>
      <c r="M89" s="7"/>
      <c r="N89" t="str">
        <f>_xlfn.CONCAT(D89,"_",F89)</f>
        <v>1_B04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5" customHeight="1">
      <c r="A90" s="20" t="s">
        <v>15</v>
      </c>
      <c r="B90" s="21" t="s">
        <v>16</v>
      </c>
      <c r="C90" s="22">
        <v>753860</v>
      </c>
      <c r="D90" s="23">
        <v>1</v>
      </c>
      <c r="E90" s="24"/>
      <c r="F90" s="21" t="s">
        <v>136</v>
      </c>
      <c r="G90" s="25" t="s">
        <v>137</v>
      </c>
      <c r="H90" s="6"/>
      <c r="I90" s="7"/>
      <c r="J90" s="7"/>
      <c r="K90" s="7"/>
      <c r="L90" s="7"/>
      <c r="M90" s="7"/>
      <c r="N90" t="str">
        <f>_xlfn.CONCAT(D90,"_",F90)</f>
        <v>1_C04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5" customHeight="1">
      <c r="A91" s="20" t="s">
        <v>15</v>
      </c>
      <c r="B91" s="21" t="s">
        <v>16</v>
      </c>
      <c r="C91" s="22">
        <v>753488</v>
      </c>
      <c r="D91" s="23">
        <v>1</v>
      </c>
      <c r="E91" s="24"/>
      <c r="F91" s="21" t="s">
        <v>138</v>
      </c>
      <c r="G91" s="25" t="s">
        <v>139</v>
      </c>
      <c r="H91" s="6"/>
      <c r="I91" s="7"/>
      <c r="J91" s="7"/>
      <c r="K91" s="7"/>
      <c r="L91" s="7"/>
      <c r="M91" s="7"/>
      <c r="N91" t="str">
        <f>_xlfn.CONCAT(D91,"_",F91)</f>
        <v>1_D04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5" customHeight="1">
      <c r="A92" s="20" t="s">
        <v>15</v>
      </c>
      <c r="B92" s="21" t="s">
        <v>16</v>
      </c>
      <c r="C92" s="22">
        <v>753854</v>
      </c>
      <c r="D92" s="23">
        <v>1</v>
      </c>
      <c r="E92" s="24"/>
      <c r="F92" s="21" t="s">
        <v>140</v>
      </c>
      <c r="G92" s="25" t="s">
        <v>141</v>
      </c>
      <c r="H92" s="6"/>
      <c r="I92" s="7"/>
      <c r="J92" s="7"/>
      <c r="K92" s="7"/>
      <c r="L92" s="7"/>
      <c r="M92" s="7"/>
      <c r="N92" t="str">
        <f>_xlfn.CONCAT(D92,"_",F92)</f>
        <v>1_E04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5" customHeight="1">
      <c r="A93" s="20" t="s">
        <v>15</v>
      </c>
      <c r="B93" s="21" t="s">
        <v>16</v>
      </c>
      <c r="C93" s="22">
        <v>753634</v>
      </c>
      <c r="D93" s="23">
        <v>1</v>
      </c>
      <c r="E93" s="24"/>
      <c r="F93" s="21" t="s">
        <v>142</v>
      </c>
      <c r="G93" s="25" t="s">
        <v>143</v>
      </c>
      <c r="H93" s="6"/>
      <c r="I93" s="7"/>
      <c r="J93" s="7"/>
      <c r="K93" s="7"/>
      <c r="L93" s="7"/>
      <c r="M93" s="7"/>
      <c r="N93" t="str">
        <f>_xlfn.CONCAT(D93,"_",F93)</f>
        <v>1_F04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5" customHeight="1">
      <c r="A94" s="20" t="s">
        <v>15</v>
      </c>
      <c r="B94" s="21" t="s">
        <v>16</v>
      </c>
      <c r="C94" s="22">
        <v>753561</v>
      </c>
      <c r="D94" s="23">
        <v>1</v>
      </c>
      <c r="E94" s="24"/>
      <c r="F94" s="21" t="s">
        <v>144</v>
      </c>
      <c r="G94" s="25" t="s">
        <v>145</v>
      </c>
      <c r="H94" s="6"/>
      <c r="I94" s="7"/>
      <c r="J94" s="7"/>
      <c r="K94" s="7"/>
      <c r="L94" s="7"/>
      <c r="M94" s="7"/>
      <c r="N94" t="str">
        <f>_xlfn.CONCAT(D94,"_",F94)</f>
        <v>1_G04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5" customHeight="1">
      <c r="A95" s="20" t="s">
        <v>15</v>
      </c>
      <c r="B95" s="21" t="s">
        <v>16</v>
      </c>
      <c r="C95" s="22">
        <v>753562</v>
      </c>
      <c r="D95" s="23">
        <v>1</v>
      </c>
      <c r="E95" s="24"/>
      <c r="F95" s="21" t="s">
        <v>146</v>
      </c>
      <c r="G95" s="25" t="s">
        <v>147</v>
      </c>
      <c r="H95" s="6"/>
      <c r="I95" s="7"/>
      <c r="J95" s="7"/>
      <c r="K95" s="7"/>
      <c r="L95" s="7"/>
      <c r="M95" s="7"/>
      <c r="N95" t="str">
        <f>_xlfn.CONCAT(D95,"_",F95)</f>
        <v>1_H04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5" customHeight="1">
      <c r="A96" s="20" t="s">
        <v>15</v>
      </c>
      <c r="B96" s="21" t="s">
        <v>16</v>
      </c>
      <c r="C96" s="22">
        <v>753563</v>
      </c>
      <c r="D96" s="23">
        <v>1</v>
      </c>
      <c r="E96" s="24"/>
      <c r="F96" s="21" t="s">
        <v>148</v>
      </c>
      <c r="G96" s="25" t="s">
        <v>149</v>
      </c>
      <c r="H96" s="6"/>
      <c r="I96" s="7"/>
      <c r="J96" s="7"/>
      <c r="K96" s="7"/>
      <c r="L96" s="7"/>
      <c r="M96" s="7"/>
      <c r="N96" t="str">
        <f>_xlfn.CONCAT(D96,"_",F96)</f>
        <v>1_A05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5" customHeight="1">
      <c r="A97" s="20" t="s">
        <v>15</v>
      </c>
      <c r="B97" s="21" t="s">
        <v>16</v>
      </c>
      <c r="C97" s="22">
        <v>753564</v>
      </c>
      <c r="D97" s="23">
        <v>1</v>
      </c>
      <c r="E97" s="24"/>
      <c r="F97" s="21" t="s">
        <v>150</v>
      </c>
      <c r="G97" s="25" t="s">
        <v>151</v>
      </c>
      <c r="H97" s="6"/>
      <c r="I97" s="7"/>
      <c r="J97" s="7"/>
      <c r="K97" s="7"/>
      <c r="L97" s="7"/>
      <c r="M97" s="7"/>
      <c r="N97" t="str">
        <f>_xlfn.CONCAT(D97,"_",F97)</f>
        <v>1_B05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5" customHeight="1">
      <c r="A98" s="20" t="s">
        <v>15</v>
      </c>
      <c r="B98" s="21" t="s">
        <v>16</v>
      </c>
      <c r="C98" s="22">
        <v>753569</v>
      </c>
      <c r="D98" s="23">
        <v>1</v>
      </c>
      <c r="E98" s="24"/>
      <c r="F98" s="21" t="s">
        <v>152</v>
      </c>
      <c r="G98" s="25" t="s">
        <v>153</v>
      </c>
      <c r="H98" s="6"/>
      <c r="I98" s="7"/>
      <c r="J98" s="7"/>
      <c r="K98" s="7"/>
      <c r="L98" s="7"/>
      <c r="M98" s="7"/>
      <c r="N98" t="str">
        <f>_xlfn.CONCAT(D98,"_",F98)</f>
        <v>1_G05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5" customHeight="1">
      <c r="A99" s="20" t="s">
        <v>15</v>
      </c>
      <c r="B99" s="21" t="s">
        <v>16</v>
      </c>
      <c r="C99" s="22">
        <v>753570</v>
      </c>
      <c r="D99" s="23">
        <v>1</v>
      </c>
      <c r="E99" s="24"/>
      <c r="F99" s="21" t="s">
        <v>154</v>
      </c>
      <c r="G99" s="25" t="s">
        <v>155</v>
      </c>
      <c r="H99" s="6"/>
      <c r="I99" s="7"/>
      <c r="J99" s="7"/>
      <c r="K99" s="7"/>
      <c r="L99" s="7"/>
      <c r="M99" s="7"/>
      <c r="N99" t="str">
        <f>_xlfn.CONCAT(D99,"_",F99)</f>
        <v>1_H05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5" customHeight="1">
      <c r="A100" s="20" t="s">
        <v>15</v>
      </c>
      <c r="B100" s="21" t="s">
        <v>16</v>
      </c>
      <c r="C100" s="22">
        <v>753571</v>
      </c>
      <c r="D100" s="23">
        <v>1</v>
      </c>
      <c r="E100" s="24"/>
      <c r="F100" s="21" t="s">
        <v>156</v>
      </c>
      <c r="G100" s="25" t="s">
        <v>157</v>
      </c>
      <c r="H100" s="6"/>
      <c r="I100" s="7"/>
      <c r="J100" s="7"/>
      <c r="K100" s="7"/>
      <c r="L100" s="7"/>
      <c r="M100" s="7"/>
      <c r="N100" t="str">
        <f>_xlfn.CONCAT(D100,"_",F100)</f>
        <v>1_A06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5" customHeight="1">
      <c r="A101" s="20" t="s">
        <v>15</v>
      </c>
      <c r="B101" s="21" t="s">
        <v>16</v>
      </c>
      <c r="C101" s="22">
        <v>753572</v>
      </c>
      <c r="D101" s="23">
        <v>1</v>
      </c>
      <c r="E101" s="24"/>
      <c r="F101" s="21" t="s">
        <v>158</v>
      </c>
      <c r="G101" s="25" t="s">
        <v>159</v>
      </c>
      <c r="H101" s="6"/>
      <c r="I101" s="7"/>
      <c r="J101" s="7"/>
      <c r="K101" s="7"/>
      <c r="L101" s="7"/>
      <c r="M101" s="7"/>
      <c r="N101" t="str">
        <f>_xlfn.CONCAT(D101,"_",F101)</f>
        <v>1_B06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5" customHeight="1">
      <c r="A102" s="20" t="s">
        <v>15</v>
      </c>
      <c r="B102" s="21" t="s">
        <v>16</v>
      </c>
      <c r="C102" s="22">
        <v>753573</v>
      </c>
      <c r="D102" s="23">
        <v>1</v>
      </c>
      <c r="E102" s="24"/>
      <c r="F102" s="21" t="s">
        <v>160</v>
      </c>
      <c r="G102" s="25" t="s">
        <v>161</v>
      </c>
      <c r="H102" s="6"/>
      <c r="I102" s="7"/>
      <c r="J102" s="7"/>
      <c r="K102" s="7"/>
      <c r="L102" s="7"/>
      <c r="M102" s="7"/>
      <c r="N102" t="str">
        <f>_xlfn.CONCAT(D102,"_",F102)</f>
        <v>1_C06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5" customHeight="1">
      <c r="A103" s="20" t="s">
        <v>15</v>
      </c>
      <c r="B103" s="21" t="s">
        <v>16</v>
      </c>
      <c r="C103" s="22">
        <v>753590</v>
      </c>
      <c r="D103" s="23">
        <v>1</v>
      </c>
      <c r="E103" s="24"/>
      <c r="F103" s="21" t="s">
        <v>162</v>
      </c>
      <c r="G103" s="25" t="s">
        <v>163</v>
      </c>
      <c r="H103" s="6"/>
      <c r="I103" s="7"/>
      <c r="J103" s="7"/>
      <c r="K103" s="7"/>
      <c r="L103" s="7"/>
      <c r="M103" s="7"/>
      <c r="N103" t="str">
        <f>_xlfn.CONCAT(D103,"_",F103)</f>
        <v>1_G06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5" customHeight="1">
      <c r="A104" s="20" t="s">
        <v>15</v>
      </c>
      <c r="B104" s="21" t="s">
        <v>16</v>
      </c>
      <c r="C104" s="22">
        <v>753591</v>
      </c>
      <c r="D104" s="23">
        <v>1</v>
      </c>
      <c r="E104" s="24"/>
      <c r="F104" s="21" t="s">
        <v>164</v>
      </c>
      <c r="G104" s="25" t="s">
        <v>165</v>
      </c>
      <c r="H104" s="6"/>
      <c r="I104" s="7"/>
      <c r="J104" s="7"/>
      <c r="K104" s="7"/>
      <c r="L104" s="7"/>
      <c r="M104" s="7"/>
      <c r="N104" t="str">
        <f>_xlfn.CONCAT(D104,"_",F104)</f>
        <v>1_H06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5" customHeight="1">
      <c r="A105" s="20" t="s">
        <v>15</v>
      </c>
      <c r="B105" s="21" t="s">
        <v>16</v>
      </c>
      <c r="C105" s="22">
        <v>753592</v>
      </c>
      <c r="D105" s="23">
        <v>1</v>
      </c>
      <c r="E105" s="24"/>
      <c r="F105" s="21" t="s">
        <v>166</v>
      </c>
      <c r="G105" s="25" t="s">
        <v>167</v>
      </c>
      <c r="H105" s="6"/>
      <c r="I105" s="7"/>
      <c r="J105" s="7"/>
      <c r="K105" s="7"/>
      <c r="L105" s="7"/>
      <c r="M105" s="7"/>
      <c r="N105" t="str">
        <f>_xlfn.CONCAT(D105,"_",F105)</f>
        <v>1_A07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5" customHeight="1">
      <c r="A106" s="20" t="s">
        <v>15</v>
      </c>
      <c r="B106" s="21" t="s">
        <v>16</v>
      </c>
      <c r="C106" s="22">
        <v>753584</v>
      </c>
      <c r="D106" s="23">
        <v>1</v>
      </c>
      <c r="E106" s="24"/>
      <c r="F106" s="21" t="s">
        <v>168</v>
      </c>
      <c r="G106" s="25" t="s">
        <v>169</v>
      </c>
      <c r="H106" s="6"/>
      <c r="I106" s="7"/>
      <c r="J106" s="7"/>
      <c r="K106" s="7"/>
      <c r="L106" s="7"/>
      <c r="M106" s="7"/>
      <c r="N106" t="str">
        <f>_xlfn.CONCAT(D106,"_",F106)</f>
        <v>1_B07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5" customHeight="1">
      <c r="A107" s="20" t="s">
        <v>15</v>
      </c>
      <c r="B107" s="21" t="s">
        <v>16</v>
      </c>
      <c r="C107" s="22">
        <v>753583</v>
      </c>
      <c r="D107" s="23">
        <v>1</v>
      </c>
      <c r="E107" s="24"/>
      <c r="F107" s="21" t="s">
        <v>43</v>
      </c>
      <c r="G107" s="25" t="s">
        <v>44</v>
      </c>
      <c r="H107" s="6"/>
      <c r="I107" s="7"/>
      <c r="J107" s="7"/>
      <c r="K107" s="7"/>
      <c r="L107" s="7"/>
      <c r="M107" s="7"/>
      <c r="N107" t="str">
        <f>_xlfn.CONCAT(D107,"_",F107)</f>
        <v>1_C07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5" customHeight="1">
      <c r="A108" s="20" t="s">
        <v>15</v>
      </c>
      <c r="B108" s="21" t="s">
        <v>16</v>
      </c>
      <c r="C108" s="22">
        <v>753582</v>
      </c>
      <c r="D108" s="23">
        <v>1</v>
      </c>
      <c r="E108" s="24"/>
      <c r="F108" s="21" t="s">
        <v>45</v>
      </c>
      <c r="G108" s="25" t="s">
        <v>46</v>
      </c>
      <c r="H108" s="6"/>
      <c r="I108" s="7"/>
      <c r="J108" s="7"/>
      <c r="K108" s="7"/>
      <c r="L108" s="7"/>
      <c r="M108" s="7"/>
      <c r="N108" t="str">
        <f>_xlfn.CONCAT(D108,"_",F108)</f>
        <v>1_D07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5" customHeight="1">
      <c r="A109" s="20" t="s">
        <v>15</v>
      </c>
      <c r="B109" s="21" t="s">
        <v>16</v>
      </c>
      <c r="C109" s="22">
        <v>753566</v>
      </c>
      <c r="D109" s="23">
        <v>1</v>
      </c>
      <c r="E109" s="24"/>
      <c r="F109" s="21" t="s">
        <v>170</v>
      </c>
      <c r="G109" s="25" t="s">
        <v>171</v>
      </c>
      <c r="H109" s="6"/>
      <c r="I109" s="7"/>
      <c r="J109" s="7"/>
      <c r="K109" s="7"/>
      <c r="L109" s="7"/>
      <c r="M109" s="7"/>
      <c r="N109" t="str">
        <f>_xlfn.CONCAT(D109,"_",F109)</f>
        <v>1_E07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5" customHeight="1">
      <c r="A110" s="20" t="s">
        <v>15</v>
      </c>
      <c r="B110" s="21" t="s">
        <v>16</v>
      </c>
      <c r="C110" s="22">
        <v>753577</v>
      </c>
      <c r="D110" s="23">
        <v>1</v>
      </c>
      <c r="E110" s="24"/>
      <c r="F110" s="21" t="s">
        <v>172</v>
      </c>
      <c r="G110" s="25" t="s">
        <v>173</v>
      </c>
      <c r="H110" s="8"/>
      <c r="I110" s="7"/>
      <c r="J110" s="7"/>
      <c r="K110" s="7"/>
      <c r="L110" s="7"/>
      <c r="M110" s="7"/>
      <c r="N110" t="str">
        <f>_xlfn.CONCAT(D110,"_",F110)</f>
        <v>1_C08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5" customHeight="1">
      <c r="A111" s="20" t="s">
        <v>15</v>
      </c>
      <c r="B111" s="21" t="s">
        <v>16</v>
      </c>
      <c r="C111" s="22">
        <v>753578</v>
      </c>
      <c r="D111" s="23">
        <v>1</v>
      </c>
      <c r="E111" s="24"/>
      <c r="F111" s="21" t="s">
        <v>174</v>
      </c>
      <c r="G111" s="25" t="s">
        <v>175</v>
      </c>
      <c r="H111" s="6"/>
      <c r="I111" s="7"/>
      <c r="J111" s="7"/>
      <c r="K111" s="7"/>
      <c r="L111" s="7"/>
      <c r="M111" s="7"/>
      <c r="N111" t="str">
        <f>_xlfn.CONCAT(D111,"_",F111)</f>
        <v>1_D08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5" customHeight="1">
      <c r="A112" s="20" t="s">
        <v>15</v>
      </c>
      <c r="B112" s="21" t="s">
        <v>16</v>
      </c>
      <c r="C112" s="22">
        <v>753579</v>
      </c>
      <c r="D112" s="23">
        <v>1</v>
      </c>
      <c r="E112" s="24"/>
      <c r="F112" s="21" t="s">
        <v>176</v>
      </c>
      <c r="G112" s="25" t="s">
        <v>177</v>
      </c>
      <c r="H112" s="6"/>
      <c r="I112" s="7"/>
      <c r="J112" s="7"/>
      <c r="K112" s="7"/>
      <c r="L112" s="7"/>
      <c r="M112" s="7"/>
      <c r="N112" t="str">
        <f>_xlfn.CONCAT(D112,"_",F112)</f>
        <v>1_E08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5" customHeight="1">
      <c r="A113" s="20" t="s">
        <v>15</v>
      </c>
      <c r="B113" s="21" t="s">
        <v>16</v>
      </c>
      <c r="C113" s="22">
        <v>753580</v>
      </c>
      <c r="D113" s="23">
        <v>1</v>
      </c>
      <c r="E113" s="24"/>
      <c r="F113" s="21" t="s">
        <v>178</v>
      </c>
      <c r="G113" s="25" t="s">
        <v>179</v>
      </c>
      <c r="H113" s="6"/>
      <c r="I113" s="7"/>
      <c r="J113" s="7"/>
      <c r="K113" s="7"/>
      <c r="L113" s="7"/>
      <c r="M113" s="7"/>
      <c r="N113" t="str">
        <f>_xlfn.CONCAT(D113,"_",F113)</f>
        <v>1_F08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5" customHeight="1">
      <c r="A114" s="20" t="s">
        <v>15</v>
      </c>
      <c r="B114" s="21" t="s">
        <v>16</v>
      </c>
      <c r="C114" s="22">
        <v>753581</v>
      </c>
      <c r="D114" s="23">
        <v>1</v>
      </c>
      <c r="E114" s="24"/>
      <c r="F114" s="21" t="s">
        <v>180</v>
      </c>
      <c r="G114" s="25" t="s">
        <v>181</v>
      </c>
      <c r="H114" s="6"/>
      <c r="I114" s="7"/>
      <c r="J114" s="7"/>
      <c r="K114" s="7"/>
      <c r="L114" s="7"/>
      <c r="M114" s="7"/>
      <c r="N114" t="str">
        <f>_xlfn.CONCAT(D114,"_",F114)</f>
        <v>1_G08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5" customHeight="1">
      <c r="A115" s="20" t="s">
        <v>15</v>
      </c>
      <c r="B115" s="21" t="s">
        <v>16</v>
      </c>
      <c r="C115" s="22">
        <v>753589</v>
      </c>
      <c r="D115" s="23">
        <v>1</v>
      </c>
      <c r="E115" s="24"/>
      <c r="F115" s="21" t="s">
        <v>182</v>
      </c>
      <c r="G115" s="25" t="s">
        <v>183</v>
      </c>
      <c r="H115" s="6"/>
      <c r="I115" s="7"/>
      <c r="J115" s="7"/>
      <c r="K115" s="7"/>
      <c r="L115" s="7"/>
      <c r="M115" s="7"/>
      <c r="N115" t="str">
        <f>_xlfn.CONCAT(D115,"_",F115)</f>
        <v>1_H08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5" customHeight="1">
      <c r="A116" s="20" t="s">
        <v>15</v>
      </c>
      <c r="B116" s="21" t="s">
        <v>16</v>
      </c>
      <c r="C116" s="22">
        <v>753586</v>
      </c>
      <c r="D116" s="23">
        <v>1</v>
      </c>
      <c r="E116" s="24"/>
      <c r="F116" s="21" t="s">
        <v>184</v>
      </c>
      <c r="G116" s="25" t="s">
        <v>185</v>
      </c>
      <c r="H116" s="7"/>
      <c r="I116" s="7"/>
      <c r="J116" s="7"/>
      <c r="K116" s="7"/>
      <c r="L116" s="7"/>
      <c r="M116" s="7"/>
      <c r="N116" t="str">
        <f>_xlfn.CONCAT(D116,"_",F116)</f>
        <v>1_C09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5" customHeight="1">
      <c r="A117" s="20" t="s">
        <v>15</v>
      </c>
      <c r="B117" s="21" t="s">
        <v>16</v>
      </c>
      <c r="C117" s="22">
        <v>753585</v>
      </c>
      <c r="D117" s="23">
        <v>1</v>
      </c>
      <c r="E117" s="24"/>
      <c r="F117" s="21" t="s">
        <v>186</v>
      </c>
      <c r="G117" s="25" t="s">
        <v>187</v>
      </c>
      <c r="H117" s="7"/>
      <c r="I117" s="7"/>
      <c r="J117" s="7"/>
      <c r="K117" s="7"/>
      <c r="L117" s="7"/>
      <c r="M117" s="7"/>
      <c r="N117" t="str">
        <f>_xlfn.CONCAT(D117,"_",F117)</f>
        <v>1_D09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5" customHeight="1">
      <c r="A118" s="20" t="s">
        <v>15</v>
      </c>
      <c r="B118" s="21" t="s">
        <v>16</v>
      </c>
      <c r="C118" s="22">
        <v>753593</v>
      </c>
      <c r="D118" s="23">
        <v>1</v>
      </c>
      <c r="E118" s="24"/>
      <c r="F118" s="21" t="s">
        <v>188</v>
      </c>
      <c r="G118" s="25" t="s">
        <v>189</v>
      </c>
      <c r="H118" s="7"/>
      <c r="I118" s="7"/>
      <c r="J118" s="7"/>
      <c r="K118" s="7"/>
      <c r="L118" s="7"/>
      <c r="M118" s="7"/>
      <c r="N118" t="str">
        <f>_xlfn.CONCAT(D118,"_",F118)</f>
        <v>1_E09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5" customHeight="1">
      <c r="A119" s="20" t="s">
        <v>15</v>
      </c>
      <c r="B119" s="21" t="s">
        <v>16</v>
      </c>
      <c r="C119" s="22">
        <v>753594</v>
      </c>
      <c r="D119" s="23">
        <v>1</v>
      </c>
      <c r="E119" s="24"/>
      <c r="F119" s="21" t="s">
        <v>190</v>
      </c>
      <c r="G119" s="25" t="s">
        <v>191</v>
      </c>
      <c r="H119" s="7"/>
      <c r="I119" s="7"/>
      <c r="J119" s="7"/>
      <c r="K119" s="7"/>
      <c r="L119" s="7"/>
      <c r="M119" s="7"/>
      <c r="N119" t="str">
        <f>_xlfn.CONCAT(D119,"_",F119)</f>
        <v>1_F09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5" customHeight="1">
      <c r="A120" s="20" t="s">
        <v>15</v>
      </c>
      <c r="B120" s="21" t="s">
        <v>16</v>
      </c>
      <c r="C120" s="22">
        <v>753595</v>
      </c>
      <c r="D120" s="23">
        <v>1</v>
      </c>
      <c r="E120" s="24"/>
      <c r="F120" s="21" t="s">
        <v>192</v>
      </c>
      <c r="G120" s="25" t="s">
        <v>193</v>
      </c>
      <c r="H120" s="7"/>
      <c r="I120" s="7"/>
      <c r="J120" s="7"/>
      <c r="K120" s="7"/>
      <c r="L120" s="7"/>
      <c r="M120" s="7"/>
      <c r="N120" t="str">
        <f>_xlfn.CONCAT(D120,"_",F120)</f>
        <v>1_G09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5" customHeight="1">
      <c r="A121" s="20" t="s">
        <v>15</v>
      </c>
      <c r="B121" s="21" t="s">
        <v>16</v>
      </c>
      <c r="C121" s="22">
        <v>753596</v>
      </c>
      <c r="D121" s="23">
        <v>1</v>
      </c>
      <c r="E121" s="24"/>
      <c r="F121" s="21" t="s">
        <v>194</v>
      </c>
      <c r="G121" s="25" t="s">
        <v>195</v>
      </c>
      <c r="H121" s="7"/>
      <c r="I121" s="7"/>
      <c r="J121" s="7"/>
      <c r="K121" s="7"/>
      <c r="L121" s="7"/>
      <c r="M121" s="7"/>
      <c r="N121" t="str">
        <f>_xlfn.CONCAT(D121,"_",F121)</f>
        <v>1_H09</v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5" customHeight="1">
      <c r="A122" s="20" t="s">
        <v>15</v>
      </c>
      <c r="B122" s="21" t="s">
        <v>16</v>
      </c>
      <c r="C122" s="22">
        <v>753597</v>
      </c>
      <c r="D122" s="23">
        <v>1</v>
      </c>
      <c r="E122" s="24"/>
      <c r="F122" s="21" t="s">
        <v>196</v>
      </c>
      <c r="G122" s="25" t="s">
        <v>197</v>
      </c>
      <c r="H122" s="7"/>
      <c r="I122" s="7"/>
      <c r="J122" s="7"/>
      <c r="K122" s="7"/>
      <c r="L122" s="7"/>
      <c r="M122" s="7"/>
      <c r="N122" t="str">
        <f>_xlfn.CONCAT(D122,"_",F122)</f>
        <v>1_A10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5" customHeight="1">
      <c r="A123" s="20" t="s">
        <v>15</v>
      </c>
      <c r="B123" s="21" t="s">
        <v>16</v>
      </c>
      <c r="C123" s="22">
        <v>753605</v>
      </c>
      <c r="D123" s="23">
        <v>1</v>
      </c>
      <c r="E123" s="24"/>
      <c r="F123" s="21" t="s">
        <v>198</v>
      </c>
      <c r="G123" s="25" t="s">
        <v>199</v>
      </c>
      <c r="H123" s="7"/>
      <c r="I123" s="7"/>
      <c r="J123" s="7"/>
      <c r="K123" s="7"/>
      <c r="L123" s="7"/>
      <c r="M123" s="7"/>
      <c r="N123" t="str">
        <f>_xlfn.CONCAT(D123,"_",F123)</f>
        <v>1_B10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5" customHeight="1">
      <c r="A124" s="20" t="s">
        <v>15</v>
      </c>
      <c r="B124" s="21" t="s">
        <v>16</v>
      </c>
      <c r="C124" s="22">
        <v>753604</v>
      </c>
      <c r="D124" s="23">
        <v>1</v>
      </c>
      <c r="E124" s="24"/>
      <c r="F124" s="21" t="s">
        <v>200</v>
      </c>
      <c r="G124" s="25" t="s">
        <v>201</v>
      </c>
      <c r="H124" s="7"/>
      <c r="I124" s="7"/>
      <c r="J124" s="7"/>
      <c r="K124" s="7"/>
      <c r="L124" s="7"/>
      <c r="M124" s="7"/>
      <c r="N124" t="str">
        <f>_xlfn.CONCAT(D124,"_",F124)</f>
        <v>1_C10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5" customHeight="1">
      <c r="A125" s="20" t="s">
        <v>15</v>
      </c>
      <c r="B125" s="21" t="s">
        <v>16</v>
      </c>
      <c r="C125" s="22">
        <v>753603</v>
      </c>
      <c r="D125" s="23">
        <v>1</v>
      </c>
      <c r="E125" s="24"/>
      <c r="F125" s="21" t="s">
        <v>202</v>
      </c>
      <c r="G125" s="25" t="s">
        <v>203</v>
      </c>
      <c r="H125" s="7"/>
      <c r="I125" s="7"/>
      <c r="J125" s="7"/>
      <c r="K125" s="7"/>
      <c r="L125" s="7"/>
      <c r="M125" s="7"/>
      <c r="N125" t="str">
        <f>_xlfn.CONCAT(D125,"_",F125)</f>
        <v>1_D10</v>
      </c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5" customHeight="1">
      <c r="A126" s="20" t="s">
        <v>15</v>
      </c>
      <c r="B126" s="21" t="s">
        <v>16</v>
      </c>
      <c r="C126" s="22">
        <v>753602</v>
      </c>
      <c r="D126" s="23">
        <v>1</v>
      </c>
      <c r="E126" s="24"/>
      <c r="F126" s="21" t="s">
        <v>204</v>
      </c>
      <c r="G126" s="25" t="s">
        <v>205</v>
      </c>
      <c r="H126" s="7"/>
      <c r="I126" s="7"/>
      <c r="J126" s="7"/>
      <c r="K126" s="7"/>
      <c r="L126" s="7"/>
      <c r="M126" s="7"/>
      <c r="N126" t="str">
        <f>_xlfn.CONCAT(D126,"_",F126)</f>
        <v>1_E10</v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5" customHeight="1">
      <c r="A127" s="20" t="s">
        <v>15</v>
      </c>
      <c r="B127" s="21" t="s">
        <v>16</v>
      </c>
      <c r="C127" s="22">
        <v>753601</v>
      </c>
      <c r="D127" s="23">
        <v>1</v>
      </c>
      <c r="E127" s="24"/>
      <c r="F127" s="21" t="s">
        <v>206</v>
      </c>
      <c r="G127" s="25" t="s">
        <v>207</v>
      </c>
      <c r="H127" s="7"/>
      <c r="I127" s="7"/>
      <c r="J127" s="7"/>
      <c r="K127" s="7"/>
      <c r="L127" s="7"/>
      <c r="M127" s="7"/>
      <c r="N127" t="str">
        <f>_xlfn.CONCAT(D127,"_",F127)</f>
        <v>1_F10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5" customHeight="1">
      <c r="A128" s="20" t="s">
        <v>15</v>
      </c>
      <c r="B128" s="21" t="s">
        <v>16</v>
      </c>
      <c r="C128" s="22">
        <v>753598</v>
      </c>
      <c r="D128" s="23">
        <v>1</v>
      </c>
      <c r="E128" s="24"/>
      <c r="F128" s="21" t="s">
        <v>91</v>
      </c>
      <c r="G128" s="25" t="s">
        <v>208</v>
      </c>
      <c r="H128" s="7"/>
      <c r="I128" s="7"/>
      <c r="J128" s="7"/>
      <c r="K128" s="7"/>
      <c r="L128" s="7"/>
      <c r="M128" s="7"/>
      <c r="N128" t="str">
        <f>_xlfn.CONCAT(D128,"_",F128)</f>
        <v>1_G10</v>
      </c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5" customHeight="1">
      <c r="A129" s="20" t="s">
        <v>15</v>
      </c>
      <c r="B129" s="21" t="s">
        <v>16</v>
      </c>
      <c r="C129" s="22">
        <v>753599</v>
      </c>
      <c r="D129" s="23">
        <v>1</v>
      </c>
      <c r="E129" s="24"/>
      <c r="F129" s="21" t="s">
        <v>92</v>
      </c>
      <c r="G129" s="25" t="s">
        <v>209</v>
      </c>
      <c r="H129" s="7"/>
      <c r="I129" s="7"/>
      <c r="J129" s="7"/>
      <c r="K129" s="7"/>
      <c r="L129" s="7"/>
      <c r="M129" s="7"/>
      <c r="N129" t="str">
        <f>_xlfn.CONCAT(D129,"_",F129)</f>
        <v>1_H10</v>
      </c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5" customHeight="1">
      <c r="A130" s="20" t="s">
        <v>15</v>
      </c>
      <c r="B130" s="21" t="s">
        <v>16</v>
      </c>
      <c r="C130" s="22">
        <v>753600</v>
      </c>
      <c r="D130" s="23">
        <v>1</v>
      </c>
      <c r="E130" s="24"/>
      <c r="F130" s="21" t="s">
        <v>93</v>
      </c>
      <c r="G130" s="25" t="s">
        <v>210</v>
      </c>
      <c r="H130" s="7"/>
      <c r="I130" s="7"/>
      <c r="J130" s="7"/>
      <c r="K130" s="7"/>
      <c r="L130" s="7"/>
      <c r="M130" s="7"/>
      <c r="N130" t="str">
        <f>_xlfn.CONCAT(D130,"_",F130)</f>
        <v>1_A11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5" customHeight="1">
      <c r="A131" s="20" t="s">
        <v>15</v>
      </c>
      <c r="B131" s="21" t="s">
        <v>16</v>
      </c>
      <c r="C131" s="22">
        <v>753606</v>
      </c>
      <c r="D131" s="23">
        <v>1</v>
      </c>
      <c r="E131" s="24"/>
      <c r="F131" s="21" t="s">
        <v>94</v>
      </c>
      <c r="G131" s="25" t="s">
        <v>211</v>
      </c>
      <c r="H131" s="7"/>
      <c r="I131" s="7"/>
      <c r="J131" s="7"/>
      <c r="K131" s="7"/>
      <c r="L131" s="7"/>
      <c r="M131" s="7"/>
      <c r="N131" t="str">
        <f>_xlfn.CONCAT(D131,"_",F131)</f>
        <v>1_B11</v>
      </c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5" customHeight="1">
      <c r="A132" s="20" t="s">
        <v>15</v>
      </c>
      <c r="B132" s="21" t="s">
        <v>16</v>
      </c>
      <c r="C132" s="22">
        <v>753607</v>
      </c>
      <c r="D132" s="23">
        <v>1</v>
      </c>
      <c r="E132" s="24"/>
      <c r="F132" s="21" t="s">
        <v>49</v>
      </c>
      <c r="G132" s="25" t="s">
        <v>50</v>
      </c>
      <c r="H132" s="7"/>
      <c r="I132" s="7"/>
      <c r="J132" s="7"/>
      <c r="K132" s="7"/>
      <c r="L132" s="7"/>
      <c r="M132" s="7"/>
      <c r="N132" t="str">
        <f>_xlfn.CONCAT(D132,"_",F132)</f>
        <v>1_C11</v>
      </c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5" customHeight="1">
      <c r="A133" s="20" t="s">
        <v>15</v>
      </c>
      <c r="B133" s="21" t="s">
        <v>16</v>
      </c>
      <c r="C133" s="22">
        <v>753608</v>
      </c>
      <c r="D133" s="23">
        <v>1</v>
      </c>
      <c r="E133" s="24"/>
      <c r="F133" s="21" t="s">
        <v>51</v>
      </c>
      <c r="G133" s="25" t="s">
        <v>52</v>
      </c>
      <c r="H133" s="7"/>
      <c r="I133" s="7"/>
      <c r="J133" s="7"/>
      <c r="K133" s="7"/>
      <c r="L133" s="7"/>
      <c r="M133" s="7"/>
      <c r="N133" t="str">
        <f>_xlfn.CONCAT(D133,"_",F133)</f>
        <v>1_D11</v>
      </c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5" customHeight="1">
      <c r="A134" s="20" t="s">
        <v>15</v>
      </c>
      <c r="B134" s="21" t="s">
        <v>16</v>
      </c>
      <c r="C134" s="22">
        <v>753614</v>
      </c>
      <c r="D134" s="23">
        <v>1</v>
      </c>
      <c r="E134" s="24"/>
      <c r="F134" s="21" t="s">
        <v>95</v>
      </c>
      <c r="G134" s="25" t="s">
        <v>212</v>
      </c>
      <c r="H134" s="7"/>
      <c r="I134" s="7"/>
      <c r="J134" s="7"/>
      <c r="K134" s="7"/>
      <c r="L134" s="7"/>
      <c r="M134" s="7"/>
      <c r="N134" t="str">
        <f>_xlfn.CONCAT(D134,"_",F134)</f>
        <v>1_E11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5" customHeight="1">
      <c r="A135" s="20" t="s">
        <v>15</v>
      </c>
      <c r="B135" s="21" t="s">
        <v>16</v>
      </c>
      <c r="C135" s="22">
        <v>753615</v>
      </c>
      <c r="D135" s="23">
        <v>1</v>
      </c>
      <c r="E135" s="24"/>
      <c r="F135" s="21" t="s">
        <v>53</v>
      </c>
      <c r="G135" s="25" t="s">
        <v>54</v>
      </c>
      <c r="H135" s="7"/>
      <c r="I135" s="7"/>
      <c r="J135" s="7"/>
      <c r="K135" s="7"/>
      <c r="L135" s="7"/>
      <c r="M135" s="7"/>
      <c r="N135" t="str">
        <f>_xlfn.CONCAT(D135,"_",F135)</f>
        <v>1_F11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5" customHeight="1">
      <c r="A136" s="20" t="s">
        <v>15</v>
      </c>
      <c r="B136" s="21" t="s">
        <v>16</v>
      </c>
      <c r="C136" s="22">
        <v>753616</v>
      </c>
      <c r="D136" s="23">
        <v>1</v>
      </c>
      <c r="E136" s="24"/>
      <c r="F136" s="21" t="s">
        <v>55</v>
      </c>
      <c r="G136" s="25" t="s">
        <v>56</v>
      </c>
      <c r="H136" s="7"/>
      <c r="I136" s="7"/>
      <c r="J136" s="7"/>
      <c r="K136" s="7"/>
      <c r="L136" s="7"/>
      <c r="M136" s="7"/>
      <c r="N136" t="str">
        <f>_xlfn.CONCAT(D136,"_",F136)</f>
        <v>1_G11</v>
      </c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5" customHeight="1">
      <c r="A137" s="20" t="s">
        <v>15</v>
      </c>
      <c r="B137" s="21" t="s">
        <v>16</v>
      </c>
      <c r="C137" s="22">
        <v>753609</v>
      </c>
      <c r="D137" s="23">
        <v>1</v>
      </c>
      <c r="E137" s="24"/>
      <c r="F137" s="21" t="s">
        <v>57</v>
      </c>
      <c r="G137" s="25" t="s">
        <v>58</v>
      </c>
      <c r="H137" s="7"/>
      <c r="I137" s="7"/>
      <c r="J137" s="7"/>
      <c r="K137" s="7"/>
      <c r="L137" s="7"/>
      <c r="M137" s="7"/>
      <c r="N137" t="str">
        <f>_xlfn.CONCAT(D137,"_",F137)</f>
        <v>1_H11</v>
      </c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5" customHeight="1">
      <c r="A138" s="20" t="s">
        <v>15</v>
      </c>
      <c r="B138" s="21" t="s">
        <v>16</v>
      </c>
      <c r="C138" s="22">
        <v>753610</v>
      </c>
      <c r="D138" s="23">
        <v>1</v>
      </c>
      <c r="E138" s="24"/>
      <c r="F138" s="21" t="s">
        <v>59</v>
      </c>
      <c r="G138" s="25" t="s">
        <v>60</v>
      </c>
      <c r="H138" s="7"/>
      <c r="I138" s="7"/>
      <c r="J138" s="7"/>
      <c r="K138" s="7"/>
      <c r="L138" s="7"/>
      <c r="M138" s="7"/>
      <c r="N138" t="str">
        <f>_xlfn.CONCAT(D138,"_",F138)</f>
        <v>1_A12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5" customHeight="1">
      <c r="A139" s="20" t="s">
        <v>15</v>
      </c>
      <c r="B139" s="21" t="s">
        <v>16</v>
      </c>
      <c r="C139" s="22">
        <v>753611</v>
      </c>
      <c r="D139" s="23">
        <v>1</v>
      </c>
      <c r="E139" s="24"/>
      <c r="F139" s="21" t="s">
        <v>61</v>
      </c>
      <c r="G139" s="25" t="s">
        <v>62</v>
      </c>
      <c r="H139" s="7"/>
      <c r="I139" s="7"/>
      <c r="J139" s="7"/>
      <c r="K139" s="7"/>
      <c r="L139" s="7"/>
      <c r="M139" s="7"/>
      <c r="N139" t="str">
        <f>_xlfn.CONCAT(D139,"_",F139)</f>
        <v>1_B12</v>
      </c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5" customHeight="1">
      <c r="A140" s="20" t="s">
        <v>15</v>
      </c>
      <c r="B140" s="21" t="s">
        <v>16</v>
      </c>
      <c r="C140" s="22">
        <v>753612</v>
      </c>
      <c r="D140" s="23">
        <v>1</v>
      </c>
      <c r="E140" s="24"/>
      <c r="F140" s="21" t="s">
        <v>63</v>
      </c>
      <c r="G140" s="25" t="s">
        <v>64</v>
      </c>
      <c r="H140" s="7"/>
      <c r="I140" s="7"/>
      <c r="J140" s="7"/>
      <c r="K140" s="7"/>
      <c r="L140" s="7"/>
      <c r="M140" s="7"/>
      <c r="N140" t="str">
        <f>_xlfn.CONCAT(D140,"_",F140)</f>
        <v>1_C12</v>
      </c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5" customHeight="1">
      <c r="A141" s="20" t="s">
        <v>15</v>
      </c>
      <c r="B141" s="21" t="s">
        <v>16</v>
      </c>
      <c r="C141" s="22">
        <v>753613</v>
      </c>
      <c r="D141" s="23">
        <v>1</v>
      </c>
      <c r="E141" s="24"/>
      <c r="F141" s="21" t="s">
        <v>65</v>
      </c>
      <c r="G141" s="25" t="s">
        <v>66</v>
      </c>
      <c r="H141" s="7"/>
      <c r="I141" s="7"/>
      <c r="J141" s="7"/>
      <c r="K141" s="7"/>
      <c r="L141" s="7"/>
      <c r="M141" s="7"/>
      <c r="N141" t="str">
        <f>_xlfn.CONCAT(D141,"_",F141)</f>
        <v>1_D12</v>
      </c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5" customHeight="1">
      <c r="A142" s="20" t="s">
        <v>15</v>
      </c>
      <c r="B142" s="21" t="s">
        <v>16</v>
      </c>
      <c r="C142" s="22">
        <v>753622</v>
      </c>
      <c r="D142" s="23">
        <v>1</v>
      </c>
      <c r="E142" s="24"/>
      <c r="F142" s="21" t="s">
        <v>67</v>
      </c>
      <c r="G142" s="25" t="s">
        <v>68</v>
      </c>
      <c r="H142" s="7"/>
      <c r="I142" s="7"/>
      <c r="J142" s="7"/>
      <c r="K142" s="7"/>
      <c r="L142" s="7"/>
      <c r="M142" s="7"/>
      <c r="N142" t="str">
        <f>_xlfn.CONCAT(D142,"_",F142)</f>
        <v>1_E12</v>
      </c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5" customHeight="1">
      <c r="A143" s="20" t="s">
        <v>15</v>
      </c>
      <c r="B143" s="21" t="s">
        <v>16</v>
      </c>
      <c r="C143" s="22">
        <v>753623</v>
      </c>
      <c r="D143" s="23">
        <v>1</v>
      </c>
      <c r="E143" s="24"/>
      <c r="F143" s="21" t="s">
        <v>96</v>
      </c>
      <c r="G143" s="25" t="s">
        <v>213</v>
      </c>
      <c r="H143" s="7"/>
      <c r="I143" s="7"/>
      <c r="J143" s="7"/>
      <c r="K143" s="7"/>
      <c r="L143" s="7"/>
      <c r="M143" s="7"/>
      <c r="N143" t="str">
        <f>_xlfn.CONCAT(D143,"_",F143)</f>
        <v>1_F12</v>
      </c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5" customHeight="1">
      <c r="A144" s="20" t="s">
        <v>15</v>
      </c>
      <c r="B144" s="21" t="s">
        <v>16</v>
      </c>
      <c r="C144" s="22">
        <v>753624</v>
      </c>
      <c r="D144" s="23">
        <v>1</v>
      </c>
      <c r="E144" s="24"/>
      <c r="F144" s="21" t="s">
        <v>97</v>
      </c>
      <c r="G144" s="25" t="s">
        <v>214</v>
      </c>
      <c r="H144" s="7"/>
      <c r="I144" s="7"/>
      <c r="J144" s="7"/>
      <c r="K144" s="7"/>
      <c r="L144" s="7"/>
      <c r="M144" s="7"/>
      <c r="N144" t="str">
        <f>_xlfn.CONCAT(D144,"_",F144)</f>
        <v>1_G12</v>
      </c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5" customHeight="1">
      <c r="A145" s="20" t="s">
        <v>15</v>
      </c>
      <c r="B145" s="21" t="s">
        <v>16</v>
      </c>
      <c r="C145" s="22">
        <v>753630</v>
      </c>
      <c r="D145" s="23">
        <v>1</v>
      </c>
      <c r="E145" s="24"/>
      <c r="F145" s="21" t="s">
        <v>47</v>
      </c>
      <c r="G145" s="25" t="s">
        <v>48</v>
      </c>
      <c r="H145" s="7"/>
      <c r="I145" s="7"/>
      <c r="J145" s="7"/>
      <c r="K145" s="7"/>
      <c r="L145" s="7"/>
      <c r="M145" s="7"/>
      <c r="N145" t="str">
        <f>_xlfn.CONCAT(D145,"_",F145)</f>
        <v>1_H12</v>
      </c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5" customHeight="1">
      <c r="A146" s="20" t="s">
        <v>15</v>
      </c>
      <c r="B146" s="21" t="s">
        <v>16</v>
      </c>
      <c r="C146" s="22">
        <v>753631</v>
      </c>
      <c r="D146" s="23">
        <v>2</v>
      </c>
      <c r="E146" s="24"/>
      <c r="F146" s="21" t="s">
        <v>100</v>
      </c>
      <c r="G146" s="25" t="s">
        <v>101</v>
      </c>
      <c r="H146" s="7"/>
      <c r="I146" s="7"/>
      <c r="J146" s="7"/>
      <c r="K146" s="7"/>
      <c r="L146" s="7"/>
      <c r="M146" s="7"/>
      <c r="N146" t="str">
        <f>_xlfn.CONCAT(D146,"_",F146)</f>
        <v>2_A01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5" customHeight="1">
      <c r="A147" s="20" t="s">
        <v>15</v>
      </c>
      <c r="B147" s="21" t="s">
        <v>16</v>
      </c>
      <c r="C147" s="22">
        <v>753625</v>
      </c>
      <c r="D147" s="23">
        <v>2</v>
      </c>
      <c r="E147" s="24"/>
      <c r="F147" s="21" t="s">
        <v>102</v>
      </c>
      <c r="G147" s="25" t="s">
        <v>103</v>
      </c>
      <c r="H147" s="7"/>
      <c r="I147" s="7"/>
      <c r="J147" s="7"/>
      <c r="K147" s="7"/>
      <c r="L147" s="7"/>
      <c r="M147" s="7"/>
      <c r="N147" t="str">
        <f>_xlfn.CONCAT(D147,"_",F147)</f>
        <v>2_B01</v>
      </c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5" customHeight="1">
      <c r="A148" s="20" t="s">
        <v>15</v>
      </c>
      <c r="B148" s="21" t="s">
        <v>16</v>
      </c>
      <c r="C148" s="22">
        <v>753626</v>
      </c>
      <c r="D148" s="23">
        <v>2</v>
      </c>
      <c r="E148" s="24"/>
      <c r="F148" s="21" t="s">
        <v>104</v>
      </c>
      <c r="G148" s="25" t="s">
        <v>105</v>
      </c>
      <c r="H148" s="7"/>
      <c r="I148" s="7"/>
      <c r="J148" s="7"/>
      <c r="K148" s="7"/>
      <c r="L148" s="7"/>
      <c r="M148" s="7"/>
      <c r="N148" t="str">
        <f>_xlfn.CONCAT(D148,"_",F148)</f>
        <v>2_C01</v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5" customHeight="1">
      <c r="A149" s="20" t="s">
        <v>15</v>
      </c>
      <c r="B149" s="21" t="s">
        <v>16</v>
      </c>
      <c r="C149" s="22">
        <v>753628</v>
      </c>
      <c r="D149" s="23">
        <v>2</v>
      </c>
      <c r="E149" s="24"/>
      <c r="F149" s="21" t="s">
        <v>69</v>
      </c>
      <c r="G149" s="25" t="s">
        <v>106</v>
      </c>
      <c r="H149" s="7"/>
      <c r="I149" s="7"/>
      <c r="J149" s="7"/>
      <c r="K149" s="7"/>
      <c r="L149" s="7"/>
      <c r="M149" s="7"/>
      <c r="N149" t="str">
        <f>_xlfn.CONCAT(D149,"_",F149)</f>
        <v>2_D01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5" customHeight="1">
      <c r="A150" s="20" t="s">
        <v>15</v>
      </c>
      <c r="B150" s="21" t="s">
        <v>16</v>
      </c>
      <c r="C150" s="22">
        <v>753629</v>
      </c>
      <c r="D150" s="23">
        <v>2</v>
      </c>
      <c r="E150" s="24"/>
      <c r="F150" s="21" t="s">
        <v>71</v>
      </c>
      <c r="G150" s="25" t="s">
        <v>107</v>
      </c>
      <c r="H150" s="7"/>
      <c r="I150" s="7"/>
      <c r="J150" s="7"/>
      <c r="K150" s="7"/>
      <c r="L150" s="7"/>
      <c r="M150" s="7"/>
      <c r="N150" t="str">
        <f>_xlfn.CONCAT(D150,"_",F150)</f>
        <v>2_E01</v>
      </c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5" customHeight="1">
      <c r="A151" s="20" t="s">
        <v>15</v>
      </c>
      <c r="B151" s="21" t="s">
        <v>16</v>
      </c>
      <c r="C151" s="22">
        <v>753638</v>
      </c>
      <c r="D151" s="23">
        <v>2</v>
      </c>
      <c r="E151" s="24"/>
      <c r="F151" s="21" t="s">
        <v>73</v>
      </c>
      <c r="G151" s="25" t="s">
        <v>108</v>
      </c>
      <c r="H151" s="7"/>
      <c r="I151" s="7"/>
      <c r="J151" s="7"/>
      <c r="K151" s="7"/>
      <c r="L151" s="7"/>
      <c r="M151" s="7"/>
      <c r="N151" t="str">
        <f>_xlfn.CONCAT(D151,"_",F151)</f>
        <v>2_F01</v>
      </c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5" customHeight="1">
      <c r="A152" s="20" t="s">
        <v>15</v>
      </c>
      <c r="B152" s="21" t="s">
        <v>16</v>
      </c>
      <c r="C152" s="22">
        <v>753639</v>
      </c>
      <c r="D152" s="23">
        <v>2</v>
      </c>
      <c r="E152" s="24"/>
      <c r="F152" s="21" t="s">
        <v>75</v>
      </c>
      <c r="G152" s="25" t="s">
        <v>109</v>
      </c>
      <c r="H152" s="7"/>
      <c r="I152" s="7"/>
      <c r="J152" s="7"/>
      <c r="K152" s="7"/>
      <c r="L152" s="7"/>
      <c r="M152" s="7"/>
      <c r="N152" t="str">
        <f>_xlfn.CONCAT(D152,"_",F152)</f>
        <v>2_G01</v>
      </c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5" customHeight="1">
      <c r="A153" s="20" t="s">
        <v>15</v>
      </c>
      <c r="B153" s="21" t="s">
        <v>16</v>
      </c>
      <c r="C153" s="22">
        <v>753640</v>
      </c>
      <c r="D153" s="23">
        <v>2</v>
      </c>
      <c r="E153" s="24"/>
      <c r="F153" s="21" t="s">
        <v>77</v>
      </c>
      <c r="G153" s="25" t="s">
        <v>110</v>
      </c>
      <c r="H153" s="7"/>
      <c r="I153" s="7"/>
      <c r="J153" s="7"/>
      <c r="K153" s="7"/>
      <c r="L153" s="7"/>
      <c r="M153" s="7"/>
      <c r="N153" t="str">
        <f>_xlfn.CONCAT(D153,"_",F153)</f>
        <v>2_H01</v>
      </c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5" customHeight="1">
      <c r="A154" s="20" t="s">
        <v>15</v>
      </c>
      <c r="B154" s="21" t="s">
        <v>16</v>
      </c>
      <c r="C154" s="22">
        <v>753641</v>
      </c>
      <c r="D154" s="23">
        <v>2</v>
      </c>
      <c r="E154" s="24"/>
      <c r="F154" s="21" t="s">
        <v>79</v>
      </c>
      <c r="G154" s="25" t="s">
        <v>111</v>
      </c>
      <c r="H154" s="7"/>
      <c r="I154" s="7"/>
      <c r="J154" s="7"/>
      <c r="K154" s="7"/>
      <c r="L154" s="7"/>
      <c r="M154" s="7"/>
      <c r="N154" t="str">
        <f>_xlfn.CONCAT(D154,"_",F154)</f>
        <v>2_A02</v>
      </c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5" customHeight="1">
      <c r="A155" s="20" t="s">
        <v>15</v>
      </c>
      <c r="B155" s="21" t="s">
        <v>16</v>
      </c>
      <c r="C155" s="22">
        <v>753642</v>
      </c>
      <c r="D155" s="23">
        <v>2</v>
      </c>
      <c r="E155" s="24"/>
      <c r="F155" s="21" t="s">
        <v>81</v>
      </c>
      <c r="G155" s="25" t="s">
        <v>112</v>
      </c>
      <c r="H155" s="7"/>
      <c r="I155" s="7"/>
      <c r="J155" s="7"/>
      <c r="K155" s="7"/>
      <c r="L155" s="7"/>
      <c r="M155" s="7"/>
      <c r="N155" t="str">
        <f>_xlfn.CONCAT(D155,"_",F155)</f>
        <v>2_B02</v>
      </c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5" customHeight="1">
      <c r="A156" s="20" t="s">
        <v>15</v>
      </c>
      <c r="B156" s="21" t="s">
        <v>16</v>
      </c>
      <c r="C156" s="22">
        <v>753646</v>
      </c>
      <c r="D156" s="23">
        <v>2</v>
      </c>
      <c r="E156" s="24"/>
      <c r="F156" s="21" t="s">
        <v>82</v>
      </c>
      <c r="G156" s="25" t="s">
        <v>113</v>
      </c>
      <c r="H156" s="7"/>
      <c r="I156" s="7"/>
      <c r="J156" s="7"/>
      <c r="K156" s="7"/>
      <c r="L156" s="7"/>
      <c r="M156" s="7"/>
      <c r="N156" t="str">
        <f>_xlfn.CONCAT(D156,"_",F156)</f>
        <v>2_C02</v>
      </c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5" customHeight="1">
      <c r="A157" s="20" t="s">
        <v>15</v>
      </c>
      <c r="B157" s="21" t="s">
        <v>16</v>
      </c>
      <c r="C157" s="22">
        <v>753647</v>
      </c>
      <c r="D157" s="23">
        <v>2</v>
      </c>
      <c r="E157" s="24"/>
      <c r="F157" s="21" t="s">
        <v>83</v>
      </c>
      <c r="G157" s="25" t="s">
        <v>114</v>
      </c>
      <c r="H157" s="7"/>
      <c r="I157" s="7"/>
      <c r="J157" s="7"/>
      <c r="K157" s="7"/>
      <c r="L157" s="7"/>
      <c r="M157" s="7"/>
      <c r="N157" t="str">
        <f>_xlfn.CONCAT(D157,"_",F157)</f>
        <v>2_D02</v>
      </c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5" customHeight="1">
      <c r="A158" s="20" t="s">
        <v>15</v>
      </c>
      <c r="B158" s="21" t="s">
        <v>16</v>
      </c>
      <c r="C158" s="22">
        <v>753648</v>
      </c>
      <c r="D158" s="23">
        <v>2</v>
      </c>
      <c r="E158" s="24"/>
      <c r="F158" s="21" t="s">
        <v>84</v>
      </c>
      <c r="G158" s="25" t="s">
        <v>115</v>
      </c>
      <c r="H158" s="7"/>
      <c r="I158" s="7"/>
      <c r="J158" s="7"/>
      <c r="K158" s="7"/>
      <c r="L158" s="7"/>
      <c r="M158" s="7"/>
      <c r="N158" t="str">
        <f>_xlfn.CONCAT(D158,"_",F158)</f>
        <v>2_E02</v>
      </c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5" customHeight="1">
      <c r="A159" s="20" t="s">
        <v>15</v>
      </c>
      <c r="B159" s="21" t="s">
        <v>16</v>
      </c>
      <c r="C159" s="22">
        <v>753649</v>
      </c>
      <c r="D159" s="23">
        <v>2</v>
      </c>
      <c r="E159" s="24"/>
      <c r="F159" s="21" t="s">
        <v>85</v>
      </c>
      <c r="G159" s="25" t="s">
        <v>116</v>
      </c>
      <c r="H159" s="7"/>
      <c r="I159" s="7"/>
      <c r="J159" s="7"/>
      <c r="K159" s="7"/>
      <c r="L159" s="7"/>
      <c r="M159" s="7"/>
      <c r="N159" t="str">
        <f>_xlfn.CONCAT(D159,"_",F159)</f>
        <v>2_F02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5" customHeight="1">
      <c r="A160" s="20" t="s">
        <v>15</v>
      </c>
      <c r="B160" s="21" t="s">
        <v>16</v>
      </c>
      <c r="C160" s="22">
        <v>753650</v>
      </c>
      <c r="D160" s="23">
        <v>2</v>
      </c>
      <c r="E160" s="24"/>
      <c r="F160" s="21" t="s">
        <v>117</v>
      </c>
      <c r="G160" s="25" t="s">
        <v>118</v>
      </c>
      <c r="H160" s="7"/>
      <c r="I160" s="7"/>
      <c r="J160" s="7"/>
      <c r="K160" s="7"/>
      <c r="L160" s="7"/>
      <c r="M160" s="7"/>
      <c r="N160" t="str">
        <f>_xlfn.CONCAT(D160,"_",F160)</f>
        <v>2_G02</v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5" customHeight="1">
      <c r="A161" s="20" t="s">
        <v>15</v>
      </c>
      <c r="B161" s="21" t="s">
        <v>16</v>
      </c>
      <c r="C161" s="22">
        <v>753643</v>
      </c>
      <c r="D161" s="23">
        <v>2</v>
      </c>
      <c r="E161" s="24"/>
      <c r="F161" s="21" t="s">
        <v>119</v>
      </c>
      <c r="G161" s="25" t="s">
        <v>120</v>
      </c>
      <c r="H161" s="7"/>
      <c r="I161" s="7"/>
      <c r="J161" s="7"/>
      <c r="K161" s="7"/>
      <c r="L161" s="7"/>
      <c r="M161" s="7"/>
      <c r="N161" t="str">
        <f>_xlfn.CONCAT(D161,"_",F161)</f>
        <v>2_H02</v>
      </c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5" customHeight="1">
      <c r="A162" s="20" t="s">
        <v>15</v>
      </c>
      <c r="B162" s="21" t="s">
        <v>16</v>
      </c>
      <c r="C162" s="22">
        <v>753644</v>
      </c>
      <c r="D162" s="23">
        <v>2</v>
      </c>
      <c r="E162" s="24"/>
      <c r="F162" s="21" t="s">
        <v>121</v>
      </c>
      <c r="G162" s="25" t="s">
        <v>122</v>
      </c>
      <c r="H162" s="7"/>
      <c r="I162" s="7"/>
      <c r="J162" s="7"/>
      <c r="K162" s="7"/>
      <c r="L162" s="7"/>
      <c r="M162" s="7"/>
      <c r="N162" t="str">
        <f>_xlfn.CONCAT(D162,"_",F162)</f>
        <v>2_A03</v>
      </c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5" customHeight="1">
      <c r="A163" s="20" t="s">
        <v>15</v>
      </c>
      <c r="B163" s="21" t="s">
        <v>16</v>
      </c>
      <c r="C163" s="22">
        <v>753645</v>
      </c>
      <c r="D163" s="23">
        <v>2</v>
      </c>
      <c r="E163" s="24"/>
      <c r="F163" s="21" t="s">
        <v>123</v>
      </c>
      <c r="G163" s="25" t="s">
        <v>124</v>
      </c>
      <c r="H163" s="7"/>
      <c r="I163" s="7"/>
      <c r="J163" s="7"/>
      <c r="K163" s="7"/>
      <c r="L163" s="7"/>
      <c r="M163" s="7"/>
      <c r="N163" t="str">
        <f>_xlfn.CONCAT(D163,"_",F163)</f>
        <v>2_B03</v>
      </c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5" customHeight="1">
      <c r="A164" s="20" t="s">
        <v>15</v>
      </c>
      <c r="B164" s="21" t="s">
        <v>16</v>
      </c>
      <c r="C164" s="22">
        <v>753651</v>
      </c>
      <c r="D164" s="23">
        <v>2</v>
      </c>
      <c r="E164" s="24"/>
      <c r="F164" s="21" t="s">
        <v>125</v>
      </c>
      <c r="G164" s="25" t="s">
        <v>126</v>
      </c>
      <c r="H164" s="7"/>
      <c r="I164" s="7"/>
      <c r="J164" s="7"/>
      <c r="K164" s="7"/>
      <c r="L164" s="7"/>
      <c r="M164" s="7"/>
      <c r="N164" t="str">
        <f>_xlfn.CONCAT(D164,"_",F164)</f>
        <v>2_C03</v>
      </c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5" customHeight="1">
      <c r="A165" s="20" t="s">
        <v>15</v>
      </c>
      <c r="B165" s="21" t="s">
        <v>16</v>
      </c>
      <c r="C165" s="22">
        <v>753652</v>
      </c>
      <c r="D165" s="23">
        <v>2</v>
      </c>
      <c r="E165" s="24"/>
      <c r="F165" s="21" t="s">
        <v>86</v>
      </c>
      <c r="G165" s="25" t="s">
        <v>127</v>
      </c>
      <c r="H165" s="7"/>
      <c r="I165" s="7"/>
      <c r="J165" s="7"/>
      <c r="K165" s="7"/>
      <c r="L165" s="7"/>
      <c r="M165" s="7"/>
      <c r="N165" t="str">
        <f>_xlfn.CONCAT(D165,"_",F165)</f>
        <v>2_D03</v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5" customHeight="1">
      <c r="A166" s="20" t="s">
        <v>15</v>
      </c>
      <c r="B166" s="21" t="s">
        <v>16</v>
      </c>
      <c r="C166" s="22">
        <v>753653</v>
      </c>
      <c r="D166" s="23">
        <v>2</v>
      </c>
      <c r="E166" s="24"/>
      <c r="F166" s="21" t="s">
        <v>87</v>
      </c>
      <c r="G166" s="25" t="s">
        <v>128</v>
      </c>
      <c r="H166" s="7"/>
      <c r="I166" s="7"/>
      <c r="J166" s="7"/>
      <c r="K166" s="7"/>
      <c r="L166" s="7"/>
      <c r="M166" s="7"/>
      <c r="N166" t="str">
        <f>_xlfn.CONCAT(D166,"_",F166)</f>
        <v>2_E03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5" customHeight="1">
      <c r="A167" s="20" t="s">
        <v>15</v>
      </c>
      <c r="B167" s="21" t="s">
        <v>16</v>
      </c>
      <c r="C167" s="22">
        <v>753669</v>
      </c>
      <c r="D167" s="23">
        <v>2</v>
      </c>
      <c r="E167" s="24"/>
      <c r="F167" s="21" t="s">
        <v>88</v>
      </c>
      <c r="G167" s="25" t="s">
        <v>129</v>
      </c>
      <c r="H167" s="7"/>
      <c r="I167" s="7"/>
      <c r="J167" s="7"/>
      <c r="K167" s="7"/>
      <c r="L167" s="7"/>
      <c r="M167" s="7"/>
      <c r="N167" t="str">
        <f>_xlfn.CONCAT(D167,"_",F167)</f>
        <v>2_F03</v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5" customHeight="1">
      <c r="A168" s="20" t="s">
        <v>15</v>
      </c>
      <c r="B168" s="21" t="s">
        <v>16</v>
      </c>
      <c r="C168" s="22">
        <v>753668</v>
      </c>
      <c r="D168" s="23">
        <v>2</v>
      </c>
      <c r="E168" s="24"/>
      <c r="F168" s="21" t="s">
        <v>89</v>
      </c>
      <c r="G168" s="25" t="s">
        <v>130</v>
      </c>
      <c r="H168" s="7"/>
      <c r="I168" s="7"/>
      <c r="J168" s="7"/>
      <c r="K168" s="7"/>
      <c r="L168" s="7"/>
      <c r="M168" s="7"/>
      <c r="N168" t="str">
        <f>_xlfn.CONCAT(D168,"_",F168)</f>
        <v>2_G03</v>
      </c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5" customHeight="1">
      <c r="A169" s="20" t="s">
        <v>15</v>
      </c>
      <c r="B169" s="21" t="s">
        <v>16</v>
      </c>
      <c r="C169" s="22">
        <v>753667</v>
      </c>
      <c r="D169" s="23">
        <v>2</v>
      </c>
      <c r="E169" s="24"/>
      <c r="F169" s="21" t="s">
        <v>90</v>
      </c>
      <c r="G169" s="25" t="s">
        <v>131</v>
      </c>
      <c r="H169" s="7"/>
      <c r="I169" s="7"/>
      <c r="J169" s="7"/>
      <c r="K169" s="7"/>
      <c r="L169" s="7"/>
      <c r="M169" s="7"/>
      <c r="N169" t="str">
        <f>_xlfn.CONCAT(D169,"_",F169)</f>
        <v>2_H03</v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5" customHeight="1">
      <c r="A170" s="20" t="s">
        <v>15</v>
      </c>
      <c r="B170" s="21" t="s">
        <v>16</v>
      </c>
      <c r="C170" s="22">
        <v>753661</v>
      </c>
      <c r="D170" s="23">
        <v>2</v>
      </c>
      <c r="E170" s="24"/>
      <c r="F170" s="21" t="s">
        <v>132</v>
      </c>
      <c r="G170" s="25" t="s">
        <v>133</v>
      </c>
      <c r="H170" s="7"/>
      <c r="I170" s="7"/>
      <c r="J170" s="7"/>
      <c r="K170" s="7"/>
      <c r="L170" s="7"/>
      <c r="M170" s="7"/>
      <c r="N170" t="str">
        <f>_xlfn.CONCAT(D170,"_",F170)</f>
        <v>2_A04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5" customHeight="1">
      <c r="A171" s="20" t="s">
        <v>15</v>
      </c>
      <c r="B171" s="21" t="s">
        <v>16</v>
      </c>
      <c r="C171" s="22">
        <v>753659</v>
      </c>
      <c r="D171" s="23">
        <v>2</v>
      </c>
      <c r="E171" s="24"/>
      <c r="F171" s="21" t="s">
        <v>134</v>
      </c>
      <c r="G171" s="25" t="s">
        <v>135</v>
      </c>
      <c r="H171" s="7"/>
      <c r="I171" s="7"/>
      <c r="J171" s="7"/>
      <c r="K171" s="7"/>
      <c r="L171" s="7"/>
      <c r="M171" s="7"/>
      <c r="N171" t="str">
        <f>_xlfn.CONCAT(D171,"_",F171)</f>
        <v>2_B04</v>
      </c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5" customHeight="1">
      <c r="A172" s="20" t="s">
        <v>15</v>
      </c>
      <c r="B172" s="21" t="s">
        <v>16</v>
      </c>
      <c r="C172" s="22">
        <v>753660</v>
      </c>
      <c r="D172" s="23">
        <v>2</v>
      </c>
      <c r="E172" s="24"/>
      <c r="F172" s="21" t="s">
        <v>136</v>
      </c>
      <c r="G172" s="25" t="s">
        <v>137</v>
      </c>
      <c r="H172" s="7"/>
      <c r="I172" s="7"/>
      <c r="J172" s="7"/>
      <c r="K172" s="7"/>
      <c r="L172" s="7"/>
      <c r="M172" s="7"/>
      <c r="N172" t="str">
        <f>_xlfn.CONCAT(D172,"_",F172)</f>
        <v>2_C04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5" customHeight="1">
      <c r="A173" s="20" t="s">
        <v>15</v>
      </c>
      <c r="B173" s="21" t="s">
        <v>16</v>
      </c>
      <c r="C173" s="22">
        <v>753654</v>
      </c>
      <c r="D173" s="23">
        <v>2</v>
      </c>
      <c r="E173" s="24"/>
      <c r="F173" s="21" t="s">
        <v>138</v>
      </c>
      <c r="G173" s="25" t="s">
        <v>139</v>
      </c>
      <c r="H173" s="7"/>
      <c r="I173" s="7"/>
      <c r="J173" s="7"/>
      <c r="K173" s="7"/>
      <c r="L173" s="7"/>
      <c r="M173" s="7"/>
      <c r="N173" t="str">
        <f>_xlfn.CONCAT(D173,"_",F173)</f>
        <v>2_D04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5" customHeight="1">
      <c r="A174" s="20" t="s">
        <v>15</v>
      </c>
      <c r="B174" s="21" t="s">
        <v>16</v>
      </c>
      <c r="C174" s="22">
        <v>753655</v>
      </c>
      <c r="D174" s="23">
        <v>2</v>
      </c>
      <c r="E174" s="24"/>
      <c r="F174" s="21" t="s">
        <v>140</v>
      </c>
      <c r="G174" s="25" t="s">
        <v>141</v>
      </c>
      <c r="H174" s="7"/>
      <c r="I174" s="7"/>
      <c r="J174" s="7"/>
      <c r="K174" s="7"/>
      <c r="L174" s="7"/>
      <c r="M174" s="7"/>
      <c r="N174" t="str">
        <f>_xlfn.CONCAT(D174,"_",F174)</f>
        <v>2_E04</v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5" customHeight="1">
      <c r="A175" s="20" t="s">
        <v>15</v>
      </c>
      <c r="B175" s="21" t="s">
        <v>16</v>
      </c>
      <c r="C175" s="22">
        <v>753656</v>
      </c>
      <c r="D175" s="23">
        <v>2</v>
      </c>
      <c r="E175" s="24"/>
      <c r="F175" s="21" t="s">
        <v>142</v>
      </c>
      <c r="G175" s="25" t="s">
        <v>143</v>
      </c>
      <c r="H175" s="7"/>
      <c r="I175" s="7"/>
      <c r="J175" s="7"/>
      <c r="K175" s="7"/>
      <c r="L175" s="7"/>
      <c r="M175" s="7"/>
      <c r="N175" t="str">
        <f>_xlfn.CONCAT(D175,"_",F175)</f>
        <v>2_F04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5" customHeight="1">
      <c r="A176" s="20" t="s">
        <v>15</v>
      </c>
      <c r="B176" s="21" t="s">
        <v>16</v>
      </c>
      <c r="C176" s="22">
        <v>753657</v>
      </c>
      <c r="D176" s="23">
        <v>2</v>
      </c>
      <c r="E176" s="24"/>
      <c r="F176" s="21" t="s">
        <v>144</v>
      </c>
      <c r="G176" s="25" t="s">
        <v>145</v>
      </c>
      <c r="H176" s="7"/>
      <c r="I176" s="7"/>
      <c r="J176" s="7"/>
      <c r="K176" s="7"/>
      <c r="L176" s="7"/>
      <c r="M176" s="7"/>
      <c r="N176" t="str">
        <f>_xlfn.CONCAT(D176,"_",F176)</f>
        <v>2_G04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5" customHeight="1">
      <c r="A177" s="20" t="s">
        <v>15</v>
      </c>
      <c r="B177" s="21" t="s">
        <v>16</v>
      </c>
      <c r="C177" s="22">
        <v>753658</v>
      </c>
      <c r="D177" s="23">
        <v>2</v>
      </c>
      <c r="E177" s="24"/>
      <c r="F177" s="21" t="s">
        <v>146</v>
      </c>
      <c r="G177" s="25" t="s">
        <v>147</v>
      </c>
      <c r="H177" s="7"/>
      <c r="I177" s="7"/>
      <c r="J177" s="7"/>
      <c r="K177" s="7"/>
      <c r="L177" s="7"/>
      <c r="M177" s="7"/>
      <c r="N177" t="str">
        <f>_xlfn.CONCAT(D177,"_",F177)</f>
        <v>2_H04</v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5" customHeight="1">
      <c r="A178" s="20" t="s">
        <v>15</v>
      </c>
      <c r="B178" s="21" t="s">
        <v>16</v>
      </c>
      <c r="C178" s="22">
        <v>753666</v>
      </c>
      <c r="D178" s="23">
        <v>2</v>
      </c>
      <c r="E178" s="24"/>
      <c r="F178" s="21" t="s">
        <v>148</v>
      </c>
      <c r="G178" s="25" t="s">
        <v>149</v>
      </c>
      <c r="H178" s="7"/>
      <c r="I178" s="7"/>
      <c r="J178" s="7"/>
      <c r="K178" s="7"/>
      <c r="L178" s="7"/>
      <c r="M178" s="7"/>
      <c r="N178" t="str">
        <f>_xlfn.CONCAT(D178,"_",F178)</f>
        <v>2_A05</v>
      </c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5" customHeight="1">
      <c r="A179" s="20" t="s">
        <v>15</v>
      </c>
      <c r="B179" s="21" t="s">
        <v>16</v>
      </c>
      <c r="C179" s="22">
        <v>753665</v>
      </c>
      <c r="D179" s="23">
        <v>2</v>
      </c>
      <c r="E179" s="24"/>
      <c r="F179" s="21" t="s">
        <v>150</v>
      </c>
      <c r="G179" s="25" t="s">
        <v>151</v>
      </c>
      <c r="H179" s="7"/>
      <c r="I179" s="7"/>
      <c r="J179" s="7"/>
      <c r="K179" s="7"/>
      <c r="L179" s="7"/>
      <c r="M179" s="7"/>
      <c r="N179" t="str">
        <f>_xlfn.CONCAT(D179,"_",F179)</f>
        <v>2_B05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5" customHeight="1">
      <c r="A180" s="20" t="s">
        <v>15</v>
      </c>
      <c r="B180" s="21" t="s">
        <v>16</v>
      </c>
      <c r="C180" s="22">
        <v>753664</v>
      </c>
      <c r="D180" s="23">
        <v>2</v>
      </c>
      <c r="E180" s="24"/>
      <c r="F180" s="21" t="s">
        <v>13</v>
      </c>
      <c r="G180" s="25" t="s">
        <v>14</v>
      </c>
      <c r="H180" s="7"/>
      <c r="I180" s="7"/>
      <c r="J180" s="7"/>
      <c r="K180" s="7"/>
      <c r="L180" s="7"/>
      <c r="M180" s="7"/>
      <c r="N180" t="str">
        <f>_xlfn.CONCAT(D180,"_",F180)</f>
        <v>2_C05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5" customHeight="1">
      <c r="A181" s="20" t="s">
        <v>15</v>
      </c>
      <c r="B181" s="21" t="s">
        <v>16</v>
      </c>
      <c r="C181" s="22">
        <v>753663</v>
      </c>
      <c r="D181" s="23">
        <v>2</v>
      </c>
      <c r="E181" s="24"/>
      <c r="F181" s="21" t="s">
        <v>17</v>
      </c>
      <c r="G181" s="25" t="s">
        <v>18</v>
      </c>
      <c r="H181" s="7"/>
      <c r="I181" s="7"/>
      <c r="J181" s="7"/>
      <c r="K181" s="7"/>
      <c r="L181" s="7"/>
      <c r="M181" s="7"/>
      <c r="N181" t="str">
        <f>_xlfn.CONCAT(D181,"_",F181)</f>
        <v>2_D05</v>
      </c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5" customHeight="1">
      <c r="A182" s="20" t="s">
        <v>15</v>
      </c>
      <c r="B182" s="21" t="s">
        <v>16</v>
      </c>
      <c r="C182" s="22">
        <v>753662</v>
      </c>
      <c r="D182" s="23">
        <v>2</v>
      </c>
      <c r="E182" s="24"/>
      <c r="F182" s="21" t="s">
        <v>19</v>
      </c>
      <c r="G182" s="25" t="s">
        <v>20</v>
      </c>
      <c r="H182" s="7"/>
      <c r="I182" s="7"/>
      <c r="J182" s="7"/>
      <c r="K182" s="7"/>
      <c r="L182" s="7"/>
      <c r="M182" s="7"/>
      <c r="N182" t="str">
        <f>_xlfn.CONCAT(D182,"_",F182)</f>
        <v>2_E05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5" customHeight="1">
      <c r="A183" s="20" t="s">
        <v>15</v>
      </c>
      <c r="B183" s="21" t="s">
        <v>16</v>
      </c>
      <c r="C183" s="22">
        <v>753670</v>
      </c>
      <c r="D183" s="23">
        <v>2</v>
      </c>
      <c r="E183" s="24"/>
      <c r="F183" s="21" t="s">
        <v>21</v>
      </c>
      <c r="G183" s="25" t="s">
        <v>22</v>
      </c>
      <c r="H183" s="7"/>
      <c r="I183" s="7"/>
      <c r="J183" s="7"/>
      <c r="K183" s="7"/>
      <c r="L183" s="7"/>
      <c r="M183" s="7"/>
      <c r="N183" t="str">
        <f>_xlfn.CONCAT(D183,"_",F183)</f>
        <v>2_F05</v>
      </c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5" customHeight="1">
      <c r="A184" s="20" t="s">
        <v>15</v>
      </c>
      <c r="B184" s="21" t="s">
        <v>16</v>
      </c>
      <c r="C184" s="22">
        <v>753671</v>
      </c>
      <c r="D184" s="23">
        <v>2</v>
      </c>
      <c r="E184" s="24"/>
      <c r="F184" s="21" t="s">
        <v>152</v>
      </c>
      <c r="G184" s="25" t="s">
        <v>153</v>
      </c>
      <c r="H184" s="7"/>
      <c r="I184" s="7"/>
      <c r="J184" s="7"/>
      <c r="K184" s="7"/>
      <c r="L184" s="7"/>
      <c r="M184" s="7"/>
      <c r="N184" t="str">
        <f>_xlfn.CONCAT(D184,"_",F184)</f>
        <v>2_G05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5" customHeight="1">
      <c r="A185" s="20" t="s">
        <v>15</v>
      </c>
      <c r="B185" s="21" t="s">
        <v>16</v>
      </c>
      <c r="C185" s="22">
        <v>753672</v>
      </c>
      <c r="D185" s="23">
        <v>2</v>
      </c>
      <c r="E185" s="24"/>
      <c r="F185" s="21" t="s">
        <v>154</v>
      </c>
      <c r="G185" s="25" t="s">
        <v>155</v>
      </c>
      <c r="H185" s="7"/>
      <c r="I185" s="7"/>
      <c r="J185" s="7"/>
      <c r="K185" s="7"/>
      <c r="L185" s="7"/>
      <c r="M185" s="7"/>
      <c r="N185" t="str">
        <f>_xlfn.CONCAT(D185,"_",F185)</f>
        <v>2_H05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5" customHeight="1">
      <c r="A186" s="20" t="s">
        <v>15</v>
      </c>
      <c r="B186" s="21" t="s">
        <v>16</v>
      </c>
      <c r="C186" s="22">
        <v>753673</v>
      </c>
      <c r="D186" s="23">
        <v>2</v>
      </c>
      <c r="E186" s="24"/>
      <c r="F186" s="21" t="s">
        <v>156</v>
      </c>
      <c r="G186" s="25" t="s">
        <v>157</v>
      </c>
      <c r="H186" s="7"/>
      <c r="I186" s="7"/>
      <c r="J186" s="7"/>
      <c r="K186" s="7"/>
      <c r="L186" s="7"/>
      <c r="M186" s="7"/>
      <c r="N186" t="str">
        <f>_xlfn.CONCAT(D186,"_",F186)</f>
        <v>2_A06</v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5" customHeight="1">
      <c r="A187" s="20" t="s">
        <v>15</v>
      </c>
      <c r="B187" s="21" t="s">
        <v>16</v>
      </c>
      <c r="C187" s="22">
        <v>753674</v>
      </c>
      <c r="D187" s="23">
        <v>2</v>
      </c>
      <c r="E187" s="24"/>
      <c r="F187" s="21" t="s">
        <v>158</v>
      </c>
      <c r="G187" s="25" t="s">
        <v>159</v>
      </c>
      <c r="H187" s="7"/>
      <c r="I187" s="7"/>
      <c r="J187" s="7"/>
      <c r="K187" s="7"/>
      <c r="L187" s="7"/>
      <c r="M187" s="7"/>
      <c r="N187" t="str">
        <f>_xlfn.CONCAT(D187,"_",F187)</f>
        <v>2_B06</v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5" customHeight="1">
      <c r="A188" s="20" t="s">
        <v>15</v>
      </c>
      <c r="B188" s="21" t="s">
        <v>16</v>
      </c>
      <c r="C188" s="22">
        <v>753682</v>
      </c>
      <c r="D188" s="23">
        <v>2</v>
      </c>
      <c r="E188" s="24"/>
      <c r="F188" s="21" t="s">
        <v>160</v>
      </c>
      <c r="G188" s="25" t="s">
        <v>161</v>
      </c>
      <c r="H188" s="7"/>
      <c r="I188" s="7"/>
      <c r="J188" s="7"/>
      <c r="K188" s="7"/>
      <c r="L188" s="7"/>
      <c r="M188" s="7"/>
      <c r="N188" t="str">
        <f>_xlfn.CONCAT(D188,"_",F188)</f>
        <v>2_C06</v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5" customHeight="1">
      <c r="A189" s="20" t="s">
        <v>15</v>
      </c>
      <c r="B189" s="21" t="s">
        <v>16</v>
      </c>
      <c r="C189" s="22">
        <v>753681</v>
      </c>
      <c r="D189" s="23">
        <v>2</v>
      </c>
      <c r="E189" s="24"/>
      <c r="F189" s="21" t="s">
        <v>23</v>
      </c>
      <c r="G189" s="25" t="s">
        <v>24</v>
      </c>
      <c r="H189" s="7"/>
      <c r="I189" s="7"/>
      <c r="J189" s="7"/>
      <c r="K189" s="7"/>
      <c r="L189" s="7"/>
      <c r="M189" s="7"/>
      <c r="N189" t="str">
        <f>_xlfn.CONCAT(D189,"_",F189)</f>
        <v>2_D06</v>
      </c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5" customHeight="1">
      <c r="A190" s="20" t="s">
        <v>15</v>
      </c>
      <c r="B190" s="21" t="s">
        <v>16</v>
      </c>
      <c r="C190" s="22">
        <v>753680</v>
      </c>
      <c r="D190" s="23">
        <v>2</v>
      </c>
      <c r="E190" s="24"/>
      <c r="F190" s="21" t="s">
        <v>25</v>
      </c>
      <c r="G190" s="25" t="s">
        <v>26</v>
      </c>
      <c r="H190" s="7"/>
      <c r="I190" s="7"/>
      <c r="J190" s="7"/>
      <c r="K190" s="7"/>
      <c r="L190" s="7"/>
      <c r="M190" s="7"/>
      <c r="N190" t="str">
        <f>_xlfn.CONCAT(D190,"_",F190)</f>
        <v>2_E06</v>
      </c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5" customHeight="1">
      <c r="A191" s="20" t="s">
        <v>15</v>
      </c>
      <c r="B191" s="21" t="s">
        <v>16</v>
      </c>
      <c r="C191" s="22">
        <v>753679</v>
      </c>
      <c r="D191" s="23">
        <v>2</v>
      </c>
      <c r="E191" s="24"/>
      <c r="F191" s="21" t="s">
        <v>27</v>
      </c>
      <c r="G191" s="25" t="s">
        <v>28</v>
      </c>
      <c r="H191" s="7"/>
      <c r="I191" s="7"/>
      <c r="J191" s="7"/>
      <c r="K191" s="7"/>
      <c r="L191" s="7"/>
      <c r="M191" s="7"/>
      <c r="N191" t="str">
        <f>_xlfn.CONCAT(D191,"_",F191)</f>
        <v>2_F06</v>
      </c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5" customHeight="1">
      <c r="A192" s="20" t="s">
        <v>15</v>
      </c>
      <c r="B192" s="21" t="s">
        <v>16</v>
      </c>
      <c r="C192" s="22">
        <v>753678</v>
      </c>
      <c r="D192" s="23">
        <v>2</v>
      </c>
      <c r="E192" s="24"/>
      <c r="F192" s="21" t="s">
        <v>162</v>
      </c>
      <c r="G192" s="25" t="s">
        <v>163</v>
      </c>
      <c r="H192" s="7"/>
      <c r="I192" s="7"/>
      <c r="J192" s="7"/>
      <c r="K192" s="7"/>
      <c r="L192" s="7"/>
      <c r="M192" s="7"/>
      <c r="N192" t="str">
        <f>_xlfn.CONCAT(D192,"_",F192)</f>
        <v>2_G06</v>
      </c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5" customHeight="1">
      <c r="A193" s="20" t="s">
        <v>15</v>
      </c>
      <c r="B193" s="21" t="s">
        <v>16</v>
      </c>
      <c r="C193" s="22">
        <v>753693</v>
      </c>
      <c r="D193" s="23">
        <v>2</v>
      </c>
      <c r="E193" s="24"/>
      <c r="F193" s="21" t="s">
        <v>164</v>
      </c>
      <c r="G193" s="25" t="s">
        <v>165</v>
      </c>
      <c r="H193" s="7"/>
      <c r="I193" s="7"/>
      <c r="J193" s="7"/>
      <c r="K193" s="7"/>
      <c r="L193" s="7"/>
      <c r="M193" s="7"/>
      <c r="N193" t="str">
        <f>_xlfn.CONCAT(D193,"_",F193)</f>
        <v>2_H06</v>
      </c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5" customHeight="1">
      <c r="A194" s="20" t="s">
        <v>15</v>
      </c>
      <c r="B194" s="21" t="s">
        <v>16</v>
      </c>
      <c r="C194" s="22">
        <v>753692</v>
      </c>
      <c r="D194" s="23">
        <v>2</v>
      </c>
      <c r="E194" s="24"/>
      <c r="F194" s="21" t="s">
        <v>166</v>
      </c>
      <c r="G194" s="25" t="s">
        <v>167</v>
      </c>
      <c r="H194" s="7"/>
      <c r="I194" s="7"/>
      <c r="J194" s="7"/>
      <c r="K194" s="7"/>
      <c r="L194" s="7"/>
      <c r="M194" s="7"/>
      <c r="N194" t="str">
        <f>_xlfn.CONCAT(D194,"_",F194)</f>
        <v>2_A07</v>
      </c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5" customHeight="1">
      <c r="A195" s="20" t="s">
        <v>15</v>
      </c>
      <c r="B195" s="21" t="s">
        <v>16</v>
      </c>
      <c r="C195" s="22">
        <v>753675</v>
      </c>
      <c r="D195" s="23">
        <v>2</v>
      </c>
      <c r="E195" s="24"/>
      <c r="F195" s="21" t="s">
        <v>168</v>
      </c>
      <c r="G195" s="25" t="s">
        <v>169</v>
      </c>
      <c r="H195" s="7"/>
      <c r="I195" s="7"/>
      <c r="J195" s="7"/>
      <c r="K195" s="7"/>
      <c r="L195" s="7"/>
      <c r="M195" s="7"/>
      <c r="N195" t="str">
        <f>_xlfn.CONCAT(D195,"_",F195)</f>
        <v>2_B07</v>
      </c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5" customHeight="1">
      <c r="A196" s="20" t="s">
        <v>15</v>
      </c>
      <c r="B196" s="21" t="s">
        <v>16</v>
      </c>
      <c r="C196" s="22">
        <v>753677</v>
      </c>
      <c r="D196" s="23">
        <v>2</v>
      </c>
      <c r="E196" s="24"/>
      <c r="F196" s="21" t="s">
        <v>170</v>
      </c>
      <c r="G196" s="25" t="s">
        <v>171</v>
      </c>
      <c r="H196" s="7"/>
      <c r="I196" s="7"/>
      <c r="J196" s="7"/>
      <c r="K196" s="7"/>
      <c r="L196" s="7"/>
      <c r="M196" s="7"/>
      <c r="N196" t="str">
        <f>_xlfn.CONCAT(D196,"_",F196)</f>
        <v>2_E07</v>
      </c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5" customHeight="1">
      <c r="A197" s="20" t="s">
        <v>15</v>
      </c>
      <c r="B197" s="21" t="s">
        <v>16</v>
      </c>
      <c r="C197" s="22">
        <v>753683</v>
      </c>
      <c r="D197" s="23">
        <v>2</v>
      </c>
      <c r="E197" s="24"/>
      <c r="F197" s="21" t="s">
        <v>29</v>
      </c>
      <c r="G197" s="25" t="s">
        <v>30</v>
      </c>
      <c r="H197" s="7"/>
      <c r="I197" s="7"/>
      <c r="J197" s="7"/>
      <c r="K197" s="7"/>
      <c r="L197" s="7"/>
      <c r="M197" s="7"/>
      <c r="N197" t="str">
        <f>_xlfn.CONCAT(D197,"_",F197)</f>
        <v>2_F07</v>
      </c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5" customHeight="1">
      <c r="A198" s="20" t="s">
        <v>15</v>
      </c>
      <c r="B198" s="21" t="s">
        <v>16</v>
      </c>
      <c r="C198" s="22">
        <v>753684</v>
      </c>
      <c r="D198" s="23">
        <v>2</v>
      </c>
      <c r="E198" s="24"/>
      <c r="F198" s="21" t="s">
        <v>31</v>
      </c>
      <c r="G198" s="25" t="s">
        <v>32</v>
      </c>
      <c r="H198" s="7"/>
      <c r="I198" s="7"/>
      <c r="J198" s="7"/>
      <c r="K198" s="7"/>
      <c r="L198" s="7"/>
      <c r="M198" s="7"/>
      <c r="N198" t="str">
        <f>_xlfn.CONCAT(D198,"_",F198)</f>
        <v>2_G07</v>
      </c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5" customHeight="1">
      <c r="A199" s="20" t="s">
        <v>15</v>
      </c>
      <c r="B199" s="21" t="s">
        <v>16</v>
      </c>
      <c r="C199" s="22">
        <v>753685</v>
      </c>
      <c r="D199" s="23">
        <v>2</v>
      </c>
      <c r="E199" s="24"/>
      <c r="F199" s="21" t="s">
        <v>33</v>
      </c>
      <c r="G199" s="25" t="s">
        <v>34</v>
      </c>
      <c r="H199" s="7"/>
      <c r="I199" s="7"/>
      <c r="J199" s="7"/>
      <c r="K199" s="7"/>
      <c r="L199" s="7"/>
      <c r="M199" s="7"/>
      <c r="N199" t="str">
        <f>_xlfn.CONCAT(D199,"_",F199)</f>
        <v>2_H07</v>
      </c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5" customHeight="1">
      <c r="A200" s="20" t="s">
        <v>15</v>
      </c>
      <c r="B200" s="21" t="s">
        <v>16</v>
      </c>
      <c r="C200" s="22">
        <v>753686</v>
      </c>
      <c r="D200" s="23">
        <v>2</v>
      </c>
      <c r="E200" s="24"/>
      <c r="F200" s="21" t="s">
        <v>35</v>
      </c>
      <c r="G200" s="25" t="s">
        <v>36</v>
      </c>
      <c r="H200" s="7"/>
      <c r="I200" s="7"/>
      <c r="J200" s="7"/>
      <c r="K200" s="7"/>
      <c r="L200" s="7"/>
      <c r="M200" s="7"/>
      <c r="N200" t="str">
        <f>_xlfn.CONCAT(D200,"_",F200)</f>
        <v>2_A08</v>
      </c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5" customHeight="1">
      <c r="A201" s="20" t="s">
        <v>15</v>
      </c>
      <c r="B201" s="21" t="s">
        <v>16</v>
      </c>
      <c r="C201" s="22">
        <v>753687</v>
      </c>
      <c r="D201" s="23">
        <v>2</v>
      </c>
      <c r="E201" s="24"/>
      <c r="F201" s="21" t="s">
        <v>37</v>
      </c>
      <c r="G201" s="25" t="s">
        <v>38</v>
      </c>
      <c r="H201" s="7"/>
      <c r="I201" s="7"/>
      <c r="J201" s="7"/>
      <c r="K201" s="7"/>
      <c r="L201" s="7"/>
      <c r="M201" s="7"/>
      <c r="N201" t="str">
        <f>_xlfn.CONCAT(D201,"_",F201)</f>
        <v>2_B08</v>
      </c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5" customHeight="1">
      <c r="A202" s="20" t="s">
        <v>15</v>
      </c>
      <c r="B202" s="21" t="s">
        <v>16</v>
      </c>
      <c r="C202" s="22">
        <v>753688</v>
      </c>
      <c r="D202" s="23">
        <v>2</v>
      </c>
      <c r="E202" s="24"/>
      <c r="F202" s="21" t="s">
        <v>172</v>
      </c>
      <c r="G202" s="25" t="s">
        <v>173</v>
      </c>
      <c r="H202" s="7"/>
      <c r="I202" s="7"/>
      <c r="J202" s="7"/>
      <c r="K202" s="7"/>
      <c r="L202" s="7"/>
      <c r="M202" s="7"/>
      <c r="N202" t="str">
        <f>_xlfn.CONCAT(D202,"_",F202)</f>
        <v>2_C08</v>
      </c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5" customHeight="1">
      <c r="A203" s="20" t="s">
        <v>15</v>
      </c>
      <c r="B203" s="21" t="s">
        <v>16</v>
      </c>
      <c r="C203" s="22">
        <v>753689</v>
      </c>
      <c r="D203" s="23">
        <v>2</v>
      </c>
      <c r="E203" s="24"/>
      <c r="F203" s="21" t="s">
        <v>174</v>
      </c>
      <c r="G203" s="25" t="s">
        <v>175</v>
      </c>
      <c r="H203" s="7"/>
      <c r="I203" s="7"/>
      <c r="J203" s="7"/>
      <c r="K203" s="7"/>
      <c r="L203" s="7"/>
      <c r="M203" s="7"/>
      <c r="N203" t="str">
        <f>_xlfn.CONCAT(D203,"_",F203)</f>
        <v>2_D08</v>
      </c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5" customHeight="1">
      <c r="A204" s="20" t="s">
        <v>15</v>
      </c>
      <c r="B204" s="21" t="s">
        <v>16</v>
      </c>
      <c r="C204" s="22">
        <v>753690</v>
      </c>
      <c r="D204" s="23">
        <v>2</v>
      </c>
      <c r="E204" s="24"/>
      <c r="F204" s="21" t="s">
        <v>176</v>
      </c>
      <c r="G204" s="25" t="s">
        <v>177</v>
      </c>
      <c r="H204" s="7"/>
      <c r="I204" s="7"/>
      <c r="J204" s="7"/>
      <c r="K204" s="7"/>
      <c r="L204" s="7"/>
      <c r="M204" s="7"/>
      <c r="N204" t="str">
        <f>_xlfn.CONCAT(D204,"_",F204)</f>
        <v>2_E08</v>
      </c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5" customHeight="1">
      <c r="A205" s="20" t="s">
        <v>15</v>
      </c>
      <c r="B205" s="21" t="s">
        <v>16</v>
      </c>
      <c r="C205" s="22">
        <v>753698</v>
      </c>
      <c r="D205" s="23">
        <v>2</v>
      </c>
      <c r="E205" s="24"/>
      <c r="F205" s="21" t="s">
        <v>178</v>
      </c>
      <c r="G205" s="25" t="s">
        <v>179</v>
      </c>
      <c r="H205" s="7"/>
      <c r="I205" s="7"/>
      <c r="J205" s="7"/>
      <c r="K205" s="7"/>
      <c r="L205" s="7"/>
      <c r="M205" s="7"/>
      <c r="N205" t="str">
        <f>_xlfn.CONCAT(D205,"_",F205)</f>
        <v>2_F08</v>
      </c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5" customHeight="1">
      <c r="A206" s="20" t="s">
        <v>15</v>
      </c>
      <c r="B206" s="21" t="s">
        <v>16</v>
      </c>
      <c r="C206" s="22">
        <v>753697</v>
      </c>
      <c r="D206" s="23">
        <v>2</v>
      </c>
      <c r="E206" s="24"/>
      <c r="F206" s="21" t="s">
        <v>180</v>
      </c>
      <c r="G206" s="25" t="s">
        <v>181</v>
      </c>
      <c r="H206" s="7"/>
      <c r="I206" s="7"/>
      <c r="J206" s="7"/>
      <c r="K206" s="7"/>
      <c r="L206" s="7"/>
      <c r="M206" s="7"/>
      <c r="N206" t="str">
        <f>_xlfn.CONCAT(D206,"_",F206)</f>
        <v>2_G08</v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5" customHeight="1">
      <c r="A207" s="20" t="s">
        <v>15</v>
      </c>
      <c r="B207" s="21" t="s">
        <v>16</v>
      </c>
      <c r="C207" s="22">
        <v>753696</v>
      </c>
      <c r="D207" s="23">
        <v>2</v>
      </c>
      <c r="E207" s="24"/>
      <c r="F207" s="21" t="s">
        <v>182</v>
      </c>
      <c r="G207" s="25" t="s">
        <v>183</v>
      </c>
      <c r="H207" s="7"/>
      <c r="I207" s="7"/>
      <c r="J207" s="7"/>
      <c r="K207" s="7"/>
      <c r="L207" s="7"/>
      <c r="M207" s="7"/>
      <c r="N207" t="str">
        <f>_xlfn.CONCAT(D207,"_",F207)</f>
        <v>2_H08</v>
      </c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5" customHeight="1">
      <c r="A208" s="20" t="s">
        <v>15</v>
      </c>
      <c r="B208" s="21" t="s">
        <v>16</v>
      </c>
      <c r="C208" s="22">
        <v>753695</v>
      </c>
      <c r="D208" s="23">
        <v>2</v>
      </c>
      <c r="E208" s="24"/>
      <c r="F208" s="21" t="s">
        <v>39</v>
      </c>
      <c r="G208" s="25" t="s">
        <v>40</v>
      </c>
      <c r="H208" s="7"/>
      <c r="I208" s="7"/>
      <c r="J208" s="7"/>
      <c r="K208" s="7"/>
      <c r="L208" s="7"/>
      <c r="M208" s="7"/>
      <c r="N208" t="str">
        <f>_xlfn.CONCAT(D208,"_",F208)</f>
        <v>2_A09</v>
      </c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5" customHeight="1">
      <c r="A209" s="20" t="s">
        <v>15</v>
      </c>
      <c r="B209" s="21" t="s">
        <v>16</v>
      </c>
      <c r="C209" s="22">
        <v>753694</v>
      </c>
      <c r="D209" s="23">
        <v>2</v>
      </c>
      <c r="E209" s="24"/>
      <c r="F209" s="21" t="s">
        <v>41</v>
      </c>
      <c r="G209" s="25" t="s">
        <v>42</v>
      </c>
      <c r="H209" s="7"/>
      <c r="I209" s="7"/>
      <c r="J209" s="7"/>
      <c r="K209" s="7"/>
      <c r="L209" s="7"/>
      <c r="M209" s="7"/>
      <c r="N209" t="str">
        <f>_xlfn.CONCAT(D209,"_",F209)</f>
        <v>2_B09</v>
      </c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5" customHeight="1">
      <c r="A210" s="20" t="s">
        <v>15</v>
      </c>
      <c r="B210" s="21" t="s">
        <v>16</v>
      </c>
      <c r="C210" s="22">
        <v>753699</v>
      </c>
      <c r="D210" s="23">
        <v>2</v>
      </c>
      <c r="E210" s="24"/>
      <c r="F210" s="21" t="s">
        <v>184</v>
      </c>
      <c r="G210" s="25" t="s">
        <v>185</v>
      </c>
      <c r="H210" s="7"/>
      <c r="I210" s="7"/>
      <c r="J210" s="7"/>
      <c r="K210" s="7"/>
      <c r="L210" s="7"/>
      <c r="M210" s="7"/>
      <c r="N210" t="str">
        <f>_xlfn.CONCAT(D210,"_",F210)</f>
        <v>2_C09</v>
      </c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5" customHeight="1">
      <c r="A211" s="20" t="s">
        <v>15</v>
      </c>
      <c r="B211" s="21" t="s">
        <v>16</v>
      </c>
      <c r="C211" s="22">
        <v>753700</v>
      </c>
      <c r="D211" s="23">
        <v>2</v>
      </c>
      <c r="E211" s="24"/>
      <c r="F211" s="21" t="s">
        <v>186</v>
      </c>
      <c r="G211" s="25" t="s">
        <v>187</v>
      </c>
      <c r="H211" s="7"/>
      <c r="I211" s="7"/>
      <c r="J211" s="7"/>
      <c r="K211" s="7"/>
      <c r="L211" s="7"/>
      <c r="M211" s="7"/>
      <c r="N211" t="str">
        <f>_xlfn.CONCAT(D211,"_",F211)</f>
        <v>2_D09</v>
      </c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5" customHeight="1">
      <c r="A212" s="20" t="s">
        <v>15</v>
      </c>
      <c r="B212" s="21" t="s">
        <v>16</v>
      </c>
      <c r="C212" s="22">
        <v>753701</v>
      </c>
      <c r="D212" s="23">
        <v>2</v>
      </c>
      <c r="E212" s="24"/>
      <c r="F212" s="21" t="s">
        <v>188</v>
      </c>
      <c r="G212" s="25" t="s">
        <v>189</v>
      </c>
      <c r="H212" s="7"/>
      <c r="I212" s="7"/>
      <c r="J212" s="7"/>
      <c r="K212" s="7"/>
      <c r="L212" s="7"/>
      <c r="M212" s="7"/>
      <c r="N212" t="str">
        <f>_xlfn.CONCAT(D212,"_",F212)</f>
        <v>2_E09</v>
      </c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5" customHeight="1">
      <c r="A213" s="20" t="s">
        <v>15</v>
      </c>
      <c r="B213" s="21" t="s">
        <v>16</v>
      </c>
      <c r="C213" s="22">
        <v>753708</v>
      </c>
      <c r="D213" s="23">
        <v>2</v>
      </c>
      <c r="E213" s="24"/>
      <c r="F213" s="21" t="s">
        <v>190</v>
      </c>
      <c r="G213" s="25" t="s">
        <v>191</v>
      </c>
      <c r="H213" s="7"/>
      <c r="I213" s="7"/>
      <c r="J213" s="7"/>
      <c r="K213" s="7"/>
      <c r="L213" s="7"/>
      <c r="M213" s="7"/>
      <c r="N213" t="str">
        <f>_xlfn.CONCAT(D213,"_",F213)</f>
        <v>2_F09</v>
      </c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5" customHeight="1">
      <c r="A214" s="20" t="s">
        <v>15</v>
      </c>
      <c r="B214" s="21" t="s">
        <v>16</v>
      </c>
      <c r="C214" s="22">
        <v>753707</v>
      </c>
      <c r="D214" s="23">
        <v>2</v>
      </c>
      <c r="E214" s="24"/>
      <c r="F214" s="21" t="s">
        <v>192</v>
      </c>
      <c r="G214" s="25" t="s">
        <v>193</v>
      </c>
      <c r="H214" s="7"/>
      <c r="I214" s="7"/>
      <c r="J214" s="7"/>
      <c r="K214" s="7"/>
      <c r="L214" s="7"/>
      <c r="M214" s="7"/>
      <c r="N214" t="str">
        <f>_xlfn.CONCAT(D214,"_",F214)</f>
        <v>2_G09</v>
      </c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5" customHeight="1">
      <c r="A215" s="20" t="s">
        <v>15</v>
      </c>
      <c r="B215" s="21" t="s">
        <v>16</v>
      </c>
      <c r="C215" s="22">
        <v>753702</v>
      </c>
      <c r="D215" s="23">
        <v>2</v>
      </c>
      <c r="E215" s="24"/>
      <c r="F215" s="21" t="s">
        <v>194</v>
      </c>
      <c r="G215" s="25" t="s">
        <v>195</v>
      </c>
      <c r="H215" s="7"/>
      <c r="I215" s="7"/>
      <c r="J215" s="7"/>
      <c r="K215" s="7"/>
      <c r="L215" s="7"/>
      <c r="M215" s="7"/>
      <c r="N215" t="str">
        <f>_xlfn.CONCAT(D215,"_",F215)</f>
        <v>2_H09</v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5" customHeight="1">
      <c r="A216" s="20" t="s">
        <v>15</v>
      </c>
      <c r="B216" s="21" t="s">
        <v>16</v>
      </c>
      <c r="C216" s="22">
        <v>753703</v>
      </c>
      <c r="D216" s="23">
        <v>2</v>
      </c>
      <c r="E216" s="24"/>
      <c r="F216" s="21" t="s">
        <v>196</v>
      </c>
      <c r="G216" s="25" t="s">
        <v>197</v>
      </c>
      <c r="H216" s="7"/>
      <c r="I216" s="7"/>
      <c r="J216" s="7"/>
      <c r="K216" s="7"/>
      <c r="L216" s="7"/>
      <c r="M216" s="7"/>
      <c r="N216" t="str">
        <f>_xlfn.CONCAT(D216,"_",F216)</f>
        <v>2_A10</v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5" customHeight="1">
      <c r="A217" s="20" t="s">
        <v>15</v>
      </c>
      <c r="B217" s="21" t="s">
        <v>16</v>
      </c>
      <c r="C217" s="22">
        <v>753704</v>
      </c>
      <c r="D217" s="23">
        <v>2</v>
      </c>
      <c r="E217" s="24"/>
      <c r="F217" s="21" t="s">
        <v>198</v>
      </c>
      <c r="G217" s="25" t="s">
        <v>199</v>
      </c>
      <c r="H217" s="7"/>
      <c r="I217" s="7"/>
      <c r="J217" s="7"/>
      <c r="K217" s="7"/>
      <c r="L217" s="7"/>
      <c r="M217" s="7"/>
      <c r="N217" t="str">
        <f>_xlfn.CONCAT(D217,"_",F217)</f>
        <v>2_B10</v>
      </c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5" customHeight="1">
      <c r="A218" s="20" t="s">
        <v>15</v>
      </c>
      <c r="B218" s="21" t="s">
        <v>16</v>
      </c>
      <c r="C218" s="22">
        <v>753705</v>
      </c>
      <c r="D218" s="23">
        <v>2</v>
      </c>
      <c r="E218" s="24"/>
      <c r="F218" s="21" t="s">
        <v>200</v>
      </c>
      <c r="G218" s="25" t="s">
        <v>201</v>
      </c>
      <c r="H218" s="7"/>
      <c r="I218" s="7"/>
      <c r="J218" s="7"/>
      <c r="K218" s="7"/>
      <c r="L218" s="7"/>
      <c r="M218" s="7"/>
      <c r="N218" t="str">
        <f>_xlfn.CONCAT(D218,"_",F218)</f>
        <v>2_C10</v>
      </c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5" customHeight="1">
      <c r="A219" s="20" t="s">
        <v>15</v>
      </c>
      <c r="B219" s="21" t="s">
        <v>16</v>
      </c>
      <c r="C219" s="22">
        <v>753706</v>
      </c>
      <c r="D219" s="23">
        <v>2</v>
      </c>
      <c r="E219" s="24"/>
      <c r="F219" s="21" t="s">
        <v>202</v>
      </c>
      <c r="G219" s="25" t="s">
        <v>203</v>
      </c>
      <c r="H219" s="7"/>
      <c r="I219" s="7"/>
      <c r="J219" s="7"/>
      <c r="K219" s="7"/>
      <c r="L219" s="7"/>
      <c r="M219" s="7"/>
      <c r="N219" t="str">
        <f>_xlfn.CONCAT(D219,"_",F219)</f>
        <v>2_D10</v>
      </c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5" customHeight="1">
      <c r="A220" s="20" t="s">
        <v>15</v>
      </c>
      <c r="B220" s="21" t="s">
        <v>16</v>
      </c>
      <c r="C220" s="22">
        <v>753861</v>
      </c>
      <c r="D220" s="23">
        <v>2</v>
      </c>
      <c r="E220" s="24"/>
      <c r="F220" s="21" t="s">
        <v>204</v>
      </c>
      <c r="G220" s="25" t="s">
        <v>205</v>
      </c>
      <c r="H220" s="7"/>
      <c r="I220" s="7"/>
      <c r="J220" s="7"/>
      <c r="K220" s="7"/>
      <c r="L220" s="7"/>
      <c r="M220" s="7"/>
      <c r="N220" t="str">
        <f>_xlfn.CONCAT(D220,"_",F220)</f>
        <v>2_E10</v>
      </c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5" customHeight="1">
      <c r="A221" s="20" t="s">
        <v>15</v>
      </c>
      <c r="B221" s="21" t="s">
        <v>16</v>
      </c>
      <c r="C221" s="22">
        <v>753862</v>
      </c>
      <c r="D221" s="23">
        <v>2</v>
      </c>
      <c r="E221" s="24"/>
      <c r="F221" s="21" t="s">
        <v>206</v>
      </c>
      <c r="G221" s="25" t="s">
        <v>207</v>
      </c>
      <c r="H221" s="7"/>
      <c r="I221" s="7"/>
      <c r="J221" s="7"/>
      <c r="K221" s="7"/>
      <c r="L221" s="7"/>
      <c r="M221" s="7"/>
      <c r="N221" t="str">
        <f>_xlfn.CONCAT(D221,"_",F221)</f>
        <v>2_F10</v>
      </c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5" customHeight="1">
      <c r="A222" s="20" t="s">
        <v>15</v>
      </c>
      <c r="B222" s="21" t="s">
        <v>16</v>
      </c>
      <c r="C222" s="22">
        <v>753863</v>
      </c>
      <c r="D222" s="23">
        <v>2</v>
      </c>
      <c r="E222" s="24"/>
      <c r="F222" s="21" t="s">
        <v>91</v>
      </c>
      <c r="G222" s="25" t="s">
        <v>208</v>
      </c>
      <c r="H222" s="7"/>
      <c r="I222" s="7"/>
      <c r="J222" s="7"/>
      <c r="K222" s="7"/>
      <c r="L222" s="7"/>
      <c r="M222" s="7"/>
      <c r="N222" t="str">
        <f>_xlfn.CONCAT(D222,"_",F222)</f>
        <v>2_G10</v>
      </c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5" customHeight="1">
      <c r="A223" s="20" t="s">
        <v>15</v>
      </c>
      <c r="B223" s="21" t="s">
        <v>16</v>
      </c>
      <c r="C223" s="22">
        <v>753864</v>
      </c>
      <c r="D223" s="23">
        <v>2</v>
      </c>
      <c r="E223" s="24"/>
      <c r="F223" s="21" t="s">
        <v>92</v>
      </c>
      <c r="G223" s="25" t="s">
        <v>209</v>
      </c>
      <c r="H223" s="7"/>
      <c r="I223" s="7"/>
      <c r="J223" s="7"/>
      <c r="K223" s="7"/>
      <c r="L223" s="7"/>
      <c r="M223" s="7"/>
      <c r="N223" t="str">
        <f>_xlfn.CONCAT(D223,"_",F223)</f>
        <v>2_H10</v>
      </c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5" customHeight="1">
      <c r="A224" s="20" t="s">
        <v>15</v>
      </c>
      <c r="B224" s="21" t="s">
        <v>16</v>
      </c>
      <c r="C224" s="22">
        <v>753865</v>
      </c>
      <c r="D224" s="23">
        <v>2</v>
      </c>
      <c r="E224" s="24"/>
      <c r="F224" s="21" t="s">
        <v>93</v>
      </c>
      <c r="G224" s="25" t="s">
        <v>210</v>
      </c>
      <c r="H224" s="7"/>
      <c r="I224" s="7"/>
      <c r="J224" s="7"/>
      <c r="K224" s="7"/>
      <c r="L224" s="7"/>
      <c r="M224" s="7"/>
      <c r="N224" t="str">
        <f>_xlfn.CONCAT(D224,"_",F224)</f>
        <v>2_A11</v>
      </c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5" customHeight="1">
      <c r="A225" s="20" t="s">
        <v>15</v>
      </c>
      <c r="B225" s="21" t="s">
        <v>16</v>
      </c>
      <c r="C225" s="22">
        <v>753873</v>
      </c>
      <c r="D225" s="23">
        <v>2</v>
      </c>
      <c r="E225" s="24"/>
      <c r="F225" s="21" t="s">
        <v>94</v>
      </c>
      <c r="G225" s="25" t="s">
        <v>211</v>
      </c>
      <c r="H225" s="7"/>
      <c r="I225" s="7"/>
      <c r="J225" s="7"/>
      <c r="K225" s="7"/>
      <c r="L225" s="7"/>
      <c r="M225" s="7"/>
      <c r="N225" t="str">
        <f>_xlfn.CONCAT(D225,"_",F225)</f>
        <v>2_B11</v>
      </c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5" customHeight="1">
      <c r="A226" s="20" t="s">
        <v>15</v>
      </c>
      <c r="B226" s="21" t="s">
        <v>16</v>
      </c>
      <c r="C226" s="22">
        <v>753872</v>
      </c>
      <c r="D226" s="23">
        <v>2</v>
      </c>
      <c r="E226" s="24"/>
      <c r="F226" s="21" t="s">
        <v>49</v>
      </c>
      <c r="G226" s="25" t="s">
        <v>50</v>
      </c>
      <c r="H226" s="7"/>
      <c r="I226" s="7"/>
      <c r="J226" s="7"/>
      <c r="K226" s="7"/>
      <c r="L226" s="7"/>
      <c r="M226" s="7"/>
      <c r="N226" t="str">
        <f>_xlfn.CONCAT(D226,"_",F226)</f>
        <v>2_C11</v>
      </c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5" customHeight="1">
      <c r="A227" s="20" t="s">
        <v>15</v>
      </c>
      <c r="B227" s="21" t="s">
        <v>16</v>
      </c>
      <c r="C227" s="22">
        <v>753871</v>
      </c>
      <c r="D227" s="23">
        <v>2</v>
      </c>
      <c r="E227" s="24"/>
      <c r="F227" s="21" t="s">
        <v>51</v>
      </c>
      <c r="G227" s="25" t="s">
        <v>52</v>
      </c>
      <c r="H227" s="7"/>
      <c r="I227" s="7"/>
      <c r="J227" s="7"/>
      <c r="K227" s="7"/>
      <c r="L227" s="7"/>
      <c r="M227" s="7"/>
      <c r="N227" t="str">
        <f>_xlfn.CONCAT(D227,"_",F227)</f>
        <v>2_D11</v>
      </c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5" customHeight="1">
      <c r="A228" s="20" t="s">
        <v>15</v>
      </c>
      <c r="B228" s="21" t="s">
        <v>16</v>
      </c>
      <c r="C228" s="22">
        <v>753870</v>
      </c>
      <c r="D228" s="23">
        <v>2</v>
      </c>
      <c r="E228" s="24"/>
      <c r="F228" s="21" t="s">
        <v>95</v>
      </c>
      <c r="G228" s="25" t="s">
        <v>212</v>
      </c>
      <c r="H228" s="7"/>
      <c r="I228" s="7"/>
      <c r="J228" s="7"/>
      <c r="K228" s="7"/>
      <c r="L228" s="7"/>
      <c r="M228" s="7"/>
      <c r="N228" t="str">
        <f>_xlfn.CONCAT(D228,"_",F228)</f>
        <v>2_E11</v>
      </c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5" customHeight="1">
      <c r="A229" s="20" t="s">
        <v>15</v>
      </c>
      <c r="B229" s="21" t="s">
        <v>16</v>
      </c>
      <c r="C229" s="22">
        <v>753869</v>
      </c>
      <c r="D229" s="23">
        <v>2</v>
      </c>
      <c r="E229" s="24"/>
      <c r="F229" s="21" t="s">
        <v>53</v>
      </c>
      <c r="G229" s="25" t="s">
        <v>54</v>
      </c>
      <c r="H229" s="7"/>
      <c r="I229" s="7"/>
      <c r="J229" s="7"/>
      <c r="K229" s="7"/>
      <c r="L229" s="7"/>
      <c r="M229" s="7"/>
      <c r="N229" t="str">
        <f>_xlfn.CONCAT(D229,"_",F229)</f>
        <v>2_F11</v>
      </c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5" customHeight="1">
      <c r="A230" s="20" t="s">
        <v>15</v>
      </c>
      <c r="B230" s="21" t="s">
        <v>16</v>
      </c>
      <c r="C230" s="22">
        <v>753866</v>
      </c>
      <c r="D230" s="23">
        <v>2</v>
      </c>
      <c r="E230" s="24"/>
      <c r="F230" s="21" t="s">
        <v>55</v>
      </c>
      <c r="G230" s="25" t="s">
        <v>56</v>
      </c>
      <c r="H230" s="7"/>
      <c r="I230" s="7"/>
      <c r="J230" s="7"/>
      <c r="K230" s="7"/>
      <c r="L230" s="7"/>
      <c r="M230" s="7"/>
      <c r="N230" t="str">
        <f>_xlfn.CONCAT(D230,"_",F230)</f>
        <v>2_G11</v>
      </c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5" customHeight="1">
      <c r="A231" s="20" t="s">
        <v>15</v>
      </c>
      <c r="B231" s="21" t="s">
        <v>16</v>
      </c>
      <c r="C231" s="22">
        <v>753867</v>
      </c>
      <c r="D231" s="23">
        <v>2</v>
      </c>
      <c r="E231" s="24"/>
      <c r="F231" s="21" t="s">
        <v>57</v>
      </c>
      <c r="G231" s="25" t="s">
        <v>58</v>
      </c>
      <c r="H231" s="7"/>
      <c r="I231" s="7"/>
      <c r="J231" s="7"/>
      <c r="K231" s="7"/>
      <c r="L231" s="7"/>
      <c r="M231" s="7"/>
      <c r="N231" t="str">
        <f>_xlfn.CONCAT(D231,"_",F231)</f>
        <v>2_H11</v>
      </c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5" customHeight="1">
      <c r="A232" s="20" t="s">
        <v>15</v>
      </c>
      <c r="B232" s="21" t="s">
        <v>16</v>
      </c>
      <c r="C232" s="22">
        <v>753868</v>
      </c>
      <c r="D232" s="23">
        <v>2</v>
      </c>
      <c r="E232" s="24"/>
      <c r="F232" s="21" t="s">
        <v>59</v>
      </c>
      <c r="G232" s="25" t="s">
        <v>60</v>
      </c>
      <c r="H232" s="7"/>
      <c r="I232" s="7"/>
      <c r="J232" s="7"/>
      <c r="K232" s="7"/>
      <c r="L232" s="7"/>
      <c r="M232" s="7"/>
      <c r="N232" t="str">
        <f>_xlfn.CONCAT(D232,"_",F232)</f>
        <v>2_A12</v>
      </c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5" customHeight="1">
      <c r="A233" s="20" t="s">
        <v>15</v>
      </c>
      <c r="B233" s="21" t="s">
        <v>16</v>
      </c>
      <c r="C233" s="22">
        <v>753874</v>
      </c>
      <c r="D233" s="23">
        <v>2</v>
      </c>
      <c r="E233" s="24"/>
      <c r="F233" s="21" t="s">
        <v>61</v>
      </c>
      <c r="G233" s="25" t="s">
        <v>62</v>
      </c>
      <c r="H233" s="7"/>
      <c r="I233" s="7"/>
      <c r="J233" s="7"/>
      <c r="K233" s="7"/>
      <c r="L233" s="7"/>
      <c r="M233" s="7"/>
      <c r="N233" t="str">
        <f>_xlfn.CONCAT(D233,"_",F233)</f>
        <v>2_B12</v>
      </c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5" customHeight="1">
      <c r="A234" s="20" t="s">
        <v>15</v>
      </c>
      <c r="B234" s="21" t="s">
        <v>16</v>
      </c>
      <c r="C234" s="22">
        <v>753876</v>
      </c>
      <c r="D234" s="23">
        <v>2</v>
      </c>
      <c r="E234" s="24"/>
      <c r="F234" s="21" t="s">
        <v>63</v>
      </c>
      <c r="G234" s="25" t="s">
        <v>64</v>
      </c>
      <c r="H234" s="7"/>
      <c r="I234" s="7"/>
      <c r="J234" s="7"/>
      <c r="K234" s="7"/>
      <c r="L234" s="7"/>
      <c r="M234" s="7"/>
      <c r="N234" t="str">
        <f>_xlfn.CONCAT(D234,"_",F234)</f>
        <v>2_C12</v>
      </c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5" customHeight="1">
      <c r="A235" s="20" t="s">
        <v>15</v>
      </c>
      <c r="B235" s="21" t="s">
        <v>16</v>
      </c>
      <c r="C235" s="22">
        <v>753875</v>
      </c>
      <c r="D235" s="23">
        <v>2</v>
      </c>
      <c r="E235" s="24"/>
      <c r="F235" s="21" t="s">
        <v>65</v>
      </c>
      <c r="G235" s="25" t="s">
        <v>66</v>
      </c>
      <c r="H235" s="7"/>
      <c r="I235" s="7"/>
      <c r="J235" s="7"/>
      <c r="K235" s="7"/>
      <c r="L235" s="7"/>
      <c r="M235" s="7"/>
      <c r="N235" t="str">
        <f>_xlfn.CONCAT(D235,"_",F235)</f>
        <v>2_D12</v>
      </c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5" customHeight="1">
      <c r="A236" s="20" t="s">
        <v>15</v>
      </c>
      <c r="B236" s="21" t="s">
        <v>16</v>
      </c>
      <c r="C236" s="22">
        <v>753892</v>
      </c>
      <c r="D236" s="23">
        <v>2</v>
      </c>
      <c r="E236" s="24"/>
      <c r="F236" s="21" t="s">
        <v>67</v>
      </c>
      <c r="G236" s="25" t="s">
        <v>68</v>
      </c>
      <c r="H236" s="7"/>
      <c r="I236" s="7"/>
      <c r="J236" s="7"/>
      <c r="K236" s="7"/>
      <c r="L236" s="7"/>
      <c r="M236" s="7"/>
      <c r="N236" t="str">
        <f>_xlfn.CONCAT(D236,"_",F236)</f>
        <v>2_E12</v>
      </c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5" customHeight="1">
      <c r="A237" s="20" t="s">
        <v>15</v>
      </c>
      <c r="B237" s="21" t="s">
        <v>16</v>
      </c>
      <c r="C237" s="22">
        <v>753891</v>
      </c>
      <c r="D237" s="23">
        <v>2</v>
      </c>
      <c r="E237" s="24"/>
      <c r="F237" s="21" t="s">
        <v>96</v>
      </c>
      <c r="G237" s="25" t="s">
        <v>213</v>
      </c>
      <c r="H237" s="7"/>
      <c r="I237" s="7"/>
      <c r="J237" s="7"/>
      <c r="K237" s="7"/>
      <c r="L237" s="7"/>
      <c r="M237" s="7"/>
      <c r="N237" t="str">
        <f>_xlfn.CONCAT(D237,"_",F237)</f>
        <v>2_F12</v>
      </c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5" customHeight="1">
      <c r="A238" s="20" t="s">
        <v>15</v>
      </c>
      <c r="B238" s="21" t="s">
        <v>16</v>
      </c>
      <c r="C238" s="22">
        <v>753890</v>
      </c>
      <c r="D238" s="23">
        <v>2</v>
      </c>
      <c r="E238" s="24"/>
      <c r="F238" s="21" t="s">
        <v>97</v>
      </c>
      <c r="G238" s="25" t="s">
        <v>214</v>
      </c>
      <c r="H238" s="7"/>
      <c r="I238" s="7"/>
      <c r="J238" s="7"/>
      <c r="K238" s="7"/>
      <c r="L238" s="7"/>
      <c r="M238" s="7"/>
      <c r="N238" t="str">
        <f>_xlfn.CONCAT(D238,"_",F238)</f>
        <v>2_G12</v>
      </c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5" customHeight="1">
      <c r="A239" s="21" t="s">
        <v>15</v>
      </c>
      <c r="B239" s="21" t="s">
        <v>16</v>
      </c>
      <c r="C239" s="22">
        <v>753882</v>
      </c>
      <c r="D239" s="23">
        <v>3</v>
      </c>
      <c r="E239" s="24"/>
      <c r="F239" s="21" t="s">
        <v>100</v>
      </c>
      <c r="G239" s="25" t="s">
        <v>101</v>
      </c>
      <c r="H239" s="7"/>
      <c r="I239" s="7"/>
      <c r="J239" s="26"/>
      <c r="K239" s="7"/>
      <c r="L239" s="7"/>
      <c r="M239" s="7"/>
      <c r="N239" t="str">
        <f>_xlfn.CONCAT(D239,"_",F239)</f>
        <v>3_A01</v>
      </c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5" customHeight="1">
      <c r="A240" s="21" t="s">
        <v>15</v>
      </c>
      <c r="B240" s="21" t="s">
        <v>16</v>
      </c>
      <c r="C240" s="22">
        <v>753883</v>
      </c>
      <c r="D240" s="23">
        <v>3</v>
      </c>
      <c r="E240" s="24"/>
      <c r="F240" s="21" t="s">
        <v>102</v>
      </c>
      <c r="G240" s="25" t="s">
        <v>103</v>
      </c>
      <c r="H240" s="7"/>
      <c r="I240" s="7"/>
      <c r="J240" s="7"/>
      <c r="K240" s="7"/>
      <c r="L240" s="7"/>
      <c r="M240" s="7"/>
      <c r="N240" t="str">
        <f>_xlfn.CONCAT(D240,"_",F240)</f>
        <v>3_B01</v>
      </c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5" customHeight="1">
      <c r="A241" s="21" t="s">
        <v>15</v>
      </c>
      <c r="B241" s="21" t="s">
        <v>16</v>
      </c>
      <c r="C241" s="22">
        <v>753877</v>
      </c>
      <c r="D241" s="23">
        <v>3</v>
      </c>
      <c r="E241" s="24"/>
      <c r="F241" s="21" t="s">
        <v>104</v>
      </c>
      <c r="G241" s="25" t="s">
        <v>105</v>
      </c>
      <c r="H241" s="7"/>
      <c r="I241" s="7"/>
      <c r="J241" s="7"/>
      <c r="K241" s="7"/>
      <c r="L241" s="7"/>
      <c r="M241" s="7"/>
      <c r="N241" t="str">
        <f>_xlfn.CONCAT(D241,"_",F241)</f>
        <v>3_C01</v>
      </c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5" customHeight="1">
      <c r="A242" s="21" t="s">
        <v>15</v>
      </c>
      <c r="B242" s="21" t="s">
        <v>16</v>
      </c>
      <c r="C242" s="22">
        <v>753878</v>
      </c>
      <c r="D242" s="23">
        <v>3</v>
      </c>
      <c r="E242" s="24"/>
      <c r="F242" s="21" t="s">
        <v>69</v>
      </c>
      <c r="G242" s="25" t="s">
        <v>106</v>
      </c>
      <c r="H242" s="7"/>
      <c r="I242" s="7"/>
      <c r="J242" s="7"/>
      <c r="K242" s="7"/>
      <c r="L242" s="7"/>
      <c r="M242" s="7"/>
      <c r="N242" t="str">
        <f>_xlfn.CONCAT(D242,"_",F242)</f>
        <v>3_D01</v>
      </c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5" customHeight="1">
      <c r="A243" s="21" t="s">
        <v>15</v>
      </c>
      <c r="B243" s="21" t="s">
        <v>16</v>
      </c>
      <c r="C243" s="22">
        <v>753879</v>
      </c>
      <c r="D243" s="23">
        <v>3</v>
      </c>
      <c r="E243" s="24"/>
      <c r="F243" s="21" t="s">
        <v>71</v>
      </c>
      <c r="G243" s="25" t="s">
        <v>107</v>
      </c>
      <c r="H243" s="7"/>
      <c r="I243" s="7"/>
      <c r="J243" s="7"/>
      <c r="K243" s="7"/>
      <c r="L243" s="7"/>
      <c r="M243" s="7"/>
      <c r="N243" t="str">
        <f>_xlfn.CONCAT(D243,"_",F243)</f>
        <v>3_E01</v>
      </c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5" customHeight="1">
      <c r="A244" s="21" t="s">
        <v>15</v>
      </c>
      <c r="B244" s="21" t="s">
        <v>16</v>
      </c>
      <c r="C244" s="22">
        <v>753880</v>
      </c>
      <c r="D244" s="23">
        <v>3</v>
      </c>
      <c r="E244" s="24"/>
      <c r="F244" s="21" t="s">
        <v>73</v>
      </c>
      <c r="G244" s="25" t="s">
        <v>108</v>
      </c>
      <c r="H244" s="7"/>
      <c r="I244" s="7"/>
      <c r="J244" s="7"/>
      <c r="K244" s="7"/>
      <c r="L244" s="7"/>
      <c r="M244" s="7"/>
      <c r="N244" t="str">
        <f>_xlfn.CONCAT(D244,"_",F244)</f>
        <v>3_F01</v>
      </c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5" customHeight="1">
      <c r="A245" s="21" t="s">
        <v>15</v>
      </c>
      <c r="B245" s="21" t="s">
        <v>16</v>
      </c>
      <c r="C245" s="22">
        <v>753881</v>
      </c>
      <c r="D245" s="23">
        <v>3</v>
      </c>
      <c r="E245" s="24"/>
      <c r="F245" s="21" t="s">
        <v>75</v>
      </c>
      <c r="G245" s="25" t="s">
        <v>109</v>
      </c>
      <c r="H245" s="7"/>
      <c r="I245" s="7"/>
      <c r="J245" s="7"/>
      <c r="K245" s="7"/>
      <c r="L245" s="7"/>
      <c r="M245" s="7"/>
      <c r="N245" t="str">
        <f>_xlfn.CONCAT(D245,"_",F245)</f>
        <v>3_G01</v>
      </c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5" customHeight="1">
      <c r="A246" s="21" t="s">
        <v>15</v>
      </c>
      <c r="B246" s="21" t="s">
        <v>16</v>
      </c>
      <c r="C246" s="22">
        <v>753885</v>
      </c>
      <c r="D246" s="23">
        <v>3</v>
      </c>
      <c r="E246" s="24"/>
      <c r="F246" s="21" t="s">
        <v>77</v>
      </c>
      <c r="G246" s="25" t="s">
        <v>110</v>
      </c>
      <c r="H246" s="7"/>
      <c r="I246" s="7"/>
      <c r="J246" s="7"/>
      <c r="K246" s="7"/>
      <c r="L246" s="7"/>
      <c r="M246" s="7"/>
      <c r="N246" t="str">
        <f>_xlfn.CONCAT(D246,"_",F246)</f>
        <v>3_H01</v>
      </c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5" customHeight="1">
      <c r="A247" s="21" t="s">
        <v>15</v>
      </c>
      <c r="B247" s="21" t="s">
        <v>16</v>
      </c>
      <c r="C247" s="22">
        <v>753886</v>
      </c>
      <c r="D247" s="23">
        <v>3</v>
      </c>
      <c r="E247" s="24"/>
      <c r="F247" s="21" t="s">
        <v>79</v>
      </c>
      <c r="G247" s="25" t="s">
        <v>111</v>
      </c>
      <c r="H247" s="7"/>
      <c r="I247" s="7"/>
      <c r="J247" s="7"/>
      <c r="K247" s="7"/>
      <c r="L247" s="7"/>
      <c r="M247" s="7"/>
      <c r="N247" t="str">
        <f>_xlfn.CONCAT(D247,"_",F247)</f>
        <v>3_A02</v>
      </c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5" customHeight="1">
      <c r="A248" s="21" t="s">
        <v>15</v>
      </c>
      <c r="B248" s="21" t="s">
        <v>16</v>
      </c>
      <c r="C248" s="22">
        <v>753887</v>
      </c>
      <c r="D248" s="23">
        <v>3</v>
      </c>
      <c r="E248" s="24"/>
      <c r="F248" s="21" t="s">
        <v>81</v>
      </c>
      <c r="G248" s="25" t="s">
        <v>112</v>
      </c>
      <c r="H248" s="7"/>
      <c r="I248" s="7"/>
      <c r="J248" s="7"/>
      <c r="K248" s="7"/>
      <c r="L248" s="7"/>
      <c r="M248" s="7"/>
      <c r="N248" t="str">
        <f>_xlfn.CONCAT(D248,"_",F248)</f>
        <v>3_B02</v>
      </c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5" customHeight="1">
      <c r="A249" s="21" t="s">
        <v>15</v>
      </c>
      <c r="B249" s="21" t="s">
        <v>16</v>
      </c>
      <c r="C249" s="22">
        <v>753888</v>
      </c>
      <c r="D249" s="23">
        <v>3</v>
      </c>
      <c r="E249" s="24"/>
      <c r="F249" s="21" t="s">
        <v>82</v>
      </c>
      <c r="G249" s="25" t="s">
        <v>113</v>
      </c>
      <c r="H249" s="7"/>
      <c r="I249" s="7"/>
      <c r="J249" s="7"/>
      <c r="K249" s="7"/>
      <c r="L249" s="7"/>
      <c r="M249" s="7"/>
      <c r="N249" t="str">
        <f>_xlfn.CONCAT(D249,"_",F249)</f>
        <v>3_C02</v>
      </c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5" customHeight="1">
      <c r="A250" s="21" t="s">
        <v>15</v>
      </c>
      <c r="B250" s="21" t="s">
        <v>16</v>
      </c>
      <c r="C250" s="22">
        <v>753889</v>
      </c>
      <c r="D250" s="23">
        <v>3</v>
      </c>
      <c r="E250" s="24"/>
      <c r="F250" s="21" t="s">
        <v>83</v>
      </c>
      <c r="G250" s="25" t="s">
        <v>114</v>
      </c>
      <c r="H250" s="7"/>
      <c r="I250" s="7"/>
      <c r="J250" s="7"/>
      <c r="K250" s="7"/>
      <c r="L250" s="7"/>
      <c r="M250" s="7"/>
      <c r="N250" t="str">
        <f>_xlfn.CONCAT(D250,"_",F250)</f>
        <v>3_D02</v>
      </c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5" customHeight="1">
      <c r="A251" s="21" t="s">
        <v>15</v>
      </c>
      <c r="B251" s="21" t="s">
        <v>16</v>
      </c>
      <c r="C251" s="22">
        <v>753914</v>
      </c>
      <c r="D251" s="23">
        <v>3</v>
      </c>
      <c r="E251" s="24"/>
      <c r="F251" s="21" t="s">
        <v>84</v>
      </c>
      <c r="G251" s="25" t="s">
        <v>115</v>
      </c>
      <c r="H251" s="7"/>
      <c r="I251" s="7"/>
      <c r="J251" s="7"/>
      <c r="K251" s="7"/>
      <c r="L251" s="7"/>
      <c r="M251" s="7"/>
      <c r="N251" t="str">
        <f>_xlfn.CONCAT(D251,"_",F251)</f>
        <v>3_E02</v>
      </c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5" customHeight="1">
      <c r="A252" s="21" t="s">
        <v>15</v>
      </c>
      <c r="B252" s="21" t="s">
        <v>16</v>
      </c>
      <c r="C252" s="22">
        <v>753915</v>
      </c>
      <c r="D252" s="23">
        <v>3</v>
      </c>
      <c r="E252" s="24"/>
      <c r="F252" s="21" t="s">
        <v>85</v>
      </c>
      <c r="G252" s="25" t="s">
        <v>116</v>
      </c>
      <c r="H252" s="7"/>
      <c r="I252" s="7"/>
      <c r="J252" s="7"/>
      <c r="K252" s="7"/>
      <c r="L252" s="7"/>
      <c r="M252" s="7"/>
      <c r="N252" t="str">
        <f>_xlfn.CONCAT(D252,"_",F252)</f>
        <v>3_F02</v>
      </c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5" customHeight="1">
      <c r="A253" s="21" t="s">
        <v>15</v>
      </c>
      <c r="B253" s="21" t="s">
        <v>16</v>
      </c>
      <c r="C253" s="22">
        <v>753916</v>
      </c>
      <c r="D253" s="23">
        <v>3</v>
      </c>
      <c r="E253" s="24"/>
      <c r="F253" s="21" t="s">
        <v>117</v>
      </c>
      <c r="G253" s="25" t="s">
        <v>118</v>
      </c>
      <c r="H253" s="7"/>
      <c r="I253" s="7"/>
      <c r="J253" s="7"/>
      <c r="K253" s="7"/>
      <c r="L253" s="7"/>
      <c r="M253" s="7"/>
      <c r="N253" t="str">
        <f>_xlfn.CONCAT(D253,"_",F253)</f>
        <v>3_G02</v>
      </c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5" customHeight="1">
      <c r="A254" s="21" t="s">
        <v>15</v>
      </c>
      <c r="B254" s="21" t="s">
        <v>16</v>
      </c>
      <c r="C254" s="22">
        <v>753898</v>
      </c>
      <c r="D254" s="23">
        <v>3</v>
      </c>
      <c r="E254" s="24"/>
      <c r="F254" s="21" t="s">
        <v>119</v>
      </c>
      <c r="G254" s="25" t="s">
        <v>120</v>
      </c>
      <c r="H254" s="7"/>
      <c r="I254" s="7"/>
      <c r="J254" s="7"/>
      <c r="K254" s="7"/>
      <c r="L254" s="7"/>
      <c r="M254" s="7"/>
      <c r="N254" t="str">
        <f>_xlfn.CONCAT(D254,"_",F254)</f>
        <v>3_H02</v>
      </c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5" customHeight="1">
      <c r="A255" s="21" t="s">
        <v>15</v>
      </c>
      <c r="B255" s="21" t="s">
        <v>16</v>
      </c>
      <c r="C255" s="22">
        <v>753899</v>
      </c>
      <c r="D255" s="23">
        <v>3</v>
      </c>
      <c r="E255" s="24"/>
      <c r="F255" s="21" t="s">
        <v>121</v>
      </c>
      <c r="G255" s="25" t="s">
        <v>122</v>
      </c>
      <c r="H255" s="7"/>
      <c r="I255" s="7"/>
      <c r="J255" s="7"/>
      <c r="K255" s="7"/>
      <c r="L255" s="7"/>
      <c r="M255" s="7"/>
      <c r="N255" t="str">
        <f>_xlfn.CONCAT(D255,"_",F255)</f>
        <v>3_A03</v>
      </c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5" customHeight="1">
      <c r="A256" s="21" t="s">
        <v>15</v>
      </c>
      <c r="B256" s="21" t="s">
        <v>16</v>
      </c>
      <c r="C256" s="22">
        <v>753900</v>
      </c>
      <c r="D256" s="23">
        <v>3</v>
      </c>
      <c r="E256" s="24"/>
      <c r="F256" s="21" t="s">
        <v>123</v>
      </c>
      <c r="G256" s="25" t="s">
        <v>124</v>
      </c>
      <c r="H256" s="7"/>
      <c r="I256" s="7"/>
      <c r="J256" s="7"/>
      <c r="K256" s="7"/>
      <c r="L256" s="7"/>
      <c r="M256" s="7"/>
      <c r="N256" t="str">
        <f>_xlfn.CONCAT(D256,"_",F256)</f>
        <v>3_B03</v>
      </c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5" customHeight="1">
      <c r="A257" s="21" t="s">
        <v>15</v>
      </c>
      <c r="B257" s="21" t="s">
        <v>16</v>
      </c>
      <c r="C257" s="22">
        <v>753906</v>
      </c>
      <c r="D257" s="23">
        <v>3</v>
      </c>
      <c r="E257" s="24"/>
      <c r="F257" s="21" t="s">
        <v>125</v>
      </c>
      <c r="G257" s="25" t="s">
        <v>126</v>
      </c>
      <c r="H257" s="7"/>
      <c r="I257" s="7"/>
      <c r="J257" s="7"/>
      <c r="K257" s="7"/>
      <c r="L257" s="7"/>
      <c r="M257" s="7"/>
      <c r="N257" t="str">
        <f>_xlfn.CONCAT(D257,"_",F257)</f>
        <v>3_C03</v>
      </c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5" customHeight="1">
      <c r="A258" s="21" t="s">
        <v>15</v>
      </c>
      <c r="B258" s="21" t="s">
        <v>16</v>
      </c>
      <c r="C258" s="22">
        <v>753907</v>
      </c>
      <c r="D258" s="23">
        <v>3</v>
      </c>
      <c r="E258" s="24"/>
      <c r="F258" s="21" t="s">
        <v>86</v>
      </c>
      <c r="G258" s="25" t="s">
        <v>127</v>
      </c>
      <c r="H258" s="7"/>
      <c r="I258" s="7"/>
      <c r="J258" s="7"/>
      <c r="K258" s="7"/>
      <c r="L258" s="7"/>
      <c r="M258" s="7"/>
      <c r="N258" t="str">
        <f>_xlfn.CONCAT(D258,"_",F258)</f>
        <v>3_D03</v>
      </c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5" customHeight="1">
      <c r="A259" s="21" t="s">
        <v>15</v>
      </c>
      <c r="B259" s="21" t="s">
        <v>16</v>
      </c>
      <c r="C259" s="22">
        <v>753908</v>
      </c>
      <c r="D259" s="23">
        <v>3</v>
      </c>
      <c r="E259" s="24"/>
      <c r="F259" s="21" t="s">
        <v>87</v>
      </c>
      <c r="G259" s="25" t="s">
        <v>128</v>
      </c>
      <c r="H259" s="7"/>
      <c r="I259" s="7"/>
      <c r="J259" s="7"/>
      <c r="K259" s="7"/>
      <c r="L259" s="7"/>
      <c r="M259" s="7"/>
      <c r="N259" t="str">
        <f>_xlfn.CONCAT(D259,"_",F259)</f>
        <v>3_E03</v>
      </c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5" customHeight="1">
      <c r="A260" s="21" t="s">
        <v>15</v>
      </c>
      <c r="B260" s="21" t="s">
        <v>16</v>
      </c>
      <c r="C260" s="22">
        <v>753893</v>
      </c>
      <c r="D260" s="23">
        <v>3</v>
      </c>
      <c r="E260" s="24"/>
      <c r="F260" s="21" t="s">
        <v>88</v>
      </c>
      <c r="G260" s="25" t="s">
        <v>129</v>
      </c>
      <c r="H260" s="7"/>
      <c r="I260" s="7"/>
      <c r="J260" s="7"/>
      <c r="K260" s="7"/>
      <c r="L260" s="7"/>
      <c r="M260" s="7"/>
      <c r="N260" t="str">
        <f>_xlfn.CONCAT(D260,"_",F260)</f>
        <v>3_F03</v>
      </c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5" customHeight="1">
      <c r="A261" s="21" t="s">
        <v>15</v>
      </c>
      <c r="B261" s="21" t="s">
        <v>16</v>
      </c>
      <c r="C261" s="22">
        <v>753894</v>
      </c>
      <c r="D261" s="23">
        <v>3</v>
      </c>
      <c r="E261" s="24"/>
      <c r="F261" s="21" t="s">
        <v>89</v>
      </c>
      <c r="G261" s="25" t="s">
        <v>130</v>
      </c>
      <c r="H261" s="7"/>
      <c r="I261" s="7"/>
      <c r="J261" s="7"/>
      <c r="K261" s="7"/>
      <c r="L261" s="7"/>
      <c r="M261" s="7"/>
      <c r="N261" t="str">
        <f>_xlfn.CONCAT(D261,"_",F261)</f>
        <v>3_G03</v>
      </c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5" customHeight="1">
      <c r="A262" s="21" t="s">
        <v>15</v>
      </c>
      <c r="B262" s="21" t="s">
        <v>16</v>
      </c>
      <c r="C262" s="22">
        <v>753895</v>
      </c>
      <c r="D262" s="23">
        <v>3</v>
      </c>
      <c r="E262" s="24"/>
      <c r="F262" s="21" t="s">
        <v>90</v>
      </c>
      <c r="G262" s="25" t="s">
        <v>131</v>
      </c>
      <c r="H262" s="7"/>
      <c r="I262" s="7"/>
      <c r="J262" s="7"/>
      <c r="K262" s="7"/>
      <c r="L262" s="7"/>
      <c r="M262" s="7"/>
      <c r="N262" t="str">
        <f>_xlfn.CONCAT(D262,"_",F262)</f>
        <v>3_H03</v>
      </c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5" customHeight="1">
      <c r="A263" s="21" t="s">
        <v>15</v>
      </c>
      <c r="B263" s="21" t="s">
        <v>16</v>
      </c>
      <c r="C263" s="22">
        <v>753896</v>
      </c>
      <c r="D263" s="23">
        <v>3</v>
      </c>
      <c r="E263" s="24"/>
      <c r="F263" s="21" t="s">
        <v>132</v>
      </c>
      <c r="G263" s="25" t="s">
        <v>133</v>
      </c>
      <c r="H263" s="7"/>
      <c r="I263" s="7"/>
      <c r="J263" s="7"/>
      <c r="K263" s="7"/>
      <c r="L263" s="7"/>
      <c r="M263" s="7"/>
      <c r="N263" t="str">
        <f>_xlfn.CONCAT(D263,"_",F263)</f>
        <v>3_A04</v>
      </c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5" customHeight="1">
      <c r="A264" s="21" t="s">
        <v>15</v>
      </c>
      <c r="B264" s="21" t="s">
        <v>16</v>
      </c>
      <c r="C264" s="22">
        <v>753897</v>
      </c>
      <c r="D264" s="23">
        <v>3</v>
      </c>
      <c r="E264" s="24"/>
      <c r="F264" s="21" t="s">
        <v>134</v>
      </c>
      <c r="G264" s="25" t="s">
        <v>135</v>
      </c>
      <c r="H264" s="7"/>
      <c r="I264" s="7"/>
      <c r="J264" s="7"/>
      <c r="K264" s="7"/>
      <c r="L264" s="7"/>
      <c r="M264" s="7"/>
      <c r="N264" t="str">
        <f>_xlfn.CONCAT(D264,"_",F264)</f>
        <v>3_B04</v>
      </c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5" customHeight="1">
      <c r="A265" s="21" t="s">
        <v>15</v>
      </c>
      <c r="B265" s="21" t="s">
        <v>16</v>
      </c>
      <c r="C265" s="22">
        <v>753901</v>
      </c>
      <c r="D265" s="23">
        <v>3</v>
      </c>
      <c r="E265" s="24"/>
      <c r="F265" s="21" t="s">
        <v>136</v>
      </c>
      <c r="G265" s="25" t="s">
        <v>137</v>
      </c>
      <c r="H265" s="7"/>
      <c r="I265" s="7"/>
      <c r="J265" s="7"/>
      <c r="K265" s="7"/>
      <c r="L265" s="7"/>
      <c r="M265" s="7"/>
      <c r="N265" t="str">
        <f>_xlfn.CONCAT(D265,"_",F265)</f>
        <v>3_C04</v>
      </c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5" customHeight="1">
      <c r="A266" s="21" t="s">
        <v>15</v>
      </c>
      <c r="B266" s="21" t="s">
        <v>16</v>
      </c>
      <c r="C266" s="22">
        <v>753902</v>
      </c>
      <c r="D266" s="23">
        <v>3</v>
      </c>
      <c r="E266" s="24"/>
      <c r="F266" s="21" t="s">
        <v>138</v>
      </c>
      <c r="G266" s="25" t="s">
        <v>139</v>
      </c>
      <c r="H266" s="7"/>
      <c r="I266" s="7"/>
      <c r="J266" s="7"/>
      <c r="K266" s="7"/>
      <c r="L266" s="7"/>
      <c r="M266" s="7"/>
      <c r="N266" t="str">
        <f>_xlfn.CONCAT(D266,"_",F266)</f>
        <v>3_D04</v>
      </c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5" customHeight="1">
      <c r="A267" s="21" t="s">
        <v>15</v>
      </c>
      <c r="B267" s="21" t="s">
        <v>16</v>
      </c>
      <c r="C267" s="22">
        <v>753903</v>
      </c>
      <c r="D267" s="23">
        <v>3</v>
      </c>
      <c r="E267" s="24"/>
      <c r="F267" s="21" t="s">
        <v>140</v>
      </c>
      <c r="G267" s="25" t="s">
        <v>141</v>
      </c>
      <c r="H267" s="7"/>
      <c r="I267" s="7"/>
      <c r="J267" s="7"/>
      <c r="K267" s="7"/>
      <c r="L267" s="7"/>
      <c r="M267" s="7"/>
      <c r="N267" t="str">
        <f>_xlfn.CONCAT(D267,"_",F267)</f>
        <v>3_E04</v>
      </c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5" customHeight="1">
      <c r="A268" s="21" t="s">
        <v>15</v>
      </c>
      <c r="B268" s="21" t="s">
        <v>16</v>
      </c>
      <c r="C268" s="22">
        <v>753904</v>
      </c>
      <c r="D268" s="23">
        <v>3</v>
      </c>
      <c r="E268" s="24"/>
      <c r="F268" s="21" t="s">
        <v>142</v>
      </c>
      <c r="G268" s="25" t="s">
        <v>143</v>
      </c>
      <c r="H268" s="7"/>
      <c r="I268" s="7"/>
      <c r="J268" s="7"/>
      <c r="K268" s="7"/>
      <c r="L268" s="7"/>
      <c r="M268" s="7"/>
      <c r="N268" t="str">
        <f>_xlfn.CONCAT(D268,"_",F268)</f>
        <v>3_F04</v>
      </c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5" customHeight="1">
      <c r="A269" s="21" t="s">
        <v>15</v>
      </c>
      <c r="B269" s="21" t="s">
        <v>16</v>
      </c>
      <c r="C269" s="22">
        <v>753905</v>
      </c>
      <c r="D269" s="23">
        <v>3</v>
      </c>
      <c r="E269" s="24"/>
      <c r="F269" s="21" t="s">
        <v>144</v>
      </c>
      <c r="G269" s="25" t="s">
        <v>145</v>
      </c>
      <c r="H269" s="7"/>
      <c r="I269" s="7"/>
      <c r="J269" s="7"/>
      <c r="K269" s="7"/>
      <c r="L269" s="7"/>
      <c r="M269" s="7"/>
      <c r="N269" t="str">
        <f>_xlfn.CONCAT(D269,"_",F269)</f>
        <v>3_G04</v>
      </c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5" customHeight="1">
      <c r="A270" s="21" t="s">
        <v>15</v>
      </c>
      <c r="B270" s="21" t="s">
        <v>16</v>
      </c>
      <c r="C270" s="22">
        <v>753909</v>
      </c>
      <c r="D270" s="23">
        <v>3</v>
      </c>
      <c r="E270" s="24"/>
      <c r="F270" s="21" t="s">
        <v>146</v>
      </c>
      <c r="G270" s="25" t="s">
        <v>147</v>
      </c>
      <c r="H270" s="7"/>
      <c r="I270" s="7"/>
      <c r="J270" s="7"/>
      <c r="K270" s="7"/>
      <c r="L270" s="7"/>
      <c r="M270" s="7"/>
      <c r="N270" t="str">
        <f>_xlfn.CONCAT(D270,"_",F270)</f>
        <v>3_H04</v>
      </c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5" customHeight="1">
      <c r="A271" s="21" t="s">
        <v>15</v>
      </c>
      <c r="B271" s="21" t="s">
        <v>16</v>
      </c>
      <c r="C271" s="22">
        <v>753910</v>
      </c>
      <c r="D271" s="23">
        <v>3</v>
      </c>
      <c r="E271" s="24"/>
      <c r="F271" s="21" t="s">
        <v>148</v>
      </c>
      <c r="G271" s="25" t="s">
        <v>149</v>
      </c>
      <c r="H271" s="7"/>
      <c r="I271" s="7"/>
      <c r="J271" s="7"/>
      <c r="K271" s="7"/>
      <c r="L271" s="7"/>
      <c r="M271" s="7"/>
      <c r="N271" t="str">
        <f>_xlfn.CONCAT(D271,"_",F271)</f>
        <v>3_A05</v>
      </c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5" customHeight="1">
      <c r="A272" s="21" t="s">
        <v>15</v>
      </c>
      <c r="B272" s="21" t="s">
        <v>16</v>
      </c>
      <c r="C272" s="22">
        <v>753911</v>
      </c>
      <c r="D272" s="23">
        <v>3</v>
      </c>
      <c r="E272" s="24"/>
      <c r="F272" s="21" t="s">
        <v>150</v>
      </c>
      <c r="G272" s="25" t="s">
        <v>151</v>
      </c>
      <c r="H272" s="7"/>
      <c r="I272" s="7"/>
      <c r="J272" s="7"/>
      <c r="K272" s="7"/>
      <c r="L272" s="7"/>
      <c r="M272" s="7"/>
      <c r="N272" t="str">
        <f>_xlfn.CONCAT(D272,"_",F272)</f>
        <v>3_B05</v>
      </c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5" customHeight="1">
      <c r="A273" s="21" t="s">
        <v>15</v>
      </c>
      <c r="B273" s="21" t="s">
        <v>16</v>
      </c>
      <c r="C273" s="22">
        <v>753912</v>
      </c>
      <c r="D273" s="23">
        <v>3</v>
      </c>
      <c r="E273" s="24"/>
      <c r="F273" s="21" t="s">
        <v>13</v>
      </c>
      <c r="G273" s="25" t="s">
        <v>14</v>
      </c>
      <c r="H273" s="7"/>
      <c r="I273" s="7"/>
      <c r="J273" s="7"/>
      <c r="K273" s="7"/>
      <c r="L273" s="7"/>
      <c r="M273" s="7"/>
      <c r="N273" t="str">
        <f>_xlfn.CONCAT(D273,"_",F273)</f>
        <v>3_C05</v>
      </c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5" customHeight="1">
      <c r="A274" s="21" t="s">
        <v>15</v>
      </c>
      <c r="B274" s="21" t="s">
        <v>16</v>
      </c>
      <c r="C274" s="22">
        <v>753913</v>
      </c>
      <c r="D274" s="23">
        <v>3</v>
      </c>
      <c r="E274" s="24"/>
      <c r="F274" s="21" t="s">
        <v>17</v>
      </c>
      <c r="G274" s="25" t="s">
        <v>18</v>
      </c>
      <c r="H274" s="7"/>
      <c r="I274" s="7"/>
      <c r="J274" s="7"/>
      <c r="K274" s="7"/>
      <c r="L274" s="7"/>
      <c r="M274" s="7"/>
      <c r="N274" t="str">
        <f>_xlfn.CONCAT(D274,"_",F274)</f>
        <v>3_D05</v>
      </c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5" customHeight="1">
      <c r="A275" s="21" t="s">
        <v>15</v>
      </c>
      <c r="B275" s="21" t="s">
        <v>16</v>
      </c>
      <c r="C275" s="22">
        <v>753931</v>
      </c>
      <c r="D275" s="23">
        <v>3</v>
      </c>
      <c r="E275" s="24"/>
      <c r="F275" s="21" t="s">
        <v>19</v>
      </c>
      <c r="G275" s="25" t="s">
        <v>20</v>
      </c>
      <c r="H275" s="7"/>
      <c r="I275" s="7"/>
      <c r="J275" s="7"/>
      <c r="K275" s="7"/>
      <c r="L275" s="7"/>
      <c r="M275" s="7"/>
      <c r="N275" t="str">
        <f>_xlfn.CONCAT(D275,"_",F275)</f>
        <v>3_E05</v>
      </c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5" customHeight="1">
      <c r="A276" s="21" t="s">
        <v>15</v>
      </c>
      <c r="B276" s="21" t="s">
        <v>16</v>
      </c>
      <c r="C276" s="22">
        <v>753920</v>
      </c>
      <c r="D276" s="23">
        <v>3</v>
      </c>
      <c r="E276" s="24"/>
      <c r="F276" s="21" t="s">
        <v>21</v>
      </c>
      <c r="G276" s="25" t="s">
        <v>22</v>
      </c>
      <c r="H276" s="7"/>
      <c r="I276" s="7"/>
      <c r="J276" s="7"/>
      <c r="K276" s="7"/>
      <c r="L276" s="7"/>
      <c r="M276" s="7"/>
      <c r="N276" t="str">
        <f>_xlfn.CONCAT(D276,"_",F276)</f>
        <v>3_F05</v>
      </c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5" customHeight="1">
      <c r="A277" s="21" t="s">
        <v>15</v>
      </c>
      <c r="B277" s="21" t="s">
        <v>16</v>
      </c>
      <c r="C277" s="22">
        <v>753919</v>
      </c>
      <c r="D277" s="23">
        <v>3</v>
      </c>
      <c r="E277" s="24"/>
      <c r="F277" s="21" t="s">
        <v>152</v>
      </c>
      <c r="G277" s="25" t="s">
        <v>153</v>
      </c>
      <c r="H277" s="7"/>
      <c r="I277" s="7"/>
      <c r="J277" s="7"/>
      <c r="K277" s="7"/>
      <c r="L277" s="7"/>
      <c r="M277" s="7"/>
      <c r="N277" t="str">
        <f>_xlfn.CONCAT(D277,"_",F277)</f>
        <v>3_G05</v>
      </c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5" customHeight="1">
      <c r="A278" s="21" t="s">
        <v>15</v>
      </c>
      <c r="B278" s="21" t="s">
        <v>16</v>
      </c>
      <c r="C278" s="22">
        <v>753917</v>
      </c>
      <c r="D278" s="23">
        <v>3</v>
      </c>
      <c r="E278" s="24"/>
      <c r="F278" s="21" t="s">
        <v>154</v>
      </c>
      <c r="G278" s="25" t="s">
        <v>155</v>
      </c>
      <c r="H278" s="7"/>
      <c r="I278" s="7"/>
      <c r="J278" s="7"/>
      <c r="K278" s="7"/>
      <c r="L278" s="7"/>
      <c r="M278" s="7"/>
      <c r="N278" t="str">
        <f>_xlfn.CONCAT(D278,"_",F278)</f>
        <v>3_H05</v>
      </c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5" customHeight="1">
      <c r="A279" s="21" t="s">
        <v>15</v>
      </c>
      <c r="B279" s="21" t="s">
        <v>16</v>
      </c>
      <c r="C279" s="22">
        <v>753918</v>
      </c>
      <c r="D279" s="23">
        <v>3</v>
      </c>
      <c r="E279" s="24"/>
      <c r="F279" s="21" t="s">
        <v>156</v>
      </c>
      <c r="G279" s="25" t="s">
        <v>157</v>
      </c>
      <c r="H279" s="7"/>
      <c r="I279" s="7"/>
      <c r="J279" s="7"/>
      <c r="K279" s="7"/>
      <c r="L279" s="7"/>
      <c r="M279" s="7"/>
      <c r="N279" t="str">
        <f>_xlfn.CONCAT(D279,"_",F279)</f>
        <v>3_A06</v>
      </c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5" customHeight="1">
      <c r="A280" s="21" t="s">
        <v>15</v>
      </c>
      <c r="B280" s="21" t="s">
        <v>16</v>
      </c>
      <c r="C280" s="22">
        <v>753926</v>
      </c>
      <c r="D280" s="23">
        <v>3</v>
      </c>
      <c r="E280" s="24"/>
      <c r="F280" s="21" t="s">
        <v>158</v>
      </c>
      <c r="G280" s="25" t="s">
        <v>159</v>
      </c>
      <c r="H280" s="7"/>
      <c r="I280" s="7"/>
      <c r="J280" s="7"/>
      <c r="K280" s="7"/>
      <c r="L280" s="7"/>
      <c r="M280" s="7"/>
      <c r="N280" t="str">
        <f>_xlfn.CONCAT(D280,"_",F280)</f>
        <v>3_B06</v>
      </c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5" customHeight="1">
      <c r="A281" s="21" t="s">
        <v>15</v>
      </c>
      <c r="B281" s="21" t="s">
        <v>16</v>
      </c>
      <c r="C281" s="22">
        <v>753927</v>
      </c>
      <c r="D281" s="23">
        <v>3</v>
      </c>
      <c r="E281" s="24"/>
      <c r="F281" s="21" t="s">
        <v>160</v>
      </c>
      <c r="G281" s="25" t="s">
        <v>161</v>
      </c>
      <c r="H281" s="7"/>
      <c r="I281" s="7"/>
      <c r="J281" s="7"/>
      <c r="K281" s="7"/>
      <c r="L281" s="7"/>
      <c r="M281" s="7"/>
      <c r="N281" t="str">
        <f>_xlfn.CONCAT(D281,"_",F281)</f>
        <v>3_C06</v>
      </c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5" customHeight="1">
      <c r="A282" s="21" t="s">
        <v>15</v>
      </c>
      <c r="B282" s="21" t="s">
        <v>16</v>
      </c>
      <c r="C282" s="22">
        <v>753930</v>
      </c>
      <c r="D282" s="23">
        <v>3</v>
      </c>
      <c r="E282" s="24"/>
      <c r="F282" s="21" t="s">
        <v>23</v>
      </c>
      <c r="G282" s="25" t="s">
        <v>24</v>
      </c>
      <c r="H282" s="7"/>
      <c r="I282" s="7"/>
      <c r="J282" s="7"/>
      <c r="K282" s="7"/>
      <c r="L282" s="7"/>
      <c r="M282" s="7"/>
      <c r="N282" t="str">
        <f>_xlfn.CONCAT(D282,"_",F282)</f>
        <v>3_D06</v>
      </c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5" customHeight="1">
      <c r="A283" s="21" t="s">
        <v>15</v>
      </c>
      <c r="B283" s="21" t="s">
        <v>16</v>
      </c>
      <c r="C283" s="22">
        <v>753928</v>
      </c>
      <c r="D283" s="23">
        <v>3</v>
      </c>
      <c r="E283" s="24"/>
      <c r="F283" s="21" t="s">
        <v>25</v>
      </c>
      <c r="G283" s="25" t="s">
        <v>26</v>
      </c>
      <c r="H283" s="7"/>
      <c r="I283" s="7"/>
      <c r="J283" s="7"/>
      <c r="K283" s="7"/>
      <c r="L283" s="7"/>
      <c r="M283" s="7"/>
      <c r="N283" t="str">
        <f>_xlfn.CONCAT(D283,"_",F283)</f>
        <v>3_E06</v>
      </c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5" customHeight="1">
      <c r="A284" s="21" t="s">
        <v>15</v>
      </c>
      <c r="B284" s="21" t="s">
        <v>16</v>
      </c>
      <c r="C284" s="22">
        <v>753929</v>
      </c>
      <c r="D284" s="23">
        <v>3</v>
      </c>
      <c r="E284" s="24"/>
      <c r="F284" s="21" t="s">
        <v>27</v>
      </c>
      <c r="G284" s="25" t="s">
        <v>28</v>
      </c>
      <c r="H284" s="7"/>
      <c r="I284" s="7"/>
      <c r="J284" s="7"/>
      <c r="K284" s="7"/>
      <c r="L284" s="7"/>
      <c r="M284" s="7"/>
      <c r="N284" t="str">
        <f>_xlfn.CONCAT(D284,"_",F284)</f>
        <v>3_F06</v>
      </c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5" customHeight="1">
      <c r="A285" s="21" t="s">
        <v>15</v>
      </c>
      <c r="B285" s="21" t="s">
        <v>16</v>
      </c>
      <c r="C285" s="22">
        <v>753921</v>
      </c>
      <c r="D285" s="23">
        <v>3</v>
      </c>
      <c r="E285" s="24"/>
      <c r="F285" s="21" t="s">
        <v>162</v>
      </c>
      <c r="G285" s="25" t="s">
        <v>163</v>
      </c>
      <c r="H285" s="7"/>
      <c r="I285" s="7"/>
      <c r="J285" s="7"/>
      <c r="K285" s="7"/>
      <c r="L285" s="7"/>
      <c r="M285" s="7"/>
      <c r="N285" t="str">
        <f>_xlfn.CONCAT(D285,"_",F285)</f>
        <v>3_G06</v>
      </c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5" customHeight="1">
      <c r="A286" s="21" t="s">
        <v>15</v>
      </c>
      <c r="B286" s="21" t="s">
        <v>16</v>
      </c>
      <c r="C286" s="22">
        <v>753922</v>
      </c>
      <c r="D286" s="23">
        <v>3</v>
      </c>
      <c r="E286" s="24"/>
      <c r="F286" s="21" t="s">
        <v>164</v>
      </c>
      <c r="G286" s="25" t="s">
        <v>165</v>
      </c>
      <c r="H286" s="7"/>
      <c r="I286" s="7"/>
      <c r="J286" s="7"/>
      <c r="K286" s="7"/>
      <c r="L286" s="7"/>
      <c r="M286" s="7"/>
      <c r="N286" t="str">
        <f>_xlfn.CONCAT(D286,"_",F286)</f>
        <v>3_H06</v>
      </c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5" customHeight="1">
      <c r="A287" s="21" t="s">
        <v>15</v>
      </c>
      <c r="B287" s="21" t="s">
        <v>16</v>
      </c>
      <c r="C287" s="22">
        <v>753925</v>
      </c>
      <c r="D287" s="23">
        <v>3</v>
      </c>
      <c r="E287" s="24"/>
      <c r="F287" s="21" t="s">
        <v>166</v>
      </c>
      <c r="G287" s="25" t="s">
        <v>167</v>
      </c>
      <c r="H287" s="7"/>
      <c r="I287" s="7"/>
      <c r="J287" s="7"/>
      <c r="K287" s="7"/>
      <c r="L287" s="7"/>
      <c r="M287" s="7"/>
      <c r="N287" t="str">
        <f>_xlfn.CONCAT(D287,"_",F287)</f>
        <v>3_A07</v>
      </c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5" customHeight="1">
      <c r="A288" s="21" t="s">
        <v>15</v>
      </c>
      <c r="B288" s="21" t="s">
        <v>16</v>
      </c>
      <c r="C288" s="22">
        <v>753923</v>
      </c>
      <c r="D288" s="23">
        <v>3</v>
      </c>
      <c r="E288" s="24"/>
      <c r="F288" s="21" t="s">
        <v>168</v>
      </c>
      <c r="G288" s="25" t="s">
        <v>169</v>
      </c>
      <c r="H288" s="7"/>
      <c r="I288" s="7"/>
      <c r="J288" s="7"/>
      <c r="K288" s="7"/>
      <c r="L288" s="7"/>
      <c r="M288" s="7"/>
      <c r="N288" t="str">
        <f>_xlfn.CONCAT(D288,"_",F288)</f>
        <v>3_B07</v>
      </c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5" customHeight="1">
      <c r="A289" s="21" t="s">
        <v>15</v>
      </c>
      <c r="B289" s="21" t="s">
        <v>16</v>
      </c>
      <c r="C289" s="22">
        <v>753924</v>
      </c>
      <c r="D289" s="23">
        <v>3</v>
      </c>
      <c r="E289" s="24"/>
      <c r="F289" s="21" t="s">
        <v>43</v>
      </c>
      <c r="G289" s="25" t="s">
        <v>44</v>
      </c>
      <c r="H289" s="7"/>
      <c r="I289" s="7"/>
      <c r="J289" s="7"/>
      <c r="K289" s="7"/>
      <c r="L289" s="7"/>
      <c r="M289" s="7"/>
      <c r="N289" t="str">
        <f>_xlfn.CONCAT(D289,"_",F289)</f>
        <v>3_C07</v>
      </c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5" customHeight="1">
      <c r="A290" s="21" t="s">
        <v>15</v>
      </c>
      <c r="B290" s="21" t="s">
        <v>16</v>
      </c>
      <c r="C290" s="22">
        <v>753717</v>
      </c>
      <c r="D290" s="23">
        <v>3</v>
      </c>
      <c r="E290" s="24"/>
      <c r="F290" s="21" t="s">
        <v>45</v>
      </c>
      <c r="G290" s="25" t="s">
        <v>46</v>
      </c>
      <c r="H290" s="7"/>
      <c r="I290" s="7"/>
      <c r="J290" s="7"/>
      <c r="K290" s="7"/>
      <c r="L290" s="7"/>
      <c r="M290" s="7"/>
      <c r="N290" t="str">
        <f>_xlfn.CONCAT(D290,"_",F290)</f>
        <v>3_D07</v>
      </c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5" customHeight="1">
      <c r="A291" s="21" t="s">
        <v>15</v>
      </c>
      <c r="B291" s="21" t="s">
        <v>16</v>
      </c>
      <c r="C291" s="22">
        <v>753718</v>
      </c>
      <c r="D291" s="23">
        <v>3</v>
      </c>
      <c r="E291" s="24"/>
      <c r="F291" s="21" t="s">
        <v>170</v>
      </c>
      <c r="G291" s="25" t="s">
        <v>171</v>
      </c>
      <c r="H291" s="7"/>
      <c r="I291" s="7"/>
      <c r="J291" s="7"/>
      <c r="K291" s="7"/>
      <c r="L291" s="7"/>
      <c r="M291" s="7"/>
      <c r="N291" t="str">
        <f>_xlfn.CONCAT(D291,"_",F291)</f>
        <v>3_E07</v>
      </c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5" customHeight="1">
      <c r="A292" s="21" t="s">
        <v>15</v>
      </c>
      <c r="B292" s="21" t="s">
        <v>16</v>
      </c>
      <c r="C292" s="22">
        <v>753709</v>
      </c>
      <c r="D292" s="23">
        <v>3</v>
      </c>
      <c r="E292" s="24"/>
      <c r="F292" s="21" t="s">
        <v>29</v>
      </c>
      <c r="G292" s="25" t="s">
        <v>30</v>
      </c>
      <c r="H292" s="7"/>
      <c r="I292" s="7"/>
      <c r="J292" s="7"/>
      <c r="K292" s="7"/>
      <c r="L292" s="7"/>
      <c r="M292" s="7"/>
      <c r="N292" t="str">
        <f>_xlfn.CONCAT(D292,"_",F292)</f>
        <v>3_F07</v>
      </c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5" customHeight="1">
      <c r="A293" s="21" t="s">
        <v>15</v>
      </c>
      <c r="B293" s="21" t="s">
        <v>16</v>
      </c>
      <c r="C293" s="22">
        <v>753710</v>
      </c>
      <c r="D293" s="23">
        <v>3</v>
      </c>
      <c r="E293" s="24"/>
      <c r="F293" s="21" t="s">
        <v>31</v>
      </c>
      <c r="G293" s="25" t="s">
        <v>32</v>
      </c>
      <c r="H293" s="7"/>
      <c r="I293" s="7"/>
      <c r="J293" s="7"/>
      <c r="K293" s="7"/>
      <c r="L293" s="7"/>
      <c r="M293" s="7"/>
      <c r="N293" t="str">
        <f>_xlfn.CONCAT(D293,"_",F293)</f>
        <v>3_G07</v>
      </c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5" customHeight="1">
      <c r="A294" s="21" t="s">
        <v>15</v>
      </c>
      <c r="B294" s="21" t="s">
        <v>16</v>
      </c>
      <c r="C294" s="22">
        <v>753719</v>
      </c>
      <c r="D294" s="23">
        <v>3</v>
      </c>
      <c r="E294" s="24"/>
      <c r="F294" s="21" t="s">
        <v>33</v>
      </c>
      <c r="G294" s="25" t="s">
        <v>34</v>
      </c>
      <c r="H294" s="7"/>
      <c r="I294" s="7"/>
      <c r="J294" s="7"/>
      <c r="K294" s="7"/>
      <c r="L294" s="7"/>
      <c r="M294" s="7"/>
      <c r="N294" t="str">
        <f>_xlfn.CONCAT(D294,"_",F294)</f>
        <v>3_H07</v>
      </c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5" customHeight="1">
      <c r="A295" s="21" t="s">
        <v>15</v>
      </c>
      <c r="B295" s="21" t="s">
        <v>16</v>
      </c>
      <c r="C295" s="22">
        <v>753711</v>
      </c>
      <c r="D295" s="23">
        <v>3</v>
      </c>
      <c r="E295" s="24"/>
      <c r="F295" s="21" t="s">
        <v>35</v>
      </c>
      <c r="G295" s="25" t="s">
        <v>36</v>
      </c>
      <c r="H295" s="7"/>
      <c r="I295" s="7"/>
      <c r="J295" s="7"/>
      <c r="K295" s="7"/>
      <c r="L295" s="7"/>
      <c r="M295" s="7"/>
      <c r="N295" t="str">
        <f>_xlfn.CONCAT(D295,"_",F295)</f>
        <v>3_A08</v>
      </c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5" customHeight="1">
      <c r="A296" s="21" t="s">
        <v>15</v>
      </c>
      <c r="B296" s="21" t="s">
        <v>16</v>
      </c>
      <c r="C296" s="22">
        <v>753720</v>
      </c>
      <c r="D296" s="23">
        <v>3</v>
      </c>
      <c r="E296" s="24"/>
      <c r="F296" s="21" t="s">
        <v>37</v>
      </c>
      <c r="G296" s="25" t="s">
        <v>38</v>
      </c>
      <c r="H296" s="7"/>
      <c r="I296" s="7"/>
      <c r="J296" s="7"/>
      <c r="K296" s="7"/>
      <c r="L296" s="7"/>
      <c r="M296" s="7"/>
      <c r="N296" t="str">
        <f>_xlfn.CONCAT(D296,"_",F296)</f>
        <v>3_B08</v>
      </c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5" customHeight="1">
      <c r="A297" s="21" t="s">
        <v>15</v>
      </c>
      <c r="B297" s="21" t="s">
        <v>16</v>
      </c>
      <c r="C297" s="22">
        <v>753721</v>
      </c>
      <c r="D297" s="23">
        <v>3</v>
      </c>
      <c r="E297" s="24"/>
      <c r="F297" s="21" t="s">
        <v>172</v>
      </c>
      <c r="G297" s="25" t="s">
        <v>173</v>
      </c>
      <c r="H297" s="7"/>
      <c r="I297" s="7"/>
      <c r="J297" s="7"/>
      <c r="K297" s="7"/>
      <c r="L297" s="7"/>
      <c r="M297" s="7"/>
      <c r="N297" t="str">
        <f>_xlfn.CONCAT(D297,"_",F297)</f>
        <v>3_C08</v>
      </c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5" customHeight="1">
      <c r="A298" s="21" t="s">
        <v>15</v>
      </c>
      <c r="B298" s="21" t="s">
        <v>16</v>
      </c>
      <c r="C298" s="22">
        <v>753713</v>
      </c>
      <c r="D298" s="23">
        <v>3</v>
      </c>
      <c r="E298" s="24"/>
      <c r="F298" s="21" t="s">
        <v>174</v>
      </c>
      <c r="G298" s="25" t="s">
        <v>175</v>
      </c>
      <c r="H298" s="7"/>
      <c r="I298" s="7"/>
      <c r="J298" s="7"/>
      <c r="K298" s="7"/>
      <c r="L298" s="7"/>
      <c r="M298" s="7"/>
      <c r="N298" t="str">
        <f>_xlfn.CONCAT(D298,"_",F298)</f>
        <v>3_D08</v>
      </c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5" customHeight="1">
      <c r="A299" s="21" t="s">
        <v>15</v>
      </c>
      <c r="B299" s="21" t="s">
        <v>16</v>
      </c>
      <c r="C299" s="22">
        <v>753712</v>
      </c>
      <c r="D299" s="23">
        <v>3</v>
      </c>
      <c r="E299" s="24"/>
      <c r="F299" s="21" t="s">
        <v>176</v>
      </c>
      <c r="G299" s="25" t="s">
        <v>177</v>
      </c>
      <c r="H299" s="7"/>
      <c r="I299" s="7"/>
      <c r="J299" s="7"/>
      <c r="K299" s="7"/>
      <c r="L299" s="7"/>
      <c r="M299" s="7"/>
      <c r="N299" t="str">
        <f>_xlfn.CONCAT(D299,"_",F299)</f>
        <v>3_E08</v>
      </c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5" customHeight="1">
      <c r="A300" s="21" t="s">
        <v>15</v>
      </c>
      <c r="B300" s="21" t="s">
        <v>16</v>
      </c>
      <c r="C300" s="22">
        <v>753725</v>
      </c>
      <c r="D300" s="23">
        <v>3</v>
      </c>
      <c r="E300" s="24"/>
      <c r="F300" s="21" t="s">
        <v>178</v>
      </c>
      <c r="G300" s="25" t="s">
        <v>179</v>
      </c>
      <c r="H300" s="7"/>
      <c r="I300" s="7"/>
      <c r="J300" s="7"/>
      <c r="K300" s="7"/>
      <c r="L300" s="7"/>
      <c r="M300" s="7"/>
      <c r="N300" t="str">
        <f>_xlfn.CONCAT(D300,"_",F300)</f>
        <v>3_F08</v>
      </c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5" customHeight="1">
      <c r="A301" s="21" t="s">
        <v>15</v>
      </c>
      <c r="B301" s="21" t="s">
        <v>16</v>
      </c>
      <c r="C301" s="22">
        <v>753733</v>
      </c>
      <c r="D301" s="23">
        <v>3</v>
      </c>
      <c r="E301" s="24"/>
      <c r="F301" s="21" t="s">
        <v>180</v>
      </c>
      <c r="G301" s="25" t="s">
        <v>181</v>
      </c>
      <c r="H301" s="7"/>
      <c r="I301" s="7"/>
      <c r="J301" s="7"/>
      <c r="K301" s="7"/>
      <c r="L301" s="7"/>
      <c r="M301" s="7"/>
      <c r="N301" t="str">
        <f>_xlfn.CONCAT(D301,"_",F301)</f>
        <v>3_G08</v>
      </c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5" customHeight="1">
      <c r="A302" s="21" t="s">
        <v>15</v>
      </c>
      <c r="B302" s="21" t="s">
        <v>16</v>
      </c>
      <c r="C302" s="22">
        <v>753726</v>
      </c>
      <c r="D302" s="23">
        <v>3</v>
      </c>
      <c r="E302" s="24"/>
      <c r="F302" s="21" t="s">
        <v>182</v>
      </c>
      <c r="G302" s="25" t="s">
        <v>183</v>
      </c>
      <c r="H302" s="7"/>
      <c r="I302" s="7"/>
      <c r="J302" s="7"/>
      <c r="K302" s="7"/>
      <c r="L302" s="7"/>
      <c r="M302" s="7"/>
      <c r="N302" t="str">
        <f>_xlfn.CONCAT(D302,"_",F302)</f>
        <v>3_H08</v>
      </c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5" customHeight="1">
      <c r="A303" s="21" t="s">
        <v>15</v>
      </c>
      <c r="B303" s="21" t="s">
        <v>16</v>
      </c>
      <c r="C303" s="22">
        <v>753727</v>
      </c>
      <c r="D303" s="23">
        <v>3</v>
      </c>
      <c r="E303" s="24"/>
      <c r="F303" s="21" t="s">
        <v>39</v>
      </c>
      <c r="G303" s="25" t="s">
        <v>40</v>
      </c>
      <c r="H303" s="7"/>
      <c r="I303" s="7"/>
      <c r="J303" s="7"/>
      <c r="K303" s="7"/>
      <c r="L303" s="7"/>
      <c r="M303" s="7"/>
      <c r="N303" t="str">
        <f>_xlfn.CONCAT(D303,"_",F303)</f>
        <v>3_A09</v>
      </c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5" customHeight="1">
      <c r="A304" s="21" t="s">
        <v>15</v>
      </c>
      <c r="B304" s="21" t="s">
        <v>16</v>
      </c>
      <c r="C304" s="22">
        <v>753728</v>
      </c>
      <c r="D304" s="23">
        <v>3</v>
      </c>
      <c r="E304" s="24"/>
      <c r="F304" s="21" t="s">
        <v>41</v>
      </c>
      <c r="G304" s="25" t="s">
        <v>42</v>
      </c>
      <c r="H304" s="7"/>
      <c r="I304" s="7"/>
      <c r="J304" s="7"/>
      <c r="K304" s="7"/>
      <c r="L304" s="7"/>
      <c r="M304" s="7"/>
      <c r="N304" t="str">
        <f>_xlfn.CONCAT(D304,"_",F304)</f>
        <v>3_B09</v>
      </c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5" customHeight="1">
      <c r="A305" s="21" t="s">
        <v>15</v>
      </c>
      <c r="B305" s="21" t="s">
        <v>16</v>
      </c>
      <c r="C305" s="22">
        <v>753734</v>
      </c>
      <c r="D305" s="23">
        <v>3</v>
      </c>
      <c r="E305" s="24"/>
      <c r="F305" s="21" t="s">
        <v>184</v>
      </c>
      <c r="G305" s="25" t="s">
        <v>185</v>
      </c>
      <c r="H305" s="7"/>
      <c r="I305" s="7"/>
      <c r="J305" s="7"/>
      <c r="K305" s="7"/>
      <c r="L305" s="7"/>
      <c r="M305" s="7"/>
      <c r="N305" t="str">
        <f>_xlfn.CONCAT(D305,"_",F305)</f>
        <v>3_C09</v>
      </c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5" customHeight="1">
      <c r="A306" s="21" t="s">
        <v>15</v>
      </c>
      <c r="B306" s="21" t="s">
        <v>16</v>
      </c>
      <c r="C306" s="22">
        <v>753735</v>
      </c>
      <c r="D306" s="23">
        <v>3</v>
      </c>
      <c r="E306" s="24"/>
      <c r="F306" s="21" t="s">
        <v>186</v>
      </c>
      <c r="G306" s="25" t="s">
        <v>187</v>
      </c>
      <c r="H306" s="7"/>
      <c r="I306" s="7"/>
      <c r="J306" s="7"/>
      <c r="K306" s="7"/>
      <c r="L306" s="7"/>
      <c r="M306" s="7"/>
      <c r="N306" t="str">
        <f>_xlfn.CONCAT(D306,"_",F306)</f>
        <v>3_D09</v>
      </c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5" customHeight="1">
      <c r="A307" s="21" t="s">
        <v>15</v>
      </c>
      <c r="B307" s="21" t="s">
        <v>16</v>
      </c>
      <c r="C307" s="22">
        <v>753729</v>
      </c>
      <c r="D307" s="23">
        <v>3</v>
      </c>
      <c r="E307" s="24"/>
      <c r="F307" s="21" t="s">
        <v>188</v>
      </c>
      <c r="G307" s="25" t="s">
        <v>189</v>
      </c>
      <c r="H307" s="7"/>
      <c r="I307" s="7"/>
      <c r="J307" s="7"/>
      <c r="K307" s="7"/>
      <c r="L307" s="7"/>
      <c r="M307" s="7"/>
      <c r="N307" t="str">
        <f>_xlfn.CONCAT(D307,"_",F307)</f>
        <v>3_E09</v>
      </c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5" customHeight="1">
      <c r="A308" s="21" t="s">
        <v>15</v>
      </c>
      <c r="B308" s="21" t="s">
        <v>16</v>
      </c>
      <c r="C308" s="22">
        <v>753736</v>
      </c>
      <c r="D308" s="23">
        <v>3</v>
      </c>
      <c r="E308" s="24"/>
      <c r="F308" s="21" t="s">
        <v>190</v>
      </c>
      <c r="G308" s="25" t="s">
        <v>191</v>
      </c>
      <c r="H308" s="7"/>
      <c r="I308" s="7"/>
      <c r="J308" s="7"/>
      <c r="K308" s="7"/>
      <c r="L308" s="7"/>
      <c r="M308" s="7"/>
      <c r="N308" t="str">
        <f>_xlfn.CONCAT(D308,"_",F308)</f>
        <v>3_F09</v>
      </c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5" customHeight="1">
      <c r="A309" s="21" t="s">
        <v>15</v>
      </c>
      <c r="B309" s="21" t="s">
        <v>16</v>
      </c>
      <c r="C309" s="22">
        <v>753737</v>
      </c>
      <c r="D309" s="23">
        <v>3</v>
      </c>
      <c r="E309" s="24"/>
      <c r="F309" s="21" t="s">
        <v>192</v>
      </c>
      <c r="G309" s="25" t="s">
        <v>193</v>
      </c>
      <c r="H309" s="7"/>
      <c r="I309" s="7"/>
      <c r="J309" s="7"/>
      <c r="K309" s="7"/>
      <c r="L309" s="7"/>
      <c r="M309" s="7"/>
      <c r="N309" t="str">
        <f>_xlfn.CONCAT(D309,"_",F309)</f>
        <v>3_G09</v>
      </c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5" customHeight="1">
      <c r="A310" s="21" t="s">
        <v>15</v>
      </c>
      <c r="B310" s="21" t="s">
        <v>16</v>
      </c>
      <c r="C310" s="22">
        <v>753714</v>
      </c>
      <c r="D310" s="23">
        <v>3</v>
      </c>
      <c r="E310" s="24"/>
      <c r="F310" s="21" t="s">
        <v>194</v>
      </c>
      <c r="G310" s="25" t="s">
        <v>195</v>
      </c>
      <c r="H310" s="7"/>
      <c r="I310" s="7"/>
      <c r="J310" s="7"/>
      <c r="K310" s="7"/>
      <c r="L310" s="7"/>
      <c r="M310" s="7"/>
      <c r="N310" t="str">
        <f>_xlfn.CONCAT(D310,"_",F310)</f>
        <v>3_H09</v>
      </c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5" customHeight="1">
      <c r="A311" s="21" t="s">
        <v>15</v>
      </c>
      <c r="B311" s="21" t="s">
        <v>16</v>
      </c>
      <c r="C311" s="22">
        <v>753715</v>
      </c>
      <c r="D311" s="23">
        <v>3</v>
      </c>
      <c r="E311" s="24"/>
      <c r="F311" s="21" t="s">
        <v>196</v>
      </c>
      <c r="G311" s="25" t="s">
        <v>197</v>
      </c>
      <c r="H311" s="7"/>
      <c r="I311" s="7"/>
      <c r="J311" s="7"/>
      <c r="K311" s="7"/>
      <c r="L311" s="7"/>
      <c r="M311" s="7"/>
      <c r="N311" t="str">
        <f>_xlfn.CONCAT(D311,"_",F311)</f>
        <v>3_A10</v>
      </c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5" customHeight="1">
      <c r="A312" s="21" t="s">
        <v>15</v>
      </c>
      <c r="B312" s="21" t="s">
        <v>16</v>
      </c>
      <c r="C312" s="22">
        <v>753722</v>
      </c>
      <c r="D312" s="23">
        <v>3</v>
      </c>
      <c r="E312" s="24"/>
      <c r="F312" s="21" t="s">
        <v>198</v>
      </c>
      <c r="G312" s="25" t="s">
        <v>199</v>
      </c>
      <c r="H312" s="7"/>
      <c r="I312" s="7"/>
      <c r="J312" s="7"/>
      <c r="K312" s="7"/>
      <c r="L312" s="7"/>
      <c r="M312" s="7"/>
      <c r="N312" t="str">
        <f>_xlfn.CONCAT(D312,"_",F312)</f>
        <v>3_B10</v>
      </c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5" customHeight="1">
      <c r="A313" s="21" t="s">
        <v>15</v>
      </c>
      <c r="B313" s="21" t="s">
        <v>16</v>
      </c>
      <c r="C313" s="22">
        <v>753723</v>
      </c>
      <c r="D313" s="23">
        <v>3</v>
      </c>
      <c r="E313" s="24"/>
      <c r="F313" s="21" t="s">
        <v>200</v>
      </c>
      <c r="G313" s="25" t="s">
        <v>201</v>
      </c>
      <c r="H313" s="7"/>
      <c r="I313" s="7"/>
      <c r="J313" s="7"/>
      <c r="K313" s="7"/>
      <c r="L313" s="7"/>
      <c r="M313" s="7"/>
      <c r="N313" t="str">
        <f>_xlfn.CONCAT(D313,"_",F313)</f>
        <v>3_C10</v>
      </c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5" customHeight="1">
      <c r="A314" s="21" t="s">
        <v>15</v>
      </c>
      <c r="B314" s="21" t="s">
        <v>16</v>
      </c>
      <c r="C314" s="22">
        <v>753716</v>
      </c>
      <c r="D314" s="23">
        <v>3</v>
      </c>
      <c r="E314" s="24"/>
      <c r="F314" s="21" t="s">
        <v>202</v>
      </c>
      <c r="G314" s="25" t="s">
        <v>203</v>
      </c>
      <c r="H314" s="7"/>
      <c r="I314" s="7"/>
      <c r="J314" s="7"/>
      <c r="K314" s="7"/>
      <c r="L314" s="7"/>
      <c r="M314" s="7"/>
      <c r="N314" t="str">
        <f>_xlfn.CONCAT(D314,"_",F314)</f>
        <v>3_D10</v>
      </c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5" customHeight="1">
      <c r="A315" s="21" t="s">
        <v>15</v>
      </c>
      <c r="B315" s="21" t="s">
        <v>16</v>
      </c>
      <c r="C315" s="22">
        <v>753724</v>
      </c>
      <c r="D315" s="23">
        <v>3</v>
      </c>
      <c r="E315" s="24"/>
      <c r="F315" s="21" t="s">
        <v>204</v>
      </c>
      <c r="G315" s="25" t="s">
        <v>205</v>
      </c>
      <c r="H315" s="7"/>
      <c r="I315" s="7"/>
      <c r="J315" s="7"/>
      <c r="K315" s="7"/>
      <c r="L315" s="7"/>
      <c r="M315" s="7"/>
      <c r="N315" t="str">
        <f>_xlfn.CONCAT(D315,"_",F315)</f>
        <v>3_E10</v>
      </c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5" customHeight="1">
      <c r="A316" s="21" t="s">
        <v>15</v>
      </c>
      <c r="B316" s="21" t="s">
        <v>16</v>
      </c>
      <c r="C316" s="22">
        <v>753740</v>
      </c>
      <c r="D316" s="23">
        <v>3</v>
      </c>
      <c r="E316" s="24"/>
      <c r="F316" s="21" t="s">
        <v>206</v>
      </c>
      <c r="G316" s="25" t="s">
        <v>207</v>
      </c>
      <c r="H316" s="7"/>
      <c r="I316" s="7"/>
      <c r="J316" s="7"/>
      <c r="K316" s="7"/>
      <c r="L316" s="7"/>
      <c r="M316" s="7"/>
      <c r="N316" t="str">
        <f>_xlfn.CONCAT(D316,"_",F316)</f>
        <v>3_F10</v>
      </c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5" customHeight="1">
      <c r="A317" s="21" t="s">
        <v>15</v>
      </c>
      <c r="B317" s="21" t="s">
        <v>16</v>
      </c>
      <c r="C317" s="22">
        <v>753739</v>
      </c>
      <c r="D317" s="23">
        <v>3</v>
      </c>
      <c r="E317" s="24"/>
      <c r="F317" s="21" t="s">
        <v>91</v>
      </c>
      <c r="G317" s="25" t="s">
        <v>208</v>
      </c>
      <c r="H317" s="7"/>
      <c r="I317" s="7"/>
      <c r="J317" s="7"/>
      <c r="K317" s="7"/>
      <c r="L317" s="7"/>
      <c r="M317" s="7"/>
      <c r="N317" t="str">
        <f>_xlfn.CONCAT(D317,"_",F317)</f>
        <v>3_G10</v>
      </c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5" customHeight="1">
      <c r="A318" s="21" t="s">
        <v>15</v>
      </c>
      <c r="B318" s="21" t="s">
        <v>16</v>
      </c>
      <c r="C318" s="22">
        <v>753738</v>
      </c>
      <c r="D318" s="23">
        <v>3</v>
      </c>
      <c r="E318" s="24"/>
      <c r="F318" s="21" t="s">
        <v>92</v>
      </c>
      <c r="G318" s="25" t="s">
        <v>209</v>
      </c>
      <c r="H318" s="7"/>
      <c r="I318" s="7"/>
      <c r="J318" s="7"/>
      <c r="K318" s="7"/>
      <c r="L318" s="7"/>
      <c r="M318" s="7"/>
      <c r="N318" t="str">
        <f>_xlfn.CONCAT(D318,"_",F318)</f>
        <v>3_H10</v>
      </c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5" customHeight="1">
      <c r="A319" s="21" t="s">
        <v>15</v>
      </c>
      <c r="B319" s="21" t="s">
        <v>16</v>
      </c>
      <c r="C319" s="22">
        <v>753730</v>
      </c>
      <c r="D319" s="23">
        <v>3</v>
      </c>
      <c r="E319" s="24"/>
      <c r="F319" s="21" t="s">
        <v>93</v>
      </c>
      <c r="G319" s="25" t="s">
        <v>210</v>
      </c>
      <c r="H319" s="7"/>
      <c r="I319" s="7"/>
      <c r="J319" s="7"/>
      <c r="K319" s="7"/>
      <c r="L319" s="7"/>
      <c r="M319" s="7"/>
      <c r="N319" t="str">
        <f>_xlfn.CONCAT(D319,"_",F319)</f>
        <v>3_A11</v>
      </c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5" customHeight="1">
      <c r="A320" s="21" t="s">
        <v>15</v>
      </c>
      <c r="B320" s="21" t="s">
        <v>16</v>
      </c>
      <c r="C320" s="22">
        <v>753731</v>
      </c>
      <c r="D320" s="23">
        <v>3</v>
      </c>
      <c r="E320" s="24"/>
      <c r="F320" s="21" t="s">
        <v>94</v>
      </c>
      <c r="G320" s="25" t="s">
        <v>211</v>
      </c>
      <c r="H320" s="7"/>
      <c r="I320" s="7"/>
      <c r="J320" s="7"/>
      <c r="K320" s="7"/>
      <c r="L320" s="7"/>
      <c r="M320" s="7"/>
      <c r="N320" t="str">
        <f>_xlfn.CONCAT(D320,"_",F320)</f>
        <v>3_B11</v>
      </c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5" customHeight="1">
      <c r="A321" s="21" t="s">
        <v>15</v>
      </c>
      <c r="B321" s="21" t="s">
        <v>16</v>
      </c>
      <c r="C321" s="22">
        <v>753732</v>
      </c>
      <c r="D321" s="23">
        <v>3</v>
      </c>
      <c r="E321" s="24"/>
      <c r="F321" s="21" t="s">
        <v>49</v>
      </c>
      <c r="G321" s="25" t="s">
        <v>50</v>
      </c>
      <c r="H321" s="7"/>
      <c r="I321" s="7"/>
      <c r="J321" s="7"/>
      <c r="K321" s="7"/>
      <c r="L321" s="7"/>
      <c r="M321" s="7"/>
      <c r="N321" t="str">
        <f>_xlfn.CONCAT(D321,"_",F321)</f>
        <v>3_C11</v>
      </c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5" customHeight="1">
      <c r="A322" s="21" t="s">
        <v>15</v>
      </c>
      <c r="B322" s="21" t="s">
        <v>16</v>
      </c>
      <c r="C322" s="22">
        <v>753741</v>
      </c>
      <c r="D322" s="23">
        <v>3</v>
      </c>
      <c r="E322" s="24"/>
      <c r="F322" s="21" t="s">
        <v>51</v>
      </c>
      <c r="G322" s="25" t="s">
        <v>52</v>
      </c>
      <c r="H322" s="7"/>
      <c r="I322" s="7"/>
      <c r="J322" s="7"/>
      <c r="K322" s="7"/>
      <c r="L322" s="7"/>
      <c r="M322" s="7"/>
      <c r="N322" t="str">
        <f>_xlfn.CONCAT(D322,"_",F322)</f>
        <v>3_D11</v>
      </c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5" customHeight="1">
      <c r="A323" s="21" t="s">
        <v>15</v>
      </c>
      <c r="B323" s="21" t="s">
        <v>16</v>
      </c>
      <c r="C323" s="22">
        <v>753749</v>
      </c>
      <c r="D323" s="23">
        <v>3</v>
      </c>
      <c r="E323" s="24"/>
      <c r="F323" s="21" t="s">
        <v>95</v>
      </c>
      <c r="G323" s="25" t="s">
        <v>212</v>
      </c>
      <c r="H323" s="7"/>
      <c r="I323" s="7"/>
      <c r="J323" s="7"/>
      <c r="K323" s="7"/>
      <c r="L323" s="7"/>
      <c r="M323" s="7"/>
      <c r="N323" t="str">
        <f>_xlfn.CONCAT(D323,"_",F323)</f>
        <v>3_E11</v>
      </c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5" customHeight="1">
      <c r="A324" s="21" t="s">
        <v>15</v>
      </c>
      <c r="B324" s="21" t="s">
        <v>16</v>
      </c>
      <c r="C324" s="22">
        <v>753742</v>
      </c>
      <c r="D324" s="23">
        <v>3</v>
      </c>
      <c r="E324" s="24"/>
      <c r="F324" s="21" t="s">
        <v>53</v>
      </c>
      <c r="G324" s="25" t="s">
        <v>54</v>
      </c>
      <c r="H324" s="7"/>
      <c r="I324" s="7"/>
      <c r="J324" s="7"/>
      <c r="K324" s="7"/>
      <c r="L324" s="7"/>
      <c r="M324" s="7"/>
      <c r="N324" t="str">
        <f>_xlfn.CONCAT(D324,"_",F324)</f>
        <v>3_F11</v>
      </c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5" customHeight="1">
      <c r="A325" s="21" t="s">
        <v>15</v>
      </c>
      <c r="B325" s="21" t="s">
        <v>16</v>
      </c>
      <c r="C325" s="22">
        <v>753750</v>
      </c>
      <c r="D325" s="23">
        <v>3</v>
      </c>
      <c r="E325" s="24"/>
      <c r="F325" s="21" t="s">
        <v>55</v>
      </c>
      <c r="G325" s="25" t="s">
        <v>56</v>
      </c>
      <c r="H325" s="7"/>
      <c r="I325" s="7"/>
      <c r="J325" s="7"/>
      <c r="K325" s="7"/>
      <c r="L325" s="7"/>
      <c r="M325" s="7"/>
      <c r="N325" t="str">
        <f>_xlfn.CONCAT(D325,"_",F325)</f>
        <v>3_G11</v>
      </c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5" customHeight="1">
      <c r="A326" s="21" t="s">
        <v>15</v>
      </c>
      <c r="B326" s="21" t="s">
        <v>16</v>
      </c>
      <c r="C326" s="22">
        <v>753751</v>
      </c>
      <c r="D326" s="23">
        <v>3</v>
      </c>
      <c r="E326" s="24"/>
      <c r="F326" s="21" t="s">
        <v>57</v>
      </c>
      <c r="G326" s="25" t="s">
        <v>58</v>
      </c>
      <c r="H326" s="7"/>
      <c r="I326" s="7"/>
      <c r="J326" s="7"/>
      <c r="K326" s="7"/>
      <c r="L326" s="7"/>
      <c r="M326" s="7"/>
      <c r="N326" t="str">
        <f>_xlfn.CONCAT(D326,"_",F326)</f>
        <v>3_H11</v>
      </c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5" customHeight="1">
      <c r="A327" s="21" t="s">
        <v>15</v>
      </c>
      <c r="B327" s="21" t="s">
        <v>16</v>
      </c>
      <c r="C327" s="22">
        <v>753743</v>
      </c>
      <c r="D327" s="23">
        <v>3</v>
      </c>
      <c r="E327" s="24"/>
      <c r="F327" s="21" t="s">
        <v>59</v>
      </c>
      <c r="G327" s="25" t="s">
        <v>60</v>
      </c>
      <c r="H327" s="7"/>
      <c r="I327" s="7"/>
      <c r="J327" s="7"/>
      <c r="K327" s="7"/>
      <c r="L327" s="7"/>
      <c r="M327" s="7"/>
      <c r="N327" t="str">
        <f>_xlfn.CONCAT(D327,"_",F327)</f>
        <v>3_A12</v>
      </c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5" customHeight="1">
      <c r="A328" s="21" t="s">
        <v>15</v>
      </c>
      <c r="B328" s="21" t="s">
        <v>16</v>
      </c>
      <c r="C328" s="22">
        <v>753744</v>
      </c>
      <c r="D328" s="23">
        <v>3</v>
      </c>
      <c r="E328" s="24"/>
      <c r="F328" s="21" t="s">
        <v>61</v>
      </c>
      <c r="G328" s="25" t="s">
        <v>62</v>
      </c>
      <c r="H328" s="7"/>
      <c r="I328" s="7"/>
      <c r="J328" s="7"/>
      <c r="K328" s="7"/>
      <c r="L328" s="7"/>
      <c r="M328" s="7"/>
      <c r="N328" t="str">
        <f>_xlfn.CONCAT(D328,"_",F328)</f>
        <v>3_B12</v>
      </c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5" customHeight="1">
      <c r="A329" s="21" t="s">
        <v>15</v>
      </c>
      <c r="B329" s="21" t="s">
        <v>16</v>
      </c>
      <c r="C329" s="22">
        <v>753752</v>
      </c>
      <c r="D329" s="23">
        <v>3</v>
      </c>
      <c r="E329" s="24"/>
      <c r="F329" s="21" t="s">
        <v>63</v>
      </c>
      <c r="G329" s="25" t="s">
        <v>64</v>
      </c>
      <c r="H329" s="7"/>
      <c r="I329" s="7"/>
      <c r="J329" s="7"/>
      <c r="K329" s="7"/>
      <c r="L329" s="7"/>
      <c r="M329" s="7"/>
      <c r="N329" t="str">
        <f>_xlfn.CONCAT(D329,"_",F329)</f>
        <v>3_C12</v>
      </c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5" customHeight="1">
      <c r="A330" s="21" t="s">
        <v>15</v>
      </c>
      <c r="B330" s="21" t="s">
        <v>16</v>
      </c>
      <c r="C330" s="22">
        <v>753745</v>
      </c>
      <c r="D330" s="23">
        <v>3</v>
      </c>
      <c r="E330" s="24"/>
      <c r="F330" s="21" t="s">
        <v>65</v>
      </c>
      <c r="G330" s="25" t="s">
        <v>66</v>
      </c>
      <c r="H330" s="7"/>
      <c r="I330" s="7"/>
      <c r="J330" s="7"/>
      <c r="K330" s="7"/>
      <c r="L330" s="7"/>
      <c r="M330" s="7"/>
      <c r="N330" t="str">
        <f>_xlfn.CONCAT(D330,"_",F330)</f>
        <v>3_D12</v>
      </c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5" customHeight="1">
      <c r="A331" s="21" t="s">
        <v>15</v>
      </c>
      <c r="B331" s="21" t="s">
        <v>16</v>
      </c>
      <c r="C331" s="22">
        <v>753753</v>
      </c>
      <c r="D331" s="23">
        <v>3</v>
      </c>
      <c r="E331" s="24"/>
      <c r="F331" s="21" t="s">
        <v>67</v>
      </c>
      <c r="G331" s="25" t="s">
        <v>68</v>
      </c>
      <c r="H331" s="7"/>
      <c r="I331" s="7"/>
      <c r="J331" s="7"/>
      <c r="K331" s="7"/>
      <c r="L331" s="7"/>
      <c r="M331" s="7"/>
      <c r="N331" t="str">
        <f>_xlfn.CONCAT(D331,"_",F331)</f>
        <v>3_E12</v>
      </c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5" customHeight="1">
      <c r="A332" s="21" t="s">
        <v>15</v>
      </c>
      <c r="B332" s="21" t="s">
        <v>16</v>
      </c>
      <c r="C332" s="22">
        <v>753764</v>
      </c>
      <c r="D332" s="23">
        <v>3</v>
      </c>
      <c r="E332" s="24"/>
      <c r="F332" s="21" t="s">
        <v>96</v>
      </c>
      <c r="G332" s="25" t="s">
        <v>213</v>
      </c>
      <c r="H332" s="7"/>
      <c r="I332" s="7"/>
      <c r="J332" s="7"/>
      <c r="K332" s="7"/>
      <c r="L332" s="7"/>
      <c r="M332" s="7"/>
      <c r="N332" t="str">
        <f>_xlfn.CONCAT(D332,"_",F332)</f>
        <v>3_F12</v>
      </c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5" customHeight="1">
      <c r="A333" s="21" t="s">
        <v>15</v>
      </c>
      <c r="B333" s="21" t="s">
        <v>16</v>
      </c>
      <c r="C333" s="22">
        <v>753763</v>
      </c>
      <c r="D333" s="23">
        <v>3</v>
      </c>
      <c r="E333" s="24"/>
      <c r="F333" s="21" t="s">
        <v>97</v>
      </c>
      <c r="G333" s="25" t="s">
        <v>214</v>
      </c>
      <c r="H333" s="7"/>
      <c r="I333" s="7"/>
      <c r="J333" s="7"/>
      <c r="K333" s="7"/>
      <c r="L333" s="7"/>
      <c r="M333" s="7"/>
      <c r="N333" t="str">
        <f>_xlfn.CONCAT(D333,"_",F333)</f>
        <v>3_G12</v>
      </c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5" customHeight="1">
      <c r="A334" s="21" t="s">
        <v>15</v>
      </c>
      <c r="B334" s="21" t="s">
        <v>16</v>
      </c>
      <c r="C334" s="22">
        <v>753762</v>
      </c>
      <c r="D334" s="23">
        <v>3</v>
      </c>
      <c r="E334" s="24"/>
      <c r="F334" s="21" t="s">
        <v>47</v>
      </c>
      <c r="G334" s="25" t="s">
        <v>48</v>
      </c>
      <c r="H334" s="7"/>
      <c r="I334" s="7"/>
      <c r="J334" s="7"/>
      <c r="K334" s="7"/>
      <c r="L334" s="7"/>
      <c r="M334" s="7"/>
      <c r="N334" t="str">
        <f>_xlfn.CONCAT(D334,"_",F334)</f>
        <v>3_H12</v>
      </c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5" customHeight="1">
      <c r="A335" s="21" t="s">
        <v>15</v>
      </c>
      <c r="B335" s="21" t="s">
        <v>16</v>
      </c>
      <c r="C335" s="22">
        <v>753746</v>
      </c>
      <c r="D335" s="23">
        <v>4</v>
      </c>
      <c r="E335" s="24"/>
      <c r="F335" s="21" t="s">
        <v>100</v>
      </c>
      <c r="G335" s="25" t="s">
        <v>101</v>
      </c>
      <c r="H335" s="7"/>
      <c r="I335" s="7"/>
      <c r="J335" s="7"/>
      <c r="K335" s="7"/>
      <c r="L335" s="7"/>
      <c r="M335" s="7"/>
      <c r="N335" t="str">
        <f>_xlfn.CONCAT(D335,"_",F335)</f>
        <v>4_A01</v>
      </c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5" customHeight="1">
      <c r="A336" s="21" t="s">
        <v>15</v>
      </c>
      <c r="B336" s="21" t="s">
        <v>16</v>
      </c>
      <c r="C336" s="22">
        <v>753747</v>
      </c>
      <c r="D336" s="23">
        <v>4</v>
      </c>
      <c r="E336" s="24"/>
      <c r="F336" s="21" t="s">
        <v>102</v>
      </c>
      <c r="G336" s="25" t="s">
        <v>103</v>
      </c>
      <c r="H336" s="7"/>
      <c r="I336" s="7"/>
      <c r="J336" s="7"/>
      <c r="K336" s="7"/>
      <c r="L336" s="7"/>
      <c r="M336" s="7"/>
      <c r="N336" t="str">
        <f>_xlfn.CONCAT(D336,"_",F336)</f>
        <v>4_B01</v>
      </c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5" customHeight="1">
      <c r="A337" s="21" t="s">
        <v>15</v>
      </c>
      <c r="B337" s="21" t="s">
        <v>16</v>
      </c>
      <c r="C337" s="22">
        <v>753748</v>
      </c>
      <c r="D337" s="23">
        <v>4</v>
      </c>
      <c r="E337" s="24"/>
      <c r="F337" s="21" t="s">
        <v>104</v>
      </c>
      <c r="G337" s="25" t="s">
        <v>105</v>
      </c>
      <c r="H337" s="7"/>
      <c r="I337" s="7"/>
      <c r="J337" s="7"/>
      <c r="K337" s="7"/>
      <c r="L337" s="7"/>
      <c r="M337" s="7"/>
      <c r="N337" t="str">
        <f>_xlfn.CONCAT(D337,"_",F337)</f>
        <v>4_C01</v>
      </c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5" customHeight="1">
      <c r="A338" s="21" t="s">
        <v>15</v>
      </c>
      <c r="B338" s="21" t="s">
        <v>16</v>
      </c>
      <c r="C338" s="22">
        <v>753756</v>
      </c>
      <c r="D338" s="23">
        <v>4</v>
      </c>
      <c r="E338" s="24"/>
      <c r="F338" s="21" t="s">
        <v>69</v>
      </c>
      <c r="G338" s="25" t="s">
        <v>106</v>
      </c>
      <c r="H338" s="7"/>
      <c r="I338" s="7"/>
      <c r="J338" s="7"/>
      <c r="K338" s="7"/>
      <c r="L338" s="7"/>
      <c r="M338" s="7"/>
      <c r="N338" t="str">
        <f>_xlfn.CONCAT(D338,"_",F338)</f>
        <v>4_D01</v>
      </c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5" customHeight="1">
      <c r="A339" s="21" t="s">
        <v>15</v>
      </c>
      <c r="B339" s="21" t="s">
        <v>16</v>
      </c>
      <c r="C339" s="22">
        <v>753754</v>
      </c>
      <c r="D339" s="23">
        <v>4</v>
      </c>
      <c r="E339" s="24"/>
      <c r="F339" s="21" t="s">
        <v>71</v>
      </c>
      <c r="G339" s="25" t="s">
        <v>107</v>
      </c>
      <c r="H339" s="7"/>
      <c r="I339" s="7"/>
      <c r="J339" s="7"/>
      <c r="K339" s="7"/>
      <c r="L339" s="7"/>
      <c r="M339" s="7"/>
      <c r="N339" t="str">
        <f>_xlfn.CONCAT(D339,"_",F339)</f>
        <v>4_E01</v>
      </c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5" customHeight="1">
      <c r="A340" s="21" t="s">
        <v>15</v>
      </c>
      <c r="B340" s="21" t="s">
        <v>16</v>
      </c>
      <c r="C340" s="22">
        <v>753755</v>
      </c>
      <c r="D340" s="23">
        <v>4</v>
      </c>
      <c r="E340" s="24"/>
      <c r="F340" s="21" t="s">
        <v>73</v>
      </c>
      <c r="G340" s="25" t="s">
        <v>108</v>
      </c>
      <c r="H340" s="7"/>
      <c r="I340" s="7"/>
      <c r="J340" s="7"/>
      <c r="K340" s="7"/>
      <c r="L340" s="7"/>
      <c r="M340" s="7"/>
      <c r="N340" t="str">
        <f>_xlfn.CONCAT(D340,"_",F340)</f>
        <v>4_F01</v>
      </c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5" customHeight="1">
      <c r="A341" s="21" t="s">
        <v>15</v>
      </c>
      <c r="B341" s="21" t="s">
        <v>16</v>
      </c>
      <c r="C341" s="22">
        <v>753757</v>
      </c>
      <c r="D341" s="23">
        <v>4</v>
      </c>
      <c r="E341" s="24"/>
      <c r="F341" s="21" t="s">
        <v>75</v>
      </c>
      <c r="G341" s="25" t="s">
        <v>109</v>
      </c>
      <c r="H341" s="7"/>
      <c r="I341" s="7"/>
      <c r="J341" s="7"/>
      <c r="K341" s="7"/>
      <c r="L341" s="7"/>
      <c r="M341" s="7"/>
      <c r="N341" t="str">
        <f>_xlfn.CONCAT(D341,"_",F341)</f>
        <v>4_G01</v>
      </c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5" customHeight="1">
      <c r="A342" s="21" t="s">
        <v>15</v>
      </c>
      <c r="B342" s="21" t="s">
        <v>16</v>
      </c>
      <c r="C342" s="22">
        <v>753765</v>
      </c>
      <c r="D342" s="23">
        <v>4</v>
      </c>
      <c r="E342" s="24"/>
      <c r="F342" s="21" t="s">
        <v>77</v>
      </c>
      <c r="G342" s="25" t="s">
        <v>110</v>
      </c>
      <c r="H342" s="7"/>
      <c r="I342" s="7"/>
      <c r="J342" s="7"/>
      <c r="K342" s="7"/>
      <c r="L342" s="7"/>
      <c r="M342" s="7"/>
      <c r="N342" t="str">
        <f>_xlfn.CONCAT(D342,"_",F342)</f>
        <v>4_H01</v>
      </c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5" customHeight="1">
      <c r="A343" s="21" t="s">
        <v>15</v>
      </c>
      <c r="B343" s="21" t="s">
        <v>16</v>
      </c>
      <c r="C343" s="22">
        <v>753758</v>
      </c>
      <c r="D343" s="23">
        <v>4</v>
      </c>
      <c r="E343" s="24"/>
      <c r="F343" s="21" t="s">
        <v>79</v>
      </c>
      <c r="G343" s="25" t="s">
        <v>111</v>
      </c>
      <c r="H343" s="7"/>
      <c r="I343" s="7"/>
      <c r="J343" s="7"/>
      <c r="K343" s="7"/>
      <c r="L343" s="7"/>
      <c r="M343" s="7"/>
      <c r="N343" t="str">
        <f>_xlfn.CONCAT(D343,"_",F343)</f>
        <v>4_A02</v>
      </c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5" customHeight="1">
      <c r="A344" s="21" t="s">
        <v>15</v>
      </c>
      <c r="B344" s="21" t="s">
        <v>16</v>
      </c>
      <c r="C344" s="22">
        <v>753759</v>
      </c>
      <c r="D344" s="23">
        <v>4</v>
      </c>
      <c r="E344" s="24"/>
      <c r="F344" s="21" t="s">
        <v>81</v>
      </c>
      <c r="G344" s="25" t="s">
        <v>112</v>
      </c>
      <c r="H344" s="7"/>
      <c r="I344" s="7"/>
      <c r="J344" s="7"/>
      <c r="K344" s="7"/>
      <c r="L344" s="7"/>
      <c r="M344" s="7"/>
      <c r="N344" t="str">
        <f>_xlfn.CONCAT(D344,"_",F344)</f>
        <v>4_B02</v>
      </c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5" customHeight="1">
      <c r="A345" s="21" t="s">
        <v>15</v>
      </c>
      <c r="B345" s="21" t="s">
        <v>16</v>
      </c>
      <c r="C345" s="22">
        <v>753766</v>
      </c>
      <c r="D345" s="23">
        <v>4</v>
      </c>
      <c r="E345" s="24"/>
      <c r="F345" s="21" t="s">
        <v>82</v>
      </c>
      <c r="G345" s="25" t="s">
        <v>113</v>
      </c>
      <c r="H345" s="7"/>
      <c r="I345" s="7"/>
      <c r="J345" s="7"/>
      <c r="K345" s="7"/>
      <c r="L345" s="7"/>
      <c r="M345" s="7"/>
      <c r="N345" t="str">
        <f>_xlfn.CONCAT(D345,"_",F345)</f>
        <v>4_C02</v>
      </c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5" customHeight="1">
      <c r="A346" s="21" t="s">
        <v>15</v>
      </c>
      <c r="B346" s="21" t="s">
        <v>16</v>
      </c>
      <c r="C346" s="22">
        <v>753767</v>
      </c>
      <c r="D346" s="23">
        <v>4</v>
      </c>
      <c r="E346" s="24"/>
      <c r="F346" s="21" t="s">
        <v>83</v>
      </c>
      <c r="G346" s="25" t="s">
        <v>114</v>
      </c>
      <c r="H346" s="7"/>
      <c r="I346" s="7"/>
      <c r="J346" s="7"/>
      <c r="K346" s="7"/>
      <c r="L346" s="7"/>
      <c r="M346" s="7"/>
      <c r="N346" t="str">
        <f>_xlfn.CONCAT(D346,"_",F346)</f>
        <v>4_D02</v>
      </c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5" customHeight="1">
      <c r="A347" s="21" t="s">
        <v>15</v>
      </c>
      <c r="B347" s="21" t="s">
        <v>16</v>
      </c>
      <c r="C347" s="22">
        <v>753760</v>
      </c>
      <c r="D347" s="23">
        <v>4</v>
      </c>
      <c r="E347" s="24"/>
      <c r="F347" s="21" t="s">
        <v>84</v>
      </c>
      <c r="G347" s="25" t="s">
        <v>115</v>
      </c>
      <c r="H347" s="7"/>
      <c r="I347" s="7"/>
      <c r="J347" s="7"/>
      <c r="K347" s="7"/>
      <c r="L347" s="7"/>
      <c r="M347" s="7"/>
      <c r="N347" t="str">
        <f>_xlfn.CONCAT(D347,"_",F347)</f>
        <v>4_E02</v>
      </c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5" customHeight="1">
      <c r="A348" s="21" t="s">
        <v>15</v>
      </c>
      <c r="B348" s="21" t="s">
        <v>16</v>
      </c>
      <c r="C348" s="22">
        <v>753761</v>
      </c>
      <c r="D348" s="23">
        <v>4</v>
      </c>
      <c r="E348" s="24"/>
      <c r="F348" s="21" t="s">
        <v>85</v>
      </c>
      <c r="G348" s="25" t="s">
        <v>116</v>
      </c>
      <c r="H348" s="7"/>
      <c r="I348" s="7"/>
      <c r="J348" s="7"/>
      <c r="K348" s="7"/>
      <c r="L348" s="7"/>
      <c r="M348" s="7"/>
      <c r="N348" t="str">
        <f>_xlfn.CONCAT(D348,"_",F348)</f>
        <v>4_F02</v>
      </c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5" customHeight="1">
      <c r="A349" s="21" t="s">
        <v>15</v>
      </c>
      <c r="B349" s="21" t="s">
        <v>16</v>
      </c>
      <c r="C349" s="22">
        <v>753768</v>
      </c>
      <c r="D349" s="23">
        <v>4</v>
      </c>
      <c r="E349" s="24"/>
      <c r="F349" s="21" t="s">
        <v>117</v>
      </c>
      <c r="G349" s="25" t="s">
        <v>118</v>
      </c>
      <c r="H349" s="7"/>
      <c r="I349" s="7"/>
      <c r="J349" s="7"/>
      <c r="K349" s="7"/>
      <c r="L349" s="7"/>
      <c r="M349" s="7"/>
      <c r="N349" t="str">
        <f>_xlfn.CONCAT(D349,"_",F349)</f>
        <v>4_G02</v>
      </c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5" customHeight="1">
      <c r="A350" s="21" t="s">
        <v>15</v>
      </c>
      <c r="B350" s="21" t="s">
        <v>16</v>
      </c>
      <c r="C350" s="22">
        <v>753769</v>
      </c>
      <c r="D350" s="23">
        <v>4</v>
      </c>
      <c r="E350" s="24"/>
      <c r="F350" s="21" t="s">
        <v>119</v>
      </c>
      <c r="G350" s="25" t="s">
        <v>120</v>
      </c>
      <c r="H350" s="7"/>
      <c r="I350" s="7"/>
      <c r="J350" s="7"/>
      <c r="K350" s="7"/>
      <c r="L350" s="7"/>
      <c r="M350" s="7"/>
      <c r="N350" t="str">
        <f>_xlfn.CONCAT(D350,"_",F350)</f>
        <v>4_H02</v>
      </c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5" customHeight="1">
      <c r="A351" s="21" t="s">
        <v>15</v>
      </c>
      <c r="B351" s="21" t="s">
        <v>16</v>
      </c>
      <c r="C351" s="22">
        <v>753770</v>
      </c>
      <c r="D351" s="23">
        <v>4</v>
      </c>
      <c r="E351" s="24"/>
      <c r="F351" s="21" t="s">
        <v>121</v>
      </c>
      <c r="G351" s="25" t="s">
        <v>122</v>
      </c>
      <c r="H351" s="7"/>
      <c r="I351" s="7"/>
      <c r="J351" s="7"/>
      <c r="K351" s="7"/>
      <c r="L351" s="7"/>
      <c r="M351" s="7"/>
      <c r="N351" t="str">
        <f>_xlfn.CONCAT(D351,"_",F351)</f>
        <v>4_A03</v>
      </c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5" customHeight="1">
      <c r="A352" s="21" t="s">
        <v>15</v>
      </c>
      <c r="B352" s="21" t="s">
        <v>16</v>
      </c>
      <c r="C352" s="22">
        <v>753771</v>
      </c>
      <c r="D352" s="23">
        <v>4</v>
      </c>
      <c r="E352" s="24"/>
      <c r="F352" s="21" t="s">
        <v>123</v>
      </c>
      <c r="G352" s="25" t="s">
        <v>124</v>
      </c>
      <c r="H352" s="7"/>
      <c r="I352" s="7"/>
      <c r="J352" s="7"/>
      <c r="K352" s="7"/>
      <c r="L352" s="7"/>
      <c r="M352" s="7"/>
      <c r="N352" t="str">
        <f>_xlfn.CONCAT(D352,"_",F352)</f>
        <v>4_B03</v>
      </c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5" customHeight="1">
      <c r="A353" s="21" t="s">
        <v>15</v>
      </c>
      <c r="B353" s="21" t="s">
        <v>16</v>
      </c>
      <c r="C353" s="22">
        <v>753772</v>
      </c>
      <c r="D353" s="23">
        <v>4</v>
      </c>
      <c r="E353" s="24"/>
      <c r="F353" s="21" t="s">
        <v>125</v>
      </c>
      <c r="G353" s="25" t="s">
        <v>126</v>
      </c>
      <c r="H353" s="7"/>
      <c r="I353" s="7"/>
      <c r="J353" s="7"/>
      <c r="K353" s="7"/>
      <c r="L353" s="7"/>
      <c r="M353" s="7"/>
      <c r="N353" t="str">
        <f>_xlfn.CONCAT(D353,"_",F353)</f>
        <v>4_C03</v>
      </c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5" customHeight="1">
      <c r="A354" s="21" t="s">
        <v>15</v>
      </c>
      <c r="B354" s="21" t="s">
        <v>16</v>
      </c>
      <c r="C354" s="22">
        <v>753778</v>
      </c>
      <c r="D354" s="23">
        <v>4</v>
      </c>
      <c r="E354" s="24"/>
      <c r="F354" s="21" t="s">
        <v>86</v>
      </c>
      <c r="G354" s="25" t="s">
        <v>127</v>
      </c>
      <c r="H354" s="7"/>
      <c r="I354" s="7"/>
      <c r="J354" s="7"/>
      <c r="K354" s="7"/>
      <c r="L354" s="7"/>
      <c r="M354" s="7"/>
      <c r="N354" t="str">
        <f>_xlfn.CONCAT(D354,"_",F354)</f>
        <v>4_D03</v>
      </c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5" customHeight="1">
      <c r="A355" s="21" t="s">
        <v>15</v>
      </c>
      <c r="B355" s="21" t="s">
        <v>16</v>
      </c>
      <c r="C355" s="22">
        <v>753779</v>
      </c>
      <c r="D355" s="23">
        <v>4</v>
      </c>
      <c r="E355" s="24"/>
      <c r="F355" s="21" t="s">
        <v>87</v>
      </c>
      <c r="G355" s="25" t="s">
        <v>128</v>
      </c>
      <c r="H355" s="7"/>
      <c r="I355" s="7"/>
      <c r="J355" s="7"/>
      <c r="K355" s="7"/>
      <c r="L355" s="7"/>
      <c r="M355" s="7"/>
      <c r="N355" t="str">
        <f>_xlfn.CONCAT(D355,"_",F355)</f>
        <v>4_E03</v>
      </c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5" customHeight="1">
      <c r="A356" s="21" t="s">
        <v>15</v>
      </c>
      <c r="B356" s="21" t="s">
        <v>16</v>
      </c>
      <c r="C356" s="22">
        <v>753773</v>
      </c>
      <c r="D356" s="23">
        <v>4</v>
      </c>
      <c r="E356" s="24"/>
      <c r="F356" s="21" t="s">
        <v>88</v>
      </c>
      <c r="G356" s="25" t="s">
        <v>129</v>
      </c>
      <c r="H356" s="7"/>
      <c r="I356" s="7"/>
      <c r="J356" s="7"/>
      <c r="K356" s="7"/>
      <c r="L356" s="7"/>
      <c r="M356" s="7"/>
      <c r="N356" t="str">
        <f>_xlfn.CONCAT(D356,"_",F356)</f>
        <v>4_F03</v>
      </c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5" customHeight="1">
      <c r="A357" s="21" t="s">
        <v>15</v>
      </c>
      <c r="B357" s="21" t="s">
        <v>16</v>
      </c>
      <c r="C357" s="22">
        <v>753774</v>
      </c>
      <c r="D357" s="23">
        <v>4</v>
      </c>
      <c r="E357" s="24"/>
      <c r="F357" s="21" t="s">
        <v>89</v>
      </c>
      <c r="G357" s="25" t="s">
        <v>130</v>
      </c>
      <c r="H357" s="7"/>
      <c r="I357" s="7"/>
      <c r="J357" s="7"/>
      <c r="K357" s="7"/>
      <c r="L357" s="7"/>
      <c r="M357" s="7"/>
      <c r="N357" t="str">
        <f>_xlfn.CONCAT(D357,"_",F357)</f>
        <v>4_G03</v>
      </c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5" customHeight="1">
      <c r="A358" s="21" t="s">
        <v>15</v>
      </c>
      <c r="B358" s="21" t="s">
        <v>16</v>
      </c>
      <c r="C358" s="22">
        <v>753775</v>
      </c>
      <c r="D358" s="23">
        <v>4</v>
      </c>
      <c r="E358" s="24"/>
      <c r="F358" s="21" t="s">
        <v>90</v>
      </c>
      <c r="G358" s="25" t="s">
        <v>131</v>
      </c>
      <c r="H358" s="7"/>
      <c r="I358" s="7"/>
      <c r="J358" s="7"/>
      <c r="K358" s="7"/>
      <c r="L358" s="7"/>
      <c r="M358" s="7"/>
      <c r="N358" t="str">
        <f>_xlfn.CONCAT(D358,"_",F358)</f>
        <v>4_H03</v>
      </c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5" customHeight="1">
      <c r="A359" s="21" t="s">
        <v>15</v>
      </c>
      <c r="B359" s="21" t="s">
        <v>16</v>
      </c>
      <c r="C359" s="22">
        <v>753776</v>
      </c>
      <c r="D359" s="23">
        <v>4</v>
      </c>
      <c r="E359" s="24"/>
      <c r="F359" s="21" t="s">
        <v>132</v>
      </c>
      <c r="G359" s="25" t="s">
        <v>133</v>
      </c>
      <c r="H359" s="7"/>
      <c r="I359" s="7"/>
      <c r="J359" s="7"/>
      <c r="K359" s="7"/>
      <c r="L359" s="7"/>
      <c r="M359" s="7"/>
      <c r="N359" t="str">
        <f>_xlfn.CONCAT(D359,"_",F359)</f>
        <v>4_A04</v>
      </c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5" customHeight="1">
      <c r="A360" s="21" t="s">
        <v>15</v>
      </c>
      <c r="B360" s="21" t="s">
        <v>16</v>
      </c>
      <c r="C360" s="22">
        <v>753777</v>
      </c>
      <c r="D360" s="23">
        <v>4</v>
      </c>
      <c r="E360" s="24"/>
      <c r="F360" s="21" t="s">
        <v>134</v>
      </c>
      <c r="G360" s="25" t="s">
        <v>135</v>
      </c>
      <c r="H360" s="7"/>
      <c r="I360" s="7"/>
      <c r="J360" s="7"/>
      <c r="K360" s="7"/>
      <c r="L360" s="7"/>
      <c r="M360" s="7"/>
      <c r="N360" t="str">
        <f>_xlfn.CONCAT(D360,"_",F360)</f>
        <v>4_B04</v>
      </c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5" customHeight="1">
      <c r="A361" s="21" t="s">
        <v>15</v>
      </c>
      <c r="B361" s="21" t="s">
        <v>16</v>
      </c>
      <c r="C361" s="22">
        <v>753932</v>
      </c>
      <c r="D361" s="23">
        <v>4</v>
      </c>
      <c r="E361" s="24"/>
      <c r="F361" s="21" t="s">
        <v>136</v>
      </c>
      <c r="G361" s="25" t="s">
        <v>137</v>
      </c>
      <c r="H361" s="7"/>
      <c r="I361" s="7"/>
      <c r="J361" s="7"/>
      <c r="K361" s="7"/>
      <c r="L361" s="7"/>
      <c r="M361" s="7"/>
      <c r="N361" t="str">
        <f>_xlfn.CONCAT(D361,"_",F361)</f>
        <v>4_C04</v>
      </c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5" customHeight="1">
      <c r="A362" s="21" t="s">
        <v>15</v>
      </c>
      <c r="B362" s="21" t="s">
        <v>16</v>
      </c>
      <c r="C362" s="22">
        <v>753933</v>
      </c>
      <c r="D362" s="23">
        <v>4</v>
      </c>
      <c r="E362" s="24"/>
      <c r="F362" s="21" t="s">
        <v>138</v>
      </c>
      <c r="G362" s="25" t="s">
        <v>139</v>
      </c>
      <c r="H362" s="7"/>
      <c r="I362" s="7"/>
      <c r="J362" s="7"/>
      <c r="K362" s="7"/>
      <c r="L362" s="7"/>
      <c r="M362" s="7"/>
      <c r="N362" t="str">
        <f>_xlfn.CONCAT(D362,"_",F362)</f>
        <v>4_D04</v>
      </c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5" customHeight="1">
      <c r="A363" s="21" t="s">
        <v>15</v>
      </c>
      <c r="B363" s="21" t="s">
        <v>16</v>
      </c>
      <c r="C363" s="22">
        <v>753934</v>
      </c>
      <c r="D363" s="23">
        <v>4</v>
      </c>
      <c r="E363" s="24"/>
      <c r="F363" s="21" t="s">
        <v>140</v>
      </c>
      <c r="G363" s="25" t="s">
        <v>141</v>
      </c>
      <c r="H363" s="7"/>
      <c r="I363" s="7"/>
      <c r="J363" s="7"/>
      <c r="K363" s="7"/>
      <c r="L363" s="7"/>
      <c r="M363" s="7"/>
      <c r="N363" t="str">
        <f>_xlfn.CONCAT(D363,"_",F363)</f>
        <v>4_E04</v>
      </c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5" customHeight="1">
      <c r="A364" s="21" t="s">
        <v>15</v>
      </c>
      <c r="B364" s="21" t="s">
        <v>16</v>
      </c>
      <c r="C364" s="22">
        <v>753935</v>
      </c>
      <c r="D364" s="23">
        <v>4</v>
      </c>
      <c r="E364" s="24"/>
      <c r="F364" s="21" t="s">
        <v>142</v>
      </c>
      <c r="G364" s="25" t="s">
        <v>143</v>
      </c>
      <c r="H364" s="7"/>
      <c r="I364" s="7"/>
      <c r="J364" s="7"/>
      <c r="K364" s="7"/>
      <c r="L364" s="7"/>
      <c r="M364" s="7"/>
      <c r="N364" t="str">
        <f>_xlfn.CONCAT(D364,"_",F364)</f>
        <v>4_F04</v>
      </c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5" customHeight="1">
      <c r="A365" s="21" t="s">
        <v>15</v>
      </c>
      <c r="B365" s="21" t="s">
        <v>16</v>
      </c>
      <c r="C365" s="22">
        <v>753936</v>
      </c>
      <c r="D365" s="23">
        <v>4</v>
      </c>
      <c r="E365" s="24"/>
      <c r="F365" s="21" t="s">
        <v>144</v>
      </c>
      <c r="G365" s="25" t="s">
        <v>145</v>
      </c>
      <c r="H365" s="7"/>
      <c r="I365" s="7"/>
      <c r="J365" s="7"/>
      <c r="K365" s="7"/>
      <c r="L365" s="7"/>
      <c r="M365" s="7"/>
      <c r="N365" t="str">
        <f>_xlfn.CONCAT(D365,"_",F365)</f>
        <v>4_G04</v>
      </c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5" customHeight="1">
      <c r="A366" s="21" t="s">
        <v>15</v>
      </c>
      <c r="B366" s="21" t="s">
        <v>16</v>
      </c>
      <c r="C366" s="22">
        <v>753940</v>
      </c>
      <c r="D366" s="23">
        <v>4</v>
      </c>
      <c r="E366" s="24"/>
      <c r="F366" s="21" t="s">
        <v>146</v>
      </c>
      <c r="G366" s="25" t="s">
        <v>147</v>
      </c>
      <c r="H366" s="7"/>
      <c r="I366" s="7"/>
      <c r="J366" s="7"/>
      <c r="K366" s="7"/>
      <c r="L366" s="7"/>
      <c r="M366" s="7"/>
      <c r="N366" t="str">
        <f>_xlfn.CONCAT(D366,"_",F366)</f>
        <v>4_H04</v>
      </c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5" customHeight="1">
      <c r="A367" s="21" t="s">
        <v>15</v>
      </c>
      <c r="B367" s="21" t="s">
        <v>16</v>
      </c>
      <c r="C367" s="22">
        <v>753941</v>
      </c>
      <c r="D367" s="23">
        <v>4</v>
      </c>
      <c r="E367" s="24"/>
      <c r="F367" s="21" t="s">
        <v>148</v>
      </c>
      <c r="G367" s="25" t="s">
        <v>149</v>
      </c>
      <c r="H367" s="7"/>
      <c r="I367" s="7"/>
      <c r="J367" s="7"/>
      <c r="K367" s="7"/>
      <c r="L367" s="7"/>
      <c r="M367" s="7"/>
      <c r="N367" t="str">
        <f>_xlfn.CONCAT(D367,"_",F367)</f>
        <v>4_A05</v>
      </c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5" customHeight="1">
      <c r="A368" s="21" t="s">
        <v>15</v>
      </c>
      <c r="B368" s="21" t="s">
        <v>16</v>
      </c>
      <c r="C368" s="22">
        <v>753942</v>
      </c>
      <c r="D368" s="23">
        <v>4</v>
      </c>
      <c r="E368" s="24"/>
      <c r="F368" s="21" t="s">
        <v>150</v>
      </c>
      <c r="G368" s="25" t="s">
        <v>151</v>
      </c>
      <c r="H368" s="7"/>
      <c r="I368" s="7"/>
      <c r="J368" s="7"/>
      <c r="K368" s="7"/>
      <c r="L368" s="7"/>
      <c r="M368" s="7"/>
      <c r="N368" t="str">
        <f>_xlfn.CONCAT(D368,"_",F368)</f>
        <v>4_B05</v>
      </c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5" customHeight="1">
      <c r="A369" s="21" t="s">
        <v>15</v>
      </c>
      <c r="B369" s="21" t="s">
        <v>16</v>
      </c>
      <c r="C369" s="22">
        <v>753943</v>
      </c>
      <c r="D369" s="23">
        <v>4</v>
      </c>
      <c r="E369" s="24"/>
      <c r="F369" s="21" t="s">
        <v>13</v>
      </c>
      <c r="G369" s="25" t="s">
        <v>14</v>
      </c>
      <c r="H369" s="7"/>
      <c r="I369" s="7"/>
      <c r="J369" s="7"/>
      <c r="K369" s="7"/>
      <c r="L369" s="7"/>
      <c r="M369" s="7"/>
      <c r="N369" t="str">
        <f>_xlfn.CONCAT(D369,"_",F369)</f>
        <v>4_C05</v>
      </c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5" customHeight="1">
      <c r="A370" s="21" t="s">
        <v>15</v>
      </c>
      <c r="B370" s="21" t="s">
        <v>16</v>
      </c>
      <c r="C370" s="22">
        <v>753944</v>
      </c>
      <c r="D370" s="23">
        <v>4</v>
      </c>
      <c r="E370" s="24"/>
      <c r="F370" s="21" t="s">
        <v>17</v>
      </c>
      <c r="G370" s="25" t="s">
        <v>18</v>
      </c>
      <c r="H370" s="7"/>
      <c r="I370" s="7"/>
      <c r="J370" s="7"/>
      <c r="K370" s="7"/>
      <c r="L370" s="7"/>
      <c r="M370" s="7"/>
      <c r="N370" t="str">
        <f>_xlfn.CONCAT(D370,"_",F370)</f>
        <v>4_D05</v>
      </c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5" customHeight="1">
      <c r="A371" s="21" t="s">
        <v>15</v>
      </c>
      <c r="B371" s="21" t="s">
        <v>16</v>
      </c>
      <c r="C371" s="22">
        <v>753961</v>
      </c>
      <c r="D371" s="23">
        <v>4</v>
      </c>
      <c r="E371" s="24"/>
      <c r="F371" s="21" t="s">
        <v>19</v>
      </c>
      <c r="G371" s="25" t="s">
        <v>20</v>
      </c>
      <c r="H371" s="7"/>
      <c r="I371" s="7"/>
      <c r="J371" s="7"/>
      <c r="K371" s="7"/>
      <c r="L371" s="7"/>
      <c r="M371" s="7"/>
      <c r="N371" t="str">
        <f>_xlfn.CONCAT(D371,"_",F371)</f>
        <v>4_E05</v>
      </c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5" customHeight="1">
      <c r="A372" s="21" t="s">
        <v>15</v>
      </c>
      <c r="B372" s="21" t="s">
        <v>16</v>
      </c>
      <c r="C372" s="22">
        <v>753955</v>
      </c>
      <c r="D372" s="23">
        <v>4</v>
      </c>
      <c r="E372" s="24"/>
      <c r="F372" s="21" t="s">
        <v>21</v>
      </c>
      <c r="G372" s="25" t="s">
        <v>22</v>
      </c>
      <c r="H372" s="7"/>
      <c r="I372" s="7"/>
      <c r="J372" s="7"/>
      <c r="K372" s="7"/>
      <c r="L372" s="7"/>
      <c r="M372" s="7"/>
      <c r="N372" t="str">
        <f>_xlfn.CONCAT(D372,"_",F372)</f>
        <v>4_F05</v>
      </c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5" customHeight="1">
      <c r="A373" s="21" t="s">
        <v>15</v>
      </c>
      <c r="B373" s="21" t="s">
        <v>16</v>
      </c>
      <c r="C373" s="22">
        <v>753953</v>
      </c>
      <c r="D373" s="23">
        <v>4</v>
      </c>
      <c r="E373" s="24"/>
      <c r="F373" s="21" t="s">
        <v>152</v>
      </c>
      <c r="G373" s="25" t="s">
        <v>153</v>
      </c>
      <c r="H373" s="7"/>
      <c r="I373" s="7"/>
      <c r="J373" s="7"/>
      <c r="K373" s="7"/>
      <c r="L373" s="7"/>
      <c r="M373" s="7"/>
      <c r="N373" t="str">
        <f>_xlfn.CONCAT(D373,"_",F373)</f>
        <v>4_G05</v>
      </c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5" customHeight="1">
      <c r="A374" s="21" t="s">
        <v>15</v>
      </c>
      <c r="B374" s="21" t="s">
        <v>16</v>
      </c>
      <c r="C374" s="22">
        <v>753954</v>
      </c>
      <c r="D374" s="23">
        <v>4</v>
      </c>
      <c r="E374" s="24"/>
      <c r="F374" s="21" t="s">
        <v>154</v>
      </c>
      <c r="G374" s="25" t="s">
        <v>155</v>
      </c>
      <c r="H374" s="7"/>
      <c r="I374" s="7"/>
      <c r="J374" s="7"/>
      <c r="K374" s="7"/>
      <c r="L374" s="7"/>
      <c r="M374" s="7"/>
      <c r="N374" t="str">
        <f>_xlfn.CONCAT(D374,"_",F374)</f>
        <v>4_H05</v>
      </c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5" customHeight="1">
      <c r="A375" s="21" t="s">
        <v>15</v>
      </c>
      <c r="B375" s="21" t="s">
        <v>16</v>
      </c>
      <c r="C375" s="22">
        <v>753939</v>
      </c>
      <c r="D375" s="23">
        <v>4</v>
      </c>
      <c r="E375" s="24"/>
      <c r="F375" s="21" t="s">
        <v>156</v>
      </c>
      <c r="G375" s="25" t="s">
        <v>157</v>
      </c>
      <c r="H375" s="7"/>
      <c r="I375" s="7"/>
      <c r="J375" s="7"/>
      <c r="K375" s="7"/>
      <c r="L375" s="7"/>
      <c r="M375" s="7"/>
      <c r="N375" t="str">
        <f>_xlfn.CONCAT(D375,"_",F375)</f>
        <v>4_A06</v>
      </c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5" customHeight="1">
      <c r="A376" s="21" t="s">
        <v>15</v>
      </c>
      <c r="B376" s="21" t="s">
        <v>16</v>
      </c>
      <c r="C376" s="22">
        <v>753938</v>
      </c>
      <c r="D376" s="23">
        <v>4</v>
      </c>
      <c r="E376" s="24"/>
      <c r="F376" s="21" t="s">
        <v>158</v>
      </c>
      <c r="G376" s="25" t="s">
        <v>159</v>
      </c>
      <c r="H376" s="7"/>
      <c r="I376" s="7"/>
      <c r="J376" s="7"/>
      <c r="K376" s="7"/>
      <c r="L376" s="7"/>
      <c r="M376" s="7"/>
      <c r="N376" t="str">
        <f>_xlfn.CONCAT(D376,"_",F376)</f>
        <v>4_B06</v>
      </c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5" customHeight="1">
      <c r="A377" s="21" t="s">
        <v>15</v>
      </c>
      <c r="B377" s="21" t="s">
        <v>16</v>
      </c>
      <c r="C377" s="22">
        <v>753937</v>
      </c>
      <c r="D377" s="23">
        <v>4</v>
      </c>
      <c r="E377" s="24"/>
      <c r="F377" s="21" t="s">
        <v>160</v>
      </c>
      <c r="G377" s="25" t="s">
        <v>161</v>
      </c>
      <c r="H377" s="7"/>
      <c r="I377" s="7"/>
      <c r="J377" s="7"/>
      <c r="K377" s="7"/>
      <c r="L377" s="7"/>
      <c r="M377" s="7"/>
      <c r="N377" t="str">
        <f>_xlfn.CONCAT(D377,"_",F377)</f>
        <v>4_C06</v>
      </c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5" customHeight="1">
      <c r="A378" s="21" t="s">
        <v>15</v>
      </c>
      <c r="B378" s="21" t="s">
        <v>16</v>
      </c>
      <c r="C378" s="22">
        <v>753945</v>
      </c>
      <c r="D378" s="23">
        <v>4</v>
      </c>
      <c r="E378" s="24"/>
      <c r="F378" s="21" t="s">
        <v>23</v>
      </c>
      <c r="G378" s="25" t="s">
        <v>24</v>
      </c>
      <c r="H378" s="7"/>
      <c r="I378" s="7"/>
      <c r="J378" s="7"/>
      <c r="K378" s="7"/>
      <c r="L378" s="7"/>
      <c r="M378" s="7"/>
      <c r="N378" t="str">
        <f>_xlfn.CONCAT(D378,"_",F378)</f>
        <v>4_D06</v>
      </c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5" customHeight="1">
      <c r="A379" s="21" t="s">
        <v>15</v>
      </c>
      <c r="B379" s="21" t="s">
        <v>16</v>
      </c>
      <c r="C379" s="22">
        <v>753946</v>
      </c>
      <c r="D379" s="23">
        <v>4</v>
      </c>
      <c r="E379" s="24"/>
      <c r="F379" s="21" t="s">
        <v>25</v>
      </c>
      <c r="G379" s="25" t="s">
        <v>26</v>
      </c>
      <c r="H379" s="7"/>
      <c r="I379" s="7"/>
      <c r="J379" s="7"/>
      <c r="K379" s="7"/>
      <c r="L379" s="7"/>
      <c r="M379" s="7"/>
      <c r="N379" t="str">
        <f>_xlfn.CONCAT(D379,"_",F379)</f>
        <v>4_E06</v>
      </c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5" customHeight="1">
      <c r="A380" s="21" t="s">
        <v>15</v>
      </c>
      <c r="B380" s="21" t="s">
        <v>16</v>
      </c>
      <c r="C380" s="22">
        <v>753947</v>
      </c>
      <c r="D380" s="23">
        <v>4</v>
      </c>
      <c r="E380" s="24"/>
      <c r="F380" s="21" t="s">
        <v>27</v>
      </c>
      <c r="G380" s="25" t="s">
        <v>28</v>
      </c>
      <c r="H380" s="7"/>
      <c r="I380" s="7"/>
      <c r="J380" s="7"/>
      <c r="K380" s="7"/>
      <c r="L380" s="7"/>
      <c r="M380" s="7"/>
      <c r="N380" t="str">
        <f>_xlfn.CONCAT(D380,"_",F380)</f>
        <v>4_F06</v>
      </c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5" customHeight="1">
      <c r="A381" s="21" t="s">
        <v>15</v>
      </c>
      <c r="B381" s="21" t="s">
        <v>16</v>
      </c>
      <c r="C381" s="22">
        <v>753948</v>
      </c>
      <c r="D381" s="23">
        <v>4</v>
      </c>
      <c r="E381" s="24"/>
      <c r="F381" s="21" t="s">
        <v>162</v>
      </c>
      <c r="G381" s="25" t="s">
        <v>163</v>
      </c>
      <c r="H381" s="7"/>
      <c r="I381" s="7"/>
      <c r="J381" s="7"/>
      <c r="K381" s="7"/>
      <c r="L381" s="7"/>
      <c r="M381" s="7"/>
      <c r="N381" t="str">
        <f>_xlfn.CONCAT(D381,"_",F381)</f>
        <v>4_G06</v>
      </c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5" customHeight="1">
      <c r="A382" s="21" t="s">
        <v>15</v>
      </c>
      <c r="B382" s="21" t="s">
        <v>16</v>
      </c>
      <c r="C382" s="22">
        <v>753949</v>
      </c>
      <c r="D382" s="23">
        <v>4</v>
      </c>
      <c r="E382" s="24"/>
      <c r="F382" s="21" t="s">
        <v>164</v>
      </c>
      <c r="G382" s="25" t="s">
        <v>165</v>
      </c>
      <c r="H382" s="7"/>
      <c r="I382" s="7"/>
      <c r="J382" s="7"/>
      <c r="K382" s="7"/>
      <c r="L382" s="7"/>
      <c r="M382" s="7"/>
      <c r="N382" t="str">
        <f>_xlfn.CONCAT(D382,"_",F382)</f>
        <v>4_H06</v>
      </c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5" customHeight="1">
      <c r="A383" s="21" t="s">
        <v>15</v>
      </c>
      <c r="B383" s="21" t="s">
        <v>16</v>
      </c>
      <c r="C383" s="22">
        <v>753950</v>
      </c>
      <c r="D383" s="23">
        <v>4</v>
      </c>
      <c r="E383" s="24"/>
      <c r="F383" s="21" t="s">
        <v>166</v>
      </c>
      <c r="G383" s="25" t="s">
        <v>167</v>
      </c>
      <c r="H383" s="7"/>
      <c r="I383" s="7"/>
      <c r="J383" s="7"/>
      <c r="K383" s="7"/>
      <c r="L383" s="7"/>
      <c r="M383" s="7"/>
      <c r="N383" t="str">
        <f>_xlfn.CONCAT(D383,"_",F383)</f>
        <v>4_A07</v>
      </c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5" customHeight="1">
      <c r="A384" s="21" t="s">
        <v>15</v>
      </c>
      <c r="B384" s="21" t="s">
        <v>16</v>
      </c>
      <c r="C384" s="22">
        <v>753956</v>
      </c>
      <c r="D384" s="23">
        <v>4</v>
      </c>
      <c r="E384" s="24"/>
      <c r="F384" s="21" t="s">
        <v>168</v>
      </c>
      <c r="G384" s="25" t="s">
        <v>169</v>
      </c>
      <c r="H384" s="7"/>
      <c r="I384" s="7"/>
      <c r="J384" s="7"/>
      <c r="K384" s="7"/>
      <c r="L384" s="7"/>
      <c r="M384" s="7"/>
      <c r="N384" t="str">
        <f>_xlfn.CONCAT(D384,"_",F384)</f>
        <v>4_B07</v>
      </c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5" customHeight="1">
      <c r="A385" s="28" t="s">
        <v>15</v>
      </c>
      <c r="B385" s="21" t="s">
        <v>16</v>
      </c>
      <c r="C385" s="29">
        <v>753957</v>
      </c>
      <c r="D385" s="23">
        <v>4</v>
      </c>
      <c r="E385" s="24"/>
      <c r="F385" s="21" t="s">
        <v>43</v>
      </c>
      <c r="G385" s="25" t="s">
        <v>44</v>
      </c>
      <c r="H385" s="7"/>
      <c r="I385" s="7"/>
      <c r="J385" s="7"/>
      <c r="K385" s="7"/>
      <c r="L385" s="7"/>
      <c r="M385" s="7"/>
      <c r="N385" t="str">
        <f>_xlfn.CONCAT(D385,"_",F385)</f>
        <v>4_C07</v>
      </c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5" customHeight="1">
      <c r="A386" s="21" t="s">
        <v>15</v>
      </c>
      <c r="B386" s="21" t="s">
        <v>16</v>
      </c>
      <c r="C386" s="22">
        <v>753958</v>
      </c>
      <c r="D386" s="23">
        <v>4</v>
      </c>
      <c r="E386" s="24"/>
      <c r="F386" s="21" t="s">
        <v>45</v>
      </c>
      <c r="G386" s="31" t="s">
        <v>46</v>
      </c>
      <c r="H386" s="7"/>
      <c r="I386" s="7"/>
      <c r="J386" s="7"/>
      <c r="K386" s="7"/>
      <c r="L386" s="7"/>
      <c r="M386" s="7"/>
      <c r="N386" t="str">
        <f>_xlfn.CONCAT(D386,"_",F386)</f>
        <v>4_D07</v>
      </c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5" customHeight="1">
      <c r="A387" s="21" t="s">
        <v>15</v>
      </c>
      <c r="B387" s="21" t="s">
        <v>16</v>
      </c>
      <c r="C387" s="22">
        <v>753951</v>
      </c>
      <c r="D387" s="23">
        <v>4</v>
      </c>
      <c r="E387" s="24"/>
      <c r="F387" s="21" t="s">
        <v>170</v>
      </c>
      <c r="G387" s="31" t="s">
        <v>171</v>
      </c>
      <c r="H387" s="7"/>
      <c r="I387" s="7"/>
      <c r="J387" s="7"/>
      <c r="K387" s="7"/>
      <c r="L387" s="7"/>
      <c r="M387" s="7"/>
      <c r="N387" t="str">
        <f>_xlfn.CONCAT(D387,"_",F387)</f>
        <v>4_E07</v>
      </c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5" customHeight="1">
      <c r="A388" s="21" t="s">
        <v>15</v>
      </c>
      <c r="B388" s="21" t="s">
        <v>16</v>
      </c>
      <c r="C388" s="22">
        <v>753959</v>
      </c>
      <c r="D388" s="23">
        <v>4</v>
      </c>
      <c r="E388" s="24"/>
      <c r="F388" s="21" t="s">
        <v>29</v>
      </c>
      <c r="G388" s="31" t="s">
        <v>30</v>
      </c>
      <c r="H388" s="7"/>
      <c r="I388" s="7"/>
      <c r="J388" s="7"/>
      <c r="K388" s="7"/>
      <c r="L388" s="7"/>
      <c r="M388" s="7"/>
      <c r="N388" t="str">
        <f>_xlfn.CONCAT(D388,"_",F388)</f>
        <v>4_F07</v>
      </c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5" customHeight="1">
      <c r="A389" s="21" t="s">
        <v>15</v>
      </c>
      <c r="B389" s="21" t="s">
        <v>16</v>
      </c>
      <c r="C389" s="22">
        <v>753952</v>
      </c>
      <c r="D389" s="23">
        <v>4</v>
      </c>
      <c r="E389" s="24"/>
      <c r="F389" s="21" t="s">
        <v>31</v>
      </c>
      <c r="G389" s="31" t="s">
        <v>32</v>
      </c>
      <c r="H389" s="7"/>
      <c r="I389" s="7"/>
      <c r="J389" s="7"/>
      <c r="K389" s="7"/>
      <c r="L389" s="7"/>
      <c r="M389" s="7"/>
      <c r="N389" t="str">
        <f>_xlfn.CONCAT(D389,"_",F389)</f>
        <v>4_G07</v>
      </c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5" customHeight="1">
      <c r="A390" s="21" t="s">
        <v>15</v>
      </c>
      <c r="B390" s="21" t="s">
        <v>16</v>
      </c>
      <c r="C390" s="22">
        <v>753960</v>
      </c>
      <c r="D390" s="23">
        <v>4</v>
      </c>
      <c r="E390" s="24"/>
      <c r="F390" s="21" t="s">
        <v>33</v>
      </c>
      <c r="G390" s="31" t="s">
        <v>34</v>
      </c>
      <c r="H390" s="7"/>
      <c r="I390" s="7"/>
      <c r="J390" s="7"/>
      <c r="K390" s="7"/>
      <c r="L390" s="7"/>
      <c r="M390" s="7"/>
      <c r="N390" t="str">
        <f>_xlfn.CONCAT(D390,"_",F390)</f>
        <v>4_H07</v>
      </c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5" customHeight="1">
      <c r="A391" s="21" t="s">
        <v>15</v>
      </c>
      <c r="B391" s="21" t="s">
        <v>16</v>
      </c>
      <c r="C391" s="22">
        <v>753962</v>
      </c>
      <c r="D391" s="23">
        <v>4</v>
      </c>
      <c r="E391" s="24"/>
      <c r="F391" s="21" t="s">
        <v>35</v>
      </c>
      <c r="G391" s="31" t="s">
        <v>36</v>
      </c>
      <c r="H391" s="7"/>
      <c r="I391" s="7"/>
      <c r="J391" s="7"/>
      <c r="K391" s="7"/>
      <c r="L391" s="7"/>
      <c r="M391" s="7"/>
      <c r="N391" t="str">
        <f>_xlfn.CONCAT(D391,"_",F391)</f>
        <v>4_A08</v>
      </c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5" customHeight="1">
      <c r="A392" s="21" t="s">
        <v>15</v>
      </c>
      <c r="B392" s="21" t="s">
        <v>16</v>
      </c>
      <c r="C392" s="22">
        <v>753963</v>
      </c>
      <c r="D392" s="23">
        <v>4</v>
      </c>
      <c r="E392" s="24"/>
      <c r="F392" s="21" t="s">
        <v>37</v>
      </c>
      <c r="G392" s="31" t="s">
        <v>38</v>
      </c>
      <c r="H392" s="7"/>
      <c r="I392" s="7"/>
      <c r="J392" s="7"/>
      <c r="K392" s="7"/>
      <c r="L392" s="7"/>
      <c r="M392" s="7"/>
      <c r="N392" t="str">
        <f>_xlfn.CONCAT(D392,"_",F392)</f>
        <v>4_B08</v>
      </c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5" customHeight="1">
      <c r="A393" s="21" t="s">
        <v>15</v>
      </c>
      <c r="B393" s="21" t="s">
        <v>16</v>
      </c>
      <c r="C393" s="22">
        <v>753964</v>
      </c>
      <c r="D393" s="23">
        <v>4</v>
      </c>
      <c r="E393" s="24"/>
      <c r="F393" s="21" t="s">
        <v>172</v>
      </c>
      <c r="G393" s="31" t="s">
        <v>173</v>
      </c>
      <c r="H393" s="7"/>
      <c r="I393" s="7"/>
      <c r="J393" s="7"/>
      <c r="K393" s="7"/>
      <c r="L393" s="7"/>
      <c r="M393" s="7"/>
      <c r="N393" t="str">
        <f>_xlfn.CONCAT(D393,"_",F393)</f>
        <v>4_C08</v>
      </c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5" customHeight="1">
      <c r="A394" s="21" t="s">
        <v>15</v>
      </c>
      <c r="B394" s="21" t="s">
        <v>16</v>
      </c>
      <c r="C394" s="22">
        <v>753970</v>
      </c>
      <c r="D394" s="23">
        <v>4</v>
      </c>
      <c r="E394" s="24"/>
      <c r="F394" s="21" t="s">
        <v>174</v>
      </c>
      <c r="G394" s="31" t="s">
        <v>175</v>
      </c>
      <c r="H394" s="7"/>
      <c r="I394" s="7"/>
      <c r="J394" s="7"/>
      <c r="K394" s="7"/>
      <c r="L394" s="7"/>
      <c r="M394" s="7"/>
      <c r="N394" t="str">
        <f>_xlfn.CONCAT(D394,"_",F394)</f>
        <v>4_D08</v>
      </c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5" customHeight="1">
      <c r="A395" s="21" t="s">
        <v>15</v>
      </c>
      <c r="B395" s="21" t="s">
        <v>16</v>
      </c>
      <c r="C395" s="22">
        <v>753971</v>
      </c>
      <c r="D395" s="23">
        <v>4</v>
      </c>
      <c r="E395" s="24"/>
      <c r="F395" s="21" t="s">
        <v>176</v>
      </c>
      <c r="G395" s="31" t="s">
        <v>177</v>
      </c>
      <c r="H395" s="7"/>
      <c r="I395" s="7"/>
      <c r="J395" s="7"/>
      <c r="K395" s="7"/>
      <c r="L395" s="7"/>
      <c r="M395" s="7"/>
      <c r="N395" t="str">
        <f>_xlfn.CONCAT(D395,"_",F395)</f>
        <v>4_E08</v>
      </c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5" customHeight="1">
      <c r="A396" s="21" t="s">
        <v>15</v>
      </c>
      <c r="B396" s="21" t="s">
        <v>16</v>
      </c>
      <c r="C396" s="22">
        <v>753965</v>
      </c>
      <c r="D396" s="23">
        <v>4</v>
      </c>
      <c r="E396" s="24"/>
      <c r="F396" s="21" t="s">
        <v>178</v>
      </c>
      <c r="G396" s="31" t="s">
        <v>179</v>
      </c>
      <c r="H396" s="7"/>
      <c r="I396" s="7"/>
      <c r="J396" s="7"/>
      <c r="K396" s="7"/>
      <c r="L396" s="7"/>
      <c r="M396" s="7"/>
      <c r="N396" t="str">
        <f>_xlfn.CONCAT(D396,"_",F396)</f>
        <v>4_F08</v>
      </c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5" customHeight="1">
      <c r="A397" s="21" t="s">
        <v>15</v>
      </c>
      <c r="B397" s="21" t="s">
        <v>16</v>
      </c>
      <c r="C397" s="22">
        <v>753972</v>
      </c>
      <c r="D397" s="23">
        <v>4</v>
      </c>
      <c r="E397" s="24"/>
      <c r="F397" s="21" t="s">
        <v>180</v>
      </c>
      <c r="G397" s="31" t="s">
        <v>181</v>
      </c>
      <c r="H397" s="7"/>
      <c r="I397" s="7"/>
      <c r="J397" s="7"/>
      <c r="K397" s="7"/>
      <c r="L397" s="7"/>
      <c r="M397" s="7"/>
      <c r="N397" t="str">
        <f>_xlfn.CONCAT(D397,"_",F397)</f>
        <v>4_G08</v>
      </c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5" customHeight="1">
      <c r="A398" s="21" t="s">
        <v>15</v>
      </c>
      <c r="B398" s="21" t="s">
        <v>16</v>
      </c>
      <c r="C398" s="22">
        <v>753973</v>
      </c>
      <c r="D398" s="23">
        <v>4</v>
      </c>
      <c r="E398" s="24"/>
      <c r="F398" s="21" t="s">
        <v>182</v>
      </c>
      <c r="G398" s="31" t="s">
        <v>183</v>
      </c>
      <c r="H398" s="7"/>
      <c r="I398" s="7"/>
      <c r="J398" s="7"/>
      <c r="K398" s="7"/>
      <c r="L398" s="7"/>
      <c r="M398" s="7"/>
      <c r="N398" t="str">
        <f>_xlfn.CONCAT(D398,"_",F398)</f>
        <v>4_H08</v>
      </c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5" customHeight="1">
      <c r="A399" s="21" t="s">
        <v>15</v>
      </c>
      <c r="B399" s="21" t="s">
        <v>16</v>
      </c>
      <c r="C399" s="22">
        <v>753966</v>
      </c>
      <c r="D399" s="23">
        <v>4</v>
      </c>
      <c r="E399" s="24"/>
      <c r="F399" s="21" t="s">
        <v>39</v>
      </c>
      <c r="G399" s="31" t="s">
        <v>40</v>
      </c>
      <c r="H399" s="7"/>
      <c r="I399" s="7"/>
      <c r="J399" s="7"/>
      <c r="K399" s="7"/>
      <c r="L399" s="7"/>
      <c r="M399" s="7"/>
      <c r="N399" t="str">
        <f>_xlfn.CONCAT(D399,"_",F399)</f>
        <v>4_A09</v>
      </c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5" customHeight="1">
      <c r="A400" s="21" t="s">
        <v>15</v>
      </c>
      <c r="B400" s="21" t="s">
        <v>16</v>
      </c>
      <c r="C400" s="22">
        <v>753974</v>
      </c>
      <c r="D400" s="23">
        <v>4</v>
      </c>
      <c r="E400" s="24"/>
      <c r="F400" s="21" t="s">
        <v>41</v>
      </c>
      <c r="G400" s="31" t="s">
        <v>42</v>
      </c>
      <c r="H400" s="7"/>
      <c r="I400" s="7"/>
      <c r="J400" s="7"/>
      <c r="K400" s="7"/>
      <c r="L400" s="7"/>
      <c r="M400" s="7"/>
      <c r="N400" t="str">
        <f>_xlfn.CONCAT(D400,"_",F400)</f>
        <v>4_B09</v>
      </c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5" customHeight="1">
      <c r="A401" s="21" t="s">
        <v>15</v>
      </c>
      <c r="B401" s="21" t="s">
        <v>16</v>
      </c>
      <c r="C401" s="22">
        <v>753985</v>
      </c>
      <c r="D401" s="23">
        <v>4</v>
      </c>
      <c r="E401" s="24"/>
      <c r="F401" s="21" t="s">
        <v>184</v>
      </c>
      <c r="G401" s="31" t="s">
        <v>185</v>
      </c>
      <c r="H401" s="7"/>
      <c r="I401" s="7"/>
      <c r="J401" s="7"/>
      <c r="K401" s="7"/>
      <c r="L401" s="7"/>
      <c r="M401" s="7"/>
      <c r="N401" t="str">
        <f>_xlfn.CONCAT(D401,"_",F401)</f>
        <v>4_C09</v>
      </c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5" customHeight="1">
      <c r="A402" s="21" t="s">
        <v>15</v>
      </c>
      <c r="B402" s="21" t="s">
        <v>16</v>
      </c>
      <c r="C402" s="22">
        <v>753984</v>
      </c>
      <c r="D402" s="23">
        <v>4</v>
      </c>
      <c r="E402" s="24"/>
      <c r="F402" s="21" t="s">
        <v>186</v>
      </c>
      <c r="G402" s="31" t="s">
        <v>187</v>
      </c>
      <c r="H402" s="7"/>
      <c r="I402" s="7"/>
      <c r="J402" s="7"/>
      <c r="K402" s="7"/>
      <c r="L402" s="7"/>
      <c r="M402" s="7"/>
      <c r="N402" t="str">
        <f>_xlfn.CONCAT(D402,"_",F402)</f>
        <v>4_D09</v>
      </c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5" customHeight="1">
      <c r="A403" s="21" t="s">
        <v>15</v>
      </c>
      <c r="B403" s="21" t="s">
        <v>16</v>
      </c>
      <c r="C403" s="22">
        <v>753983</v>
      </c>
      <c r="D403" s="23">
        <v>4</v>
      </c>
      <c r="E403" s="24"/>
      <c r="F403" s="21" t="s">
        <v>188</v>
      </c>
      <c r="G403" s="31" t="s">
        <v>189</v>
      </c>
      <c r="H403" s="7"/>
      <c r="I403" s="7"/>
      <c r="J403" s="7"/>
      <c r="K403" s="7"/>
      <c r="L403" s="7"/>
      <c r="M403" s="7"/>
      <c r="N403" t="str">
        <f>_xlfn.CONCAT(D403,"_",F403)</f>
        <v>4_E09</v>
      </c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5" customHeight="1">
      <c r="A404" s="21" t="s">
        <v>15</v>
      </c>
      <c r="B404" s="21" t="s">
        <v>16</v>
      </c>
      <c r="C404" s="22">
        <v>753967</v>
      </c>
      <c r="D404" s="23">
        <v>4</v>
      </c>
      <c r="E404" s="24"/>
      <c r="F404" s="21" t="s">
        <v>190</v>
      </c>
      <c r="G404" s="31" t="s">
        <v>191</v>
      </c>
      <c r="H404" s="7"/>
      <c r="I404" s="7"/>
      <c r="J404" s="7"/>
      <c r="K404" s="7"/>
      <c r="L404" s="7"/>
      <c r="M404" s="7"/>
      <c r="N404" t="str">
        <f>_xlfn.CONCAT(D404,"_",F404)</f>
        <v>4_F09</v>
      </c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5" customHeight="1">
      <c r="A405" s="21" t="s">
        <v>15</v>
      </c>
      <c r="B405" s="21" t="s">
        <v>16</v>
      </c>
      <c r="C405" s="22">
        <v>753968</v>
      </c>
      <c r="D405" s="23">
        <v>4</v>
      </c>
      <c r="E405" s="24"/>
      <c r="F405" s="21" t="s">
        <v>192</v>
      </c>
      <c r="G405" s="31" t="s">
        <v>193</v>
      </c>
      <c r="H405" s="7"/>
      <c r="I405" s="7"/>
      <c r="J405" s="7"/>
      <c r="K405" s="7"/>
      <c r="L405" s="7"/>
      <c r="M405" s="7"/>
      <c r="N405" t="str">
        <f>_xlfn.CONCAT(D405,"_",F405)</f>
        <v>4_G09</v>
      </c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5" customHeight="1">
      <c r="A406" s="21" t="s">
        <v>15</v>
      </c>
      <c r="B406" s="21" t="s">
        <v>16</v>
      </c>
      <c r="C406" s="22">
        <v>753969</v>
      </c>
      <c r="D406" s="23">
        <v>4</v>
      </c>
      <c r="E406" s="24"/>
      <c r="F406" s="21" t="s">
        <v>194</v>
      </c>
      <c r="G406" s="31" t="s">
        <v>195</v>
      </c>
      <c r="H406" s="7"/>
      <c r="I406" s="7"/>
      <c r="J406" s="7"/>
      <c r="K406" s="7"/>
      <c r="L406" s="7"/>
      <c r="M406" s="7"/>
      <c r="N406" t="str">
        <f>_xlfn.CONCAT(D406,"_",F406)</f>
        <v>4_H09</v>
      </c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5" customHeight="1">
      <c r="A407" s="21" t="s">
        <v>15</v>
      </c>
      <c r="B407" s="21" t="s">
        <v>16</v>
      </c>
      <c r="C407" s="22">
        <v>753975</v>
      </c>
      <c r="D407" s="23">
        <v>4</v>
      </c>
      <c r="E407" s="24"/>
      <c r="F407" s="21" t="s">
        <v>196</v>
      </c>
      <c r="G407" s="31" t="s">
        <v>197</v>
      </c>
      <c r="H407" s="7"/>
      <c r="I407" s="7"/>
      <c r="J407" s="7"/>
      <c r="K407" s="7"/>
      <c r="L407" s="7"/>
      <c r="M407" s="7"/>
      <c r="N407" t="str">
        <f>_xlfn.CONCAT(D407,"_",F407)</f>
        <v>4_A10</v>
      </c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5" customHeight="1">
      <c r="A408" s="21" t="s">
        <v>15</v>
      </c>
      <c r="B408" s="21" t="s">
        <v>16</v>
      </c>
      <c r="C408" s="22">
        <v>753976</v>
      </c>
      <c r="D408" s="23">
        <v>4</v>
      </c>
      <c r="E408" s="24"/>
      <c r="F408" s="21" t="s">
        <v>198</v>
      </c>
      <c r="G408" s="31" t="s">
        <v>199</v>
      </c>
      <c r="H408" s="7"/>
      <c r="I408" s="7"/>
      <c r="J408" s="7"/>
      <c r="K408" s="7"/>
      <c r="L408" s="7"/>
      <c r="M408" s="7"/>
      <c r="N408" t="str">
        <f>_xlfn.CONCAT(D408,"_",F408)</f>
        <v>4_B10</v>
      </c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5" customHeight="1">
      <c r="A409" s="21" t="s">
        <v>15</v>
      </c>
      <c r="B409" s="21" t="s">
        <v>16</v>
      </c>
      <c r="C409" s="22">
        <v>753977</v>
      </c>
      <c r="D409" s="23">
        <v>4</v>
      </c>
      <c r="E409" s="24"/>
      <c r="F409" s="21" t="s">
        <v>200</v>
      </c>
      <c r="G409" s="31" t="s">
        <v>201</v>
      </c>
      <c r="H409" s="7"/>
      <c r="I409" s="7"/>
      <c r="J409" s="7"/>
      <c r="K409" s="7"/>
      <c r="L409" s="7"/>
      <c r="M409" s="7"/>
      <c r="N409" t="str">
        <f>_xlfn.CONCAT(D409,"_",F409)</f>
        <v>4_C10</v>
      </c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5" customHeight="1">
      <c r="A410" s="21" t="s">
        <v>15</v>
      </c>
      <c r="B410" s="21" t="s">
        <v>16</v>
      </c>
      <c r="C410" s="22">
        <v>753978</v>
      </c>
      <c r="D410" s="23">
        <v>4</v>
      </c>
      <c r="E410" s="24"/>
      <c r="F410" s="21" t="s">
        <v>202</v>
      </c>
      <c r="G410" s="31" t="s">
        <v>203</v>
      </c>
      <c r="H410" s="7"/>
      <c r="I410" s="7"/>
      <c r="J410" s="7"/>
      <c r="K410" s="7"/>
      <c r="L410" s="7"/>
      <c r="M410" s="7"/>
      <c r="N410" t="str">
        <f>_xlfn.CONCAT(D410,"_",F410)</f>
        <v>4_D10</v>
      </c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5" customHeight="1">
      <c r="A411" s="21" t="s">
        <v>15</v>
      </c>
      <c r="B411" s="21" t="s">
        <v>16</v>
      </c>
      <c r="C411" s="22">
        <v>753979</v>
      </c>
      <c r="D411" s="23">
        <v>4</v>
      </c>
      <c r="E411" s="24"/>
      <c r="F411" s="21" t="s">
        <v>204</v>
      </c>
      <c r="G411" s="31" t="s">
        <v>205</v>
      </c>
      <c r="H411" s="7"/>
      <c r="I411" s="7"/>
      <c r="J411" s="7"/>
      <c r="K411" s="7"/>
      <c r="L411" s="7"/>
      <c r="M411" s="7"/>
      <c r="N411" t="str">
        <f>_xlfn.CONCAT(D411,"_",F411)</f>
        <v>4_E10</v>
      </c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5" customHeight="1">
      <c r="A412" s="21" t="s">
        <v>15</v>
      </c>
      <c r="B412" s="21" t="s">
        <v>16</v>
      </c>
      <c r="C412" s="22">
        <v>753980</v>
      </c>
      <c r="D412" s="23">
        <v>4</v>
      </c>
      <c r="E412" s="24"/>
      <c r="F412" s="21" t="s">
        <v>206</v>
      </c>
      <c r="G412" s="31" t="s">
        <v>207</v>
      </c>
      <c r="H412" s="7"/>
      <c r="I412" s="7"/>
      <c r="J412" s="7"/>
      <c r="K412" s="7"/>
      <c r="L412" s="7"/>
      <c r="M412" s="7"/>
      <c r="N412" t="str">
        <f>_xlfn.CONCAT(D412,"_",F412)</f>
        <v>4_F10</v>
      </c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5" customHeight="1">
      <c r="A413" s="21" t="s">
        <v>15</v>
      </c>
      <c r="B413" s="21" t="s">
        <v>16</v>
      </c>
      <c r="C413" s="22">
        <v>753981</v>
      </c>
      <c r="D413" s="23">
        <v>4</v>
      </c>
      <c r="E413" s="24"/>
      <c r="F413" s="21" t="s">
        <v>91</v>
      </c>
      <c r="G413" s="31" t="s">
        <v>208</v>
      </c>
      <c r="H413" s="7"/>
      <c r="I413" s="7"/>
      <c r="J413" s="7"/>
      <c r="K413" s="7"/>
      <c r="L413" s="7"/>
      <c r="M413" s="7"/>
      <c r="N413" t="str">
        <f>_xlfn.CONCAT(D413,"_",F413)</f>
        <v>4_G10</v>
      </c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5" customHeight="1">
      <c r="A414" s="21" t="s">
        <v>15</v>
      </c>
      <c r="B414" s="21" t="s">
        <v>16</v>
      </c>
      <c r="C414" s="22">
        <v>753982</v>
      </c>
      <c r="D414" s="23">
        <v>4</v>
      </c>
      <c r="E414" s="24"/>
      <c r="F414" s="21" t="s">
        <v>92</v>
      </c>
      <c r="G414" s="31" t="s">
        <v>209</v>
      </c>
      <c r="H414" s="7"/>
      <c r="I414" s="7"/>
      <c r="J414" s="7"/>
      <c r="K414" s="7"/>
      <c r="L414" s="7"/>
      <c r="M414" s="7"/>
      <c r="N414" t="str">
        <f>_xlfn.CONCAT(D414,"_",F414)</f>
        <v>4_H10</v>
      </c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5" customHeight="1">
      <c r="A415" s="21" t="s">
        <v>15</v>
      </c>
      <c r="B415" s="21" t="s">
        <v>16</v>
      </c>
      <c r="C415" s="22">
        <v>753990</v>
      </c>
      <c r="D415" s="23">
        <v>4</v>
      </c>
      <c r="E415" s="24"/>
      <c r="F415" s="21" t="s">
        <v>93</v>
      </c>
      <c r="G415" s="31" t="s">
        <v>210</v>
      </c>
      <c r="H415" s="7"/>
      <c r="I415" s="7"/>
      <c r="J415" s="7"/>
      <c r="K415" s="7"/>
      <c r="L415" s="7"/>
      <c r="M415" s="7"/>
      <c r="N415" t="str">
        <f>_xlfn.CONCAT(D415,"_",F415)</f>
        <v>4_A11</v>
      </c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5" customHeight="1">
      <c r="A416" s="21" t="s">
        <v>15</v>
      </c>
      <c r="B416" s="21" t="s">
        <v>16</v>
      </c>
      <c r="C416" s="22">
        <v>753986</v>
      </c>
      <c r="D416" s="23">
        <v>4</v>
      </c>
      <c r="E416" s="24"/>
      <c r="F416" s="21" t="s">
        <v>94</v>
      </c>
      <c r="G416" s="31" t="s">
        <v>211</v>
      </c>
      <c r="H416" s="7"/>
      <c r="I416" s="7"/>
      <c r="J416" s="7"/>
      <c r="K416" s="7"/>
      <c r="L416" s="7"/>
      <c r="M416" s="7"/>
      <c r="N416" t="str">
        <f>_xlfn.CONCAT(D416,"_",F416)</f>
        <v>4_B11</v>
      </c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5" customHeight="1">
      <c r="A417" s="21" t="s">
        <v>15</v>
      </c>
      <c r="B417" s="21" t="s">
        <v>16</v>
      </c>
      <c r="C417" s="22">
        <v>753989</v>
      </c>
      <c r="D417" s="23">
        <v>4</v>
      </c>
      <c r="E417" s="24"/>
      <c r="F417" s="21" t="s">
        <v>95</v>
      </c>
      <c r="G417" s="31" t="s">
        <v>212</v>
      </c>
      <c r="H417" s="7"/>
      <c r="I417" s="7"/>
      <c r="J417" s="7"/>
      <c r="K417" s="7"/>
      <c r="L417" s="7"/>
      <c r="M417" s="7"/>
      <c r="N417" t="str">
        <f>_xlfn.CONCAT(D417,"_",F417)</f>
        <v>4_E11</v>
      </c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5" customHeight="1">
      <c r="A418" s="21" t="s">
        <v>15</v>
      </c>
      <c r="B418" s="21" t="s">
        <v>16</v>
      </c>
      <c r="C418" s="22">
        <v>753996</v>
      </c>
      <c r="D418" s="23">
        <v>4</v>
      </c>
      <c r="E418" s="24"/>
      <c r="F418" s="21" t="s">
        <v>96</v>
      </c>
      <c r="G418" s="31" t="s">
        <v>213</v>
      </c>
      <c r="H418" s="7"/>
      <c r="I418" s="7"/>
      <c r="J418" s="7"/>
      <c r="K418" s="7"/>
      <c r="L418" s="7"/>
      <c r="M418" s="7"/>
      <c r="N418" t="str">
        <f>_xlfn.CONCAT(D418,"_",F418)</f>
        <v>4_F12</v>
      </c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5" customHeight="1">
      <c r="A419" s="21" t="s">
        <v>15</v>
      </c>
      <c r="B419" s="21" t="s">
        <v>16</v>
      </c>
      <c r="C419" s="22">
        <v>753997</v>
      </c>
      <c r="D419" s="23">
        <v>4</v>
      </c>
      <c r="E419" s="24"/>
      <c r="F419" s="21" t="s">
        <v>97</v>
      </c>
      <c r="G419" s="31" t="s">
        <v>214</v>
      </c>
      <c r="H419" s="7"/>
      <c r="I419" s="7"/>
      <c r="J419" s="7"/>
      <c r="K419" s="7"/>
      <c r="L419" s="7"/>
      <c r="M419" s="7"/>
      <c r="N419" t="str">
        <f>_xlfn.CONCAT(D419,"_",F419)</f>
        <v>4_G12</v>
      </c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5" customHeight="1">
      <c r="A420" s="21" t="s">
        <v>15</v>
      </c>
      <c r="B420" s="21" t="s">
        <v>16</v>
      </c>
      <c r="C420" s="22">
        <v>754002</v>
      </c>
      <c r="D420" s="23">
        <v>5</v>
      </c>
      <c r="E420" s="24"/>
      <c r="F420" s="21" t="s">
        <v>100</v>
      </c>
      <c r="G420" s="12" t="s">
        <v>215</v>
      </c>
      <c r="H420" s="7"/>
      <c r="I420" s="7"/>
      <c r="J420" s="7"/>
      <c r="K420" s="7"/>
      <c r="L420" s="7"/>
      <c r="M420" s="7"/>
      <c r="N420" t="str">
        <f>_xlfn.CONCAT(D420,"_",F420)</f>
        <v>5_A01</v>
      </c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5" customHeight="1">
      <c r="A421" s="21" t="s">
        <v>15</v>
      </c>
      <c r="B421" s="21" t="s">
        <v>16</v>
      </c>
      <c r="C421" s="22">
        <v>753994</v>
      </c>
      <c r="D421" s="23">
        <v>5</v>
      </c>
      <c r="E421" s="24"/>
      <c r="F421" s="21" t="s">
        <v>102</v>
      </c>
      <c r="G421" s="12" t="s">
        <v>216</v>
      </c>
      <c r="H421" s="7"/>
      <c r="I421" s="7"/>
      <c r="J421" s="7"/>
      <c r="K421" s="7"/>
      <c r="L421" s="7"/>
      <c r="M421" s="7"/>
      <c r="N421" t="str">
        <f>_xlfn.CONCAT(D421,"_",F421)</f>
        <v>5_B01</v>
      </c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5" customHeight="1">
      <c r="A422" s="21" t="s">
        <v>15</v>
      </c>
      <c r="B422" s="21" t="s">
        <v>16</v>
      </c>
      <c r="C422" s="22">
        <v>753995</v>
      </c>
      <c r="D422" s="23">
        <v>5</v>
      </c>
      <c r="E422" s="24"/>
      <c r="F422" s="21" t="s">
        <v>104</v>
      </c>
      <c r="G422" s="12" t="s">
        <v>217</v>
      </c>
      <c r="H422" s="7"/>
      <c r="I422" s="7"/>
      <c r="J422" s="7"/>
      <c r="K422" s="7"/>
      <c r="L422" s="7"/>
      <c r="M422" s="7"/>
      <c r="N422" t="str">
        <f>_xlfn.CONCAT(D422,"_",F422)</f>
        <v>5_C01</v>
      </c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5" customHeight="1">
      <c r="A423" s="21" t="s">
        <v>15</v>
      </c>
      <c r="B423" s="21" t="s">
        <v>16</v>
      </c>
      <c r="C423" s="22">
        <v>754027</v>
      </c>
      <c r="D423" s="23">
        <v>5</v>
      </c>
      <c r="E423" s="24"/>
      <c r="F423" s="21" t="s">
        <v>117</v>
      </c>
      <c r="G423" s="12">
        <v>15</v>
      </c>
      <c r="H423" s="7"/>
      <c r="I423" s="7"/>
      <c r="J423" s="7"/>
      <c r="K423" s="7"/>
      <c r="L423" s="7"/>
      <c r="M423" s="7"/>
      <c r="N423" t="str">
        <f>_xlfn.CONCAT(D423,"_",F423)</f>
        <v>5_G02</v>
      </c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5" customHeight="1">
      <c r="A424" s="21" t="s">
        <v>15</v>
      </c>
      <c r="B424" s="21" t="s">
        <v>16</v>
      </c>
      <c r="C424" s="22">
        <v>754026</v>
      </c>
      <c r="D424" s="23">
        <v>5</v>
      </c>
      <c r="E424" s="24"/>
      <c r="F424" s="21" t="s">
        <v>119</v>
      </c>
      <c r="G424" s="12">
        <v>16</v>
      </c>
      <c r="H424" s="7"/>
      <c r="I424" s="7"/>
      <c r="J424" s="7"/>
      <c r="K424" s="7"/>
      <c r="L424" s="7"/>
      <c r="M424" s="7"/>
      <c r="N424" t="str">
        <f>_xlfn.CONCAT(D424,"_",F424)</f>
        <v>5_H02</v>
      </c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5" customHeight="1">
      <c r="A425" s="21" t="s">
        <v>15</v>
      </c>
      <c r="B425" s="21" t="s">
        <v>16</v>
      </c>
      <c r="C425" s="22">
        <v>754025</v>
      </c>
      <c r="D425" s="23">
        <v>5</v>
      </c>
      <c r="E425" s="24"/>
      <c r="F425" s="21" t="s">
        <v>121</v>
      </c>
      <c r="G425" s="12">
        <v>17</v>
      </c>
      <c r="H425" s="7"/>
      <c r="I425" s="7"/>
      <c r="J425" s="7"/>
      <c r="K425" s="7"/>
      <c r="L425" s="7"/>
      <c r="M425" s="7"/>
      <c r="N425" t="str">
        <f>_xlfn.CONCAT(D425,"_",F425)</f>
        <v>5_A03</v>
      </c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5" customHeight="1">
      <c r="A426" s="21" t="s">
        <v>15</v>
      </c>
      <c r="B426" s="21" t="s">
        <v>16</v>
      </c>
      <c r="C426" s="22">
        <v>754020</v>
      </c>
      <c r="D426" s="23">
        <v>5</v>
      </c>
      <c r="E426" s="24"/>
      <c r="F426" s="21" t="s">
        <v>123</v>
      </c>
      <c r="G426" s="12">
        <v>18</v>
      </c>
      <c r="H426" s="7"/>
      <c r="I426" s="7"/>
      <c r="J426" s="7"/>
      <c r="K426" s="7"/>
      <c r="L426" s="7"/>
      <c r="M426" s="7"/>
      <c r="N426" t="str">
        <f>_xlfn.CONCAT(D426,"_",F426)</f>
        <v>5_B03</v>
      </c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5" customHeight="1">
      <c r="A427" s="21" t="s">
        <v>15</v>
      </c>
      <c r="B427" s="21" t="s">
        <v>16</v>
      </c>
      <c r="C427" s="22">
        <v>754021</v>
      </c>
      <c r="D427" s="23">
        <v>5</v>
      </c>
      <c r="E427" s="24"/>
      <c r="F427" s="21" t="s">
        <v>125</v>
      </c>
      <c r="G427" s="12">
        <v>19</v>
      </c>
      <c r="H427" s="7"/>
      <c r="I427" s="7"/>
      <c r="J427" s="7"/>
      <c r="K427" s="7"/>
      <c r="L427" s="7"/>
      <c r="M427" s="7"/>
      <c r="N427" t="str">
        <f>_xlfn.CONCAT(D427,"_",F427)</f>
        <v>5_C03</v>
      </c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5" customHeight="1">
      <c r="A428" s="21" t="s">
        <v>15</v>
      </c>
      <c r="B428" s="21" t="s">
        <v>16</v>
      </c>
      <c r="C428" s="22">
        <v>754024</v>
      </c>
      <c r="D428" s="23">
        <v>5</v>
      </c>
      <c r="E428" s="24"/>
      <c r="F428" s="21" t="s">
        <v>132</v>
      </c>
      <c r="G428" s="12">
        <v>25</v>
      </c>
      <c r="H428" s="7"/>
      <c r="I428" s="7"/>
      <c r="J428" s="7"/>
      <c r="K428" s="7"/>
      <c r="L428" s="7"/>
      <c r="M428" s="7"/>
      <c r="N428" t="str">
        <f>_xlfn.CONCAT(D428,"_",F428)</f>
        <v>5_A04</v>
      </c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5" customHeight="1">
      <c r="A429" s="21" t="s">
        <v>15</v>
      </c>
      <c r="B429" s="21" t="s">
        <v>16</v>
      </c>
      <c r="C429" s="22">
        <v>754023</v>
      </c>
      <c r="D429" s="23">
        <v>5</v>
      </c>
      <c r="E429" s="24"/>
      <c r="F429" s="21" t="s">
        <v>134</v>
      </c>
      <c r="G429" s="12">
        <v>26</v>
      </c>
      <c r="H429" s="7"/>
      <c r="I429" s="7"/>
      <c r="J429" s="7"/>
      <c r="K429" s="7"/>
      <c r="L429" s="7"/>
      <c r="M429" s="7"/>
      <c r="N429" t="str">
        <f>_xlfn.CONCAT(D429,"_",F429)</f>
        <v>5_B04</v>
      </c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5" customHeight="1">
      <c r="A430" s="21" t="s">
        <v>15</v>
      </c>
      <c r="B430" s="21" t="s">
        <v>16</v>
      </c>
      <c r="C430" s="22">
        <v>754022</v>
      </c>
      <c r="D430" s="23">
        <v>5</v>
      </c>
      <c r="E430" s="24"/>
      <c r="F430" s="21" t="s">
        <v>136</v>
      </c>
      <c r="G430" s="12">
        <v>27</v>
      </c>
      <c r="H430" s="7"/>
      <c r="I430" s="7"/>
      <c r="J430" s="7"/>
      <c r="K430" s="7"/>
      <c r="L430" s="7"/>
      <c r="M430" s="7"/>
      <c r="N430" t="str">
        <f>_xlfn.CONCAT(D430,"_",F430)</f>
        <v>5_C04</v>
      </c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5" customHeight="1">
      <c r="A431" s="21" t="s">
        <v>15</v>
      </c>
      <c r="B431" s="21" t="s">
        <v>16</v>
      </c>
      <c r="C431" s="22">
        <v>754028</v>
      </c>
      <c r="D431" s="23">
        <v>5</v>
      </c>
      <c r="E431" s="24"/>
      <c r="F431" s="21" t="s">
        <v>138</v>
      </c>
      <c r="G431" s="12">
        <v>28</v>
      </c>
      <c r="H431" s="7"/>
      <c r="I431" s="7"/>
      <c r="J431" s="7"/>
      <c r="K431" s="7"/>
      <c r="L431" s="7"/>
      <c r="M431" s="7"/>
      <c r="N431" t="str">
        <f>_xlfn.CONCAT(D431,"_",F431)</f>
        <v>5_D04</v>
      </c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5" customHeight="1">
      <c r="A432" s="21" t="s">
        <v>15</v>
      </c>
      <c r="B432" s="21" t="s">
        <v>16</v>
      </c>
      <c r="C432" s="22">
        <v>754029</v>
      </c>
      <c r="D432" s="23">
        <v>5</v>
      </c>
      <c r="E432" s="24"/>
      <c r="F432" s="21" t="s">
        <v>140</v>
      </c>
      <c r="G432" s="12">
        <v>29</v>
      </c>
      <c r="H432" s="7"/>
      <c r="I432" s="7"/>
      <c r="J432" s="7"/>
      <c r="K432" s="7"/>
      <c r="L432" s="7"/>
      <c r="M432" s="7"/>
      <c r="N432" t="str">
        <f>_xlfn.CONCAT(D432,"_",F432)</f>
        <v>5_E04</v>
      </c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5" customHeight="1">
      <c r="A433" s="21" t="s">
        <v>15</v>
      </c>
      <c r="B433" s="21" t="s">
        <v>16</v>
      </c>
      <c r="C433" s="22">
        <v>754045</v>
      </c>
      <c r="D433" s="23">
        <v>5</v>
      </c>
      <c r="E433" s="24"/>
      <c r="F433" s="21" t="s">
        <v>142</v>
      </c>
      <c r="G433" s="12">
        <v>30</v>
      </c>
      <c r="H433" s="7"/>
      <c r="I433" s="7"/>
      <c r="J433" s="7"/>
      <c r="K433" s="7"/>
      <c r="L433" s="7"/>
      <c r="M433" s="7"/>
      <c r="N433" t="str">
        <f>_xlfn.CONCAT(D433,"_",F433)</f>
        <v>5_F04</v>
      </c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5" customHeight="1">
      <c r="A434" s="21" t="s">
        <v>15</v>
      </c>
      <c r="B434" s="21" t="s">
        <v>16</v>
      </c>
      <c r="C434" s="22">
        <v>754043</v>
      </c>
      <c r="D434" s="23">
        <v>5</v>
      </c>
      <c r="E434" s="24"/>
      <c r="F434" s="21" t="s">
        <v>144</v>
      </c>
      <c r="G434" s="12">
        <v>31</v>
      </c>
      <c r="H434" s="7"/>
      <c r="I434" s="7"/>
      <c r="J434" s="7"/>
      <c r="K434" s="7"/>
      <c r="L434" s="7"/>
      <c r="M434" s="7"/>
      <c r="N434" t="str">
        <f>_xlfn.CONCAT(D434,"_",F434)</f>
        <v>5_G04</v>
      </c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5" customHeight="1">
      <c r="A435" s="21" t="s">
        <v>15</v>
      </c>
      <c r="B435" s="21" t="s">
        <v>16</v>
      </c>
      <c r="C435" s="22">
        <v>754044</v>
      </c>
      <c r="D435" s="23">
        <v>5</v>
      </c>
      <c r="E435" s="24"/>
      <c r="F435" s="21" t="s">
        <v>146</v>
      </c>
      <c r="G435" s="12">
        <v>32</v>
      </c>
      <c r="H435" s="7"/>
      <c r="I435" s="7"/>
      <c r="J435" s="7"/>
      <c r="K435" s="7"/>
      <c r="L435" s="7"/>
      <c r="M435" s="7"/>
      <c r="N435" t="str">
        <f>_xlfn.CONCAT(D435,"_",F435)</f>
        <v>5_H04</v>
      </c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5" customHeight="1">
      <c r="A436" s="21" t="s">
        <v>15</v>
      </c>
      <c r="B436" s="21" t="s">
        <v>16</v>
      </c>
      <c r="C436" s="22">
        <v>754059</v>
      </c>
      <c r="D436" s="23">
        <v>5</v>
      </c>
      <c r="E436" s="24"/>
      <c r="F436" s="21" t="s">
        <v>148</v>
      </c>
      <c r="G436" s="12">
        <v>33</v>
      </c>
      <c r="H436" s="7"/>
      <c r="I436" s="7"/>
      <c r="J436" s="7"/>
      <c r="K436" s="7"/>
      <c r="L436" s="7"/>
      <c r="M436" s="7"/>
      <c r="N436" t="str">
        <f>_xlfn.CONCAT(D436,"_",F436)</f>
        <v>5_A05</v>
      </c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5" customHeight="1">
      <c r="A437" s="21" t="s">
        <v>15</v>
      </c>
      <c r="B437" s="21" t="s">
        <v>16</v>
      </c>
      <c r="C437" s="22">
        <v>754053</v>
      </c>
      <c r="D437" s="23">
        <v>5</v>
      </c>
      <c r="E437" s="24"/>
      <c r="F437" s="21" t="s">
        <v>150</v>
      </c>
      <c r="G437" s="12">
        <v>34</v>
      </c>
      <c r="H437" s="7"/>
      <c r="I437" s="7"/>
      <c r="J437" s="7"/>
      <c r="K437" s="7"/>
      <c r="L437" s="7"/>
      <c r="M437" s="7"/>
      <c r="N437" t="str">
        <f>_xlfn.CONCAT(D437,"_",F437)</f>
        <v>5_B05</v>
      </c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5" customHeight="1">
      <c r="A438" s="21" t="s">
        <v>15</v>
      </c>
      <c r="B438" s="21" t="s">
        <v>16</v>
      </c>
      <c r="C438" s="22">
        <v>754052</v>
      </c>
      <c r="D438" s="23">
        <v>5</v>
      </c>
      <c r="E438" s="24"/>
      <c r="F438" s="21" t="s">
        <v>13</v>
      </c>
      <c r="G438" s="12">
        <v>35</v>
      </c>
      <c r="H438" s="7"/>
      <c r="I438" s="7"/>
      <c r="J438" s="7"/>
      <c r="K438" s="7"/>
      <c r="L438" s="7"/>
      <c r="M438" s="7"/>
      <c r="N438" t="str">
        <f>_xlfn.CONCAT(D438,"_",F438)</f>
        <v>5_C05</v>
      </c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5" customHeight="1">
      <c r="A439" s="21" t="s">
        <v>15</v>
      </c>
      <c r="B439" s="21" t="s">
        <v>16</v>
      </c>
      <c r="C439" s="22">
        <v>754051</v>
      </c>
      <c r="D439" s="23">
        <v>5</v>
      </c>
      <c r="E439" s="24"/>
      <c r="F439" s="21" t="s">
        <v>17</v>
      </c>
      <c r="G439" s="12">
        <v>36</v>
      </c>
      <c r="H439" s="7"/>
      <c r="I439" s="7"/>
      <c r="J439" s="7"/>
      <c r="K439" s="7"/>
      <c r="L439" s="7"/>
      <c r="M439" s="7"/>
      <c r="N439" t="str">
        <f>_xlfn.CONCAT(D439,"_",F439)</f>
        <v>5_D05</v>
      </c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5" customHeight="1">
      <c r="A440" s="21" t="s">
        <v>15</v>
      </c>
      <c r="B440" s="21" t="s">
        <v>16</v>
      </c>
      <c r="C440" s="22">
        <v>754046</v>
      </c>
      <c r="D440" s="23">
        <v>5</v>
      </c>
      <c r="E440" s="24"/>
      <c r="F440" s="21" t="s">
        <v>19</v>
      </c>
      <c r="G440" s="12">
        <v>37</v>
      </c>
      <c r="H440" s="7"/>
      <c r="I440" s="7"/>
      <c r="J440" s="7"/>
      <c r="K440" s="7"/>
      <c r="L440" s="7"/>
      <c r="M440" s="7"/>
      <c r="N440" t="str">
        <f>_xlfn.CONCAT(D440,"_",F440)</f>
        <v>5_E05</v>
      </c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5" customHeight="1">
      <c r="A441" s="21" t="s">
        <v>15</v>
      </c>
      <c r="B441" s="21" t="s">
        <v>16</v>
      </c>
      <c r="C441" s="22">
        <v>754047</v>
      </c>
      <c r="D441" s="23">
        <v>5</v>
      </c>
      <c r="E441" s="24"/>
      <c r="F441" s="21" t="s">
        <v>21</v>
      </c>
      <c r="G441" s="12">
        <v>38</v>
      </c>
      <c r="H441" s="7"/>
      <c r="I441" s="7"/>
      <c r="J441" s="7"/>
      <c r="K441" s="7"/>
      <c r="L441" s="7"/>
      <c r="M441" s="7"/>
      <c r="N441" t="str">
        <f>_xlfn.CONCAT(D441,"_",F441)</f>
        <v>5_F05</v>
      </c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5" customHeight="1">
      <c r="A442" s="21" t="s">
        <v>15</v>
      </c>
      <c r="B442" s="21" t="s">
        <v>16</v>
      </c>
      <c r="C442" s="22">
        <v>754048</v>
      </c>
      <c r="D442" s="23">
        <v>5</v>
      </c>
      <c r="E442" s="24"/>
      <c r="F442" s="21" t="s">
        <v>152</v>
      </c>
      <c r="G442" s="12">
        <v>39</v>
      </c>
      <c r="H442" s="7"/>
      <c r="I442" s="7"/>
      <c r="J442" s="7"/>
      <c r="K442" s="7"/>
      <c r="L442" s="7"/>
      <c r="M442" s="7"/>
      <c r="N442" t="str">
        <f>_xlfn.CONCAT(D442,"_",F442)</f>
        <v>5_G05</v>
      </c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5" customHeight="1">
      <c r="A443" s="21" t="s">
        <v>15</v>
      </c>
      <c r="B443" s="21" t="s">
        <v>16</v>
      </c>
      <c r="C443" s="22">
        <v>754049</v>
      </c>
      <c r="D443" s="23">
        <v>5</v>
      </c>
      <c r="E443" s="24"/>
      <c r="F443" s="21" t="s">
        <v>154</v>
      </c>
      <c r="G443" s="12">
        <v>40</v>
      </c>
      <c r="H443" s="7"/>
      <c r="I443" s="7"/>
      <c r="J443" s="7"/>
      <c r="K443" s="7"/>
      <c r="L443" s="7"/>
      <c r="M443" s="7"/>
      <c r="N443" t="str">
        <f>_xlfn.CONCAT(D443,"_",F443)</f>
        <v>5_H05</v>
      </c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5" customHeight="1">
      <c r="A444" s="21" t="s">
        <v>15</v>
      </c>
      <c r="B444" s="21" t="s">
        <v>16</v>
      </c>
      <c r="C444" s="22">
        <v>754050</v>
      </c>
      <c r="D444" s="23">
        <v>5</v>
      </c>
      <c r="E444" s="24"/>
      <c r="F444" s="21" t="s">
        <v>156</v>
      </c>
      <c r="G444" s="12">
        <v>41</v>
      </c>
      <c r="H444" s="7"/>
      <c r="I444" s="7"/>
      <c r="J444" s="7"/>
      <c r="K444" s="7"/>
      <c r="L444" s="7"/>
      <c r="M444" s="7"/>
      <c r="N444" t="str">
        <f>_xlfn.CONCAT(D444,"_",F444)</f>
        <v>5_A06</v>
      </c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5" customHeight="1">
      <c r="A445" s="21" t="s">
        <v>15</v>
      </c>
      <c r="B445" s="21" t="s">
        <v>16</v>
      </c>
      <c r="C445" s="22">
        <v>754058</v>
      </c>
      <c r="D445" s="23">
        <v>5</v>
      </c>
      <c r="E445" s="24"/>
      <c r="F445" s="21" t="s">
        <v>158</v>
      </c>
      <c r="G445" s="12">
        <v>42</v>
      </c>
      <c r="H445" s="7"/>
      <c r="I445" s="7"/>
      <c r="J445" s="7"/>
      <c r="K445" s="7"/>
      <c r="L445" s="7"/>
      <c r="M445" s="7"/>
      <c r="N445" t="str">
        <f>_xlfn.CONCAT(D445,"_",F445)</f>
        <v>5_B06</v>
      </c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5" customHeight="1">
      <c r="A446" s="21" t="s">
        <v>15</v>
      </c>
      <c r="B446" s="21" t="s">
        <v>16</v>
      </c>
      <c r="C446" s="22">
        <v>754057</v>
      </c>
      <c r="D446" s="23">
        <v>5</v>
      </c>
      <c r="E446" s="24"/>
      <c r="F446" s="21" t="s">
        <v>160</v>
      </c>
      <c r="G446" s="12">
        <v>43</v>
      </c>
      <c r="H446" s="7"/>
      <c r="I446" s="7"/>
      <c r="J446" s="7"/>
      <c r="K446" s="7"/>
      <c r="L446" s="7"/>
      <c r="M446" s="7"/>
      <c r="N446" t="str">
        <f>_xlfn.CONCAT(D446,"_",F446)</f>
        <v>5_C06</v>
      </c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5" customHeight="1">
      <c r="A447" s="21" t="s">
        <v>15</v>
      </c>
      <c r="B447" s="21" t="s">
        <v>16</v>
      </c>
      <c r="C447" s="22">
        <v>754056</v>
      </c>
      <c r="D447" s="23">
        <v>5</v>
      </c>
      <c r="E447" s="24"/>
      <c r="F447" s="21" t="s">
        <v>23</v>
      </c>
      <c r="G447" s="12">
        <v>44</v>
      </c>
      <c r="H447" s="7"/>
      <c r="I447" s="7"/>
      <c r="J447" s="7"/>
      <c r="K447" s="7"/>
      <c r="L447" s="7"/>
      <c r="M447" s="7"/>
      <c r="N447" t="str">
        <f>_xlfn.CONCAT(D447,"_",F447)</f>
        <v>5_D06</v>
      </c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5" customHeight="1">
      <c r="A448" s="21" t="s">
        <v>15</v>
      </c>
      <c r="B448" s="21" t="s">
        <v>16</v>
      </c>
      <c r="C448" s="22">
        <v>754055</v>
      </c>
      <c r="D448" s="23">
        <v>5</v>
      </c>
      <c r="E448" s="24"/>
      <c r="F448" s="21" t="s">
        <v>25</v>
      </c>
      <c r="G448" s="12">
        <v>45</v>
      </c>
      <c r="H448" s="7"/>
      <c r="I448" s="7"/>
      <c r="J448" s="7"/>
      <c r="K448" s="7"/>
      <c r="L448" s="7"/>
      <c r="M448" s="7"/>
      <c r="N448" t="str">
        <f>_xlfn.CONCAT(D448,"_",F448)</f>
        <v>5_E06</v>
      </c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5" customHeight="1">
      <c r="A449" s="21" t="s">
        <v>15</v>
      </c>
      <c r="B449" s="21" t="s">
        <v>16</v>
      </c>
      <c r="C449" s="22">
        <v>754054</v>
      </c>
      <c r="D449" s="23">
        <v>5</v>
      </c>
      <c r="E449" s="24"/>
      <c r="F449" s="21" t="s">
        <v>27</v>
      </c>
      <c r="G449" s="12">
        <v>46</v>
      </c>
      <c r="H449" s="7"/>
      <c r="I449" s="7"/>
      <c r="J449" s="7"/>
      <c r="K449" s="7"/>
      <c r="L449" s="7"/>
      <c r="M449" s="7"/>
      <c r="N449" t="str">
        <f>_xlfn.CONCAT(D449,"_",F449)</f>
        <v>5_F06</v>
      </c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5" customHeight="1">
      <c r="A450" s="21" t="s">
        <v>15</v>
      </c>
      <c r="B450" s="21" t="s">
        <v>16</v>
      </c>
      <c r="C450" s="22">
        <v>754037</v>
      </c>
      <c r="D450" s="23">
        <v>5</v>
      </c>
      <c r="E450" s="24"/>
      <c r="F450" s="21" t="s">
        <v>162</v>
      </c>
      <c r="G450" s="12">
        <v>47</v>
      </c>
      <c r="H450" s="7"/>
      <c r="I450" s="7"/>
      <c r="J450" s="7"/>
      <c r="K450" s="7"/>
      <c r="L450" s="7"/>
      <c r="M450" s="7"/>
      <c r="N450" t="str">
        <f>_xlfn.CONCAT(D450,"_",F450)</f>
        <v>5_G06</v>
      </c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5" customHeight="1">
      <c r="A451" s="21" t="s">
        <v>15</v>
      </c>
      <c r="B451" s="21" t="s">
        <v>16</v>
      </c>
      <c r="C451" s="22">
        <v>754036</v>
      </c>
      <c r="D451" s="23">
        <v>5</v>
      </c>
      <c r="E451" s="24"/>
      <c r="F451" s="21" t="s">
        <v>164</v>
      </c>
      <c r="G451" s="12">
        <v>48</v>
      </c>
      <c r="H451" s="7"/>
      <c r="I451" s="7"/>
      <c r="J451" s="7"/>
      <c r="K451" s="7"/>
      <c r="L451" s="7"/>
      <c r="M451" s="7"/>
      <c r="N451" t="str">
        <f>_xlfn.CONCAT(D451,"_",F451)</f>
        <v>5_H06</v>
      </c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5" customHeight="1">
      <c r="A452" s="21" t="s">
        <v>15</v>
      </c>
      <c r="B452" s="21" t="s">
        <v>16</v>
      </c>
      <c r="C452" s="22">
        <v>754035</v>
      </c>
      <c r="D452" s="23">
        <v>5</v>
      </c>
      <c r="E452" s="24"/>
      <c r="F452" s="21" t="s">
        <v>166</v>
      </c>
      <c r="G452" s="12">
        <v>49</v>
      </c>
      <c r="H452" s="7"/>
      <c r="I452" s="7"/>
      <c r="J452" s="7"/>
      <c r="K452" s="7"/>
      <c r="L452" s="7"/>
      <c r="M452" s="7"/>
      <c r="N452" t="str">
        <f>_xlfn.CONCAT(D452,"_",F452)</f>
        <v>5_A07</v>
      </c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5" customHeight="1">
      <c r="A453" s="21" t="s">
        <v>15</v>
      </c>
      <c r="B453" s="21" t="s">
        <v>16</v>
      </c>
      <c r="C453" s="22">
        <v>754062</v>
      </c>
      <c r="D453" s="23">
        <v>5</v>
      </c>
      <c r="E453" s="24"/>
      <c r="F453" s="21" t="s">
        <v>168</v>
      </c>
      <c r="G453" s="12">
        <v>50</v>
      </c>
      <c r="H453" s="7"/>
      <c r="I453" s="7"/>
      <c r="J453" s="7"/>
      <c r="K453" s="7"/>
      <c r="L453" s="7"/>
      <c r="M453" s="7"/>
      <c r="N453" t="str">
        <f>_xlfn.CONCAT(D453,"_",F453)</f>
        <v>5_B07</v>
      </c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5" customHeight="1">
      <c r="A454" s="21" t="s">
        <v>15</v>
      </c>
      <c r="B454" s="21" t="s">
        <v>16</v>
      </c>
      <c r="C454" s="22">
        <v>754061</v>
      </c>
      <c r="D454" s="23">
        <v>5</v>
      </c>
      <c r="E454" s="24"/>
      <c r="F454" s="21" t="s">
        <v>43</v>
      </c>
      <c r="G454" s="12">
        <v>51</v>
      </c>
      <c r="H454" s="7"/>
      <c r="I454" s="7"/>
      <c r="J454" s="7"/>
      <c r="K454" s="7"/>
      <c r="L454" s="7"/>
      <c r="M454" s="7"/>
      <c r="N454" t="str">
        <f>_xlfn.CONCAT(D454,"_",F454)</f>
        <v>5_C07</v>
      </c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5" customHeight="1">
      <c r="A455" s="21" t="s">
        <v>15</v>
      </c>
      <c r="B455" s="21" t="s">
        <v>16</v>
      </c>
      <c r="C455" s="22">
        <v>754060</v>
      </c>
      <c r="D455" s="23">
        <v>5</v>
      </c>
      <c r="E455" s="24"/>
      <c r="F455" s="21" t="s">
        <v>45</v>
      </c>
      <c r="G455" s="12">
        <v>52</v>
      </c>
      <c r="H455" s="7"/>
      <c r="I455" s="7"/>
      <c r="J455" s="7"/>
      <c r="K455" s="7"/>
      <c r="L455" s="7"/>
      <c r="M455" s="7"/>
      <c r="N455" t="str">
        <f>_xlfn.CONCAT(D455,"_",F455)</f>
        <v>5_D07</v>
      </c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5" customHeight="1">
      <c r="A456" s="21" t="s">
        <v>15</v>
      </c>
      <c r="B456" s="21" t="s">
        <v>16</v>
      </c>
      <c r="C456" s="22">
        <v>754070</v>
      </c>
      <c r="D456" s="23">
        <v>5</v>
      </c>
      <c r="E456" s="24"/>
      <c r="F456" s="21" t="s">
        <v>170</v>
      </c>
      <c r="G456" s="12">
        <v>53</v>
      </c>
      <c r="H456" s="7"/>
      <c r="I456" s="7"/>
      <c r="J456" s="7"/>
      <c r="K456" s="7"/>
      <c r="L456" s="7"/>
      <c r="M456" s="7"/>
      <c r="N456" t="str">
        <f>_xlfn.CONCAT(D456,"_",F456)</f>
        <v>5_E07</v>
      </c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5" customHeight="1">
      <c r="A457" s="21" t="s">
        <v>15</v>
      </c>
      <c r="B457" s="21" t="s">
        <v>16</v>
      </c>
      <c r="C457" s="22">
        <v>754069</v>
      </c>
      <c r="D457" s="23">
        <v>5</v>
      </c>
      <c r="E457" s="24"/>
      <c r="F457" s="21" t="s">
        <v>29</v>
      </c>
      <c r="G457" s="12">
        <v>54</v>
      </c>
      <c r="H457" s="7"/>
      <c r="I457" s="7"/>
      <c r="J457" s="7"/>
      <c r="K457" s="7"/>
      <c r="L457" s="7"/>
      <c r="M457" s="7"/>
      <c r="N457" t="str">
        <f>_xlfn.CONCAT(D457,"_",F457)</f>
        <v>5_F07</v>
      </c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5" customHeight="1">
      <c r="A458" s="21" t="s">
        <v>15</v>
      </c>
      <c r="B458" s="21" t="s">
        <v>16</v>
      </c>
      <c r="C458" s="22">
        <v>754068</v>
      </c>
      <c r="D458" s="23">
        <v>5</v>
      </c>
      <c r="E458" s="24"/>
      <c r="F458" s="21" t="s">
        <v>31</v>
      </c>
      <c r="G458" s="12">
        <v>55</v>
      </c>
      <c r="H458" s="7"/>
      <c r="I458" s="7"/>
      <c r="J458" s="7"/>
      <c r="K458" s="7"/>
      <c r="L458" s="7"/>
      <c r="M458" s="7"/>
      <c r="N458" t="str">
        <f>_xlfn.CONCAT(D458,"_",F458)</f>
        <v>5_G07</v>
      </c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5" customHeight="1">
      <c r="A459" s="21" t="s">
        <v>15</v>
      </c>
      <c r="B459" s="21" t="s">
        <v>16</v>
      </c>
      <c r="C459" s="22">
        <v>754042</v>
      </c>
      <c r="D459" s="23">
        <v>5</v>
      </c>
      <c r="E459" s="24"/>
      <c r="F459" s="21" t="s">
        <v>33</v>
      </c>
      <c r="G459" s="12">
        <v>56</v>
      </c>
      <c r="H459" s="7"/>
      <c r="I459" s="7"/>
      <c r="J459" s="7"/>
      <c r="K459" s="7"/>
      <c r="L459" s="7"/>
      <c r="M459" s="7"/>
      <c r="N459" t="str">
        <f>_xlfn.CONCAT(D459,"_",F459)</f>
        <v>5_H07</v>
      </c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5" customHeight="1">
      <c r="A460" s="21" t="s">
        <v>15</v>
      </c>
      <c r="B460" s="21" t="s">
        <v>16</v>
      </c>
      <c r="C460" s="22">
        <v>754041</v>
      </c>
      <c r="D460" s="23">
        <v>5</v>
      </c>
      <c r="E460" s="24"/>
      <c r="F460" s="21" t="s">
        <v>35</v>
      </c>
      <c r="G460" s="12">
        <v>57</v>
      </c>
      <c r="H460" s="7"/>
      <c r="I460" s="7"/>
      <c r="J460" s="7"/>
      <c r="K460" s="7"/>
      <c r="L460" s="7"/>
      <c r="M460" s="7"/>
      <c r="N460" t="str">
        <f>_xlfn.CONCAT(D460,"_",F460)</f>
        <v>5_A08</v>
      </c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5" customHeight="1">
      <c r="A461" s="21" t="s">
        <v>15</v>
      </c>
      <c r="B461" s="21" t="s">
        <v>16</v>
      </c>
      <c r="C461" s="22">
        <v>754040</v>
      </c>
      <c r="D461" s="23">
        <v>5</v>
      </c>
      <c r="E461" s="24"/>
      <c r="F461" s="21" t="s">
        <v>37</v>
      </c>
      <c r="G461" s="12">
        <v>58</v>
      </c>
      <c r="H461" s="7"/>
      <c r="I461" s="7"/>
      <c r="J461" s="7"/>
      <c r="K461" s="7"/>
      <c r="L461" s="7"/>
      <c r="M461" s="7"/>
      <c r="N461" t="str">
        <f>_xlfn.CONCAT(D461,"_",F461)</f>
        <v>5_B08</v>
      </c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5" customHeight="1">
      <c r="A462" s="21" t="s">
        <v>15</v>
      </c>
      <c r="B462" s="21" t="s">
        <v>16</v>
      </c>
      <c r="C462" s="22">
        <v>754039</v>
      </c>
      <c r="D462" s="23">
        <v>5</v>
      </c>
      <c r="E462" s="24"/>
      <c r="F462" s="21" t="s">
        <v>172</v>
      </c>
      <c r="G462" s="12">
        <v>59</v>
      </c>
      <c r="H462" s="7"/>
      <c r="I462" s="7"/>
      <c r="J462" s="7"/>
      <c r="K462" s="7"/>
      <c r="L462" s="7"/>
      <c r="M462" s="7"/>
      <c r="N462" t="str">
        <f>_xlfn.CONCAT(D462,"_",F462)</f>
        <v>5_C08</v>
      </c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5" customHeight="1">
      <c r="A463" s="21" t="s">
        <v>15</v>
      </c>
      <c r="B463" s="21" t="s">
        <v>16</v>
      </c>
      <c r="C463" s="22">
        <v>754038</v>
      </c>
      <c r="D463" s="23">
        <v>5</v>
      </c>
      <c r="E463" s="24"/>
      <c r="F463" s="21" t="s">
        <v>174</v>
      </c>
      <c r="G463" s="12">
        <v>60</v>
      </c>
      <c r="H463" s="7"/>
      <c r="I463" s="7"/>
      <c r="J463" s="7"/>
      <c r="K463" s="7"/>
      <c r="L463" s="7"/>
      <c r="M463" s="7"/>
      <c r="N463" t="str">
        <f>_xlfn.CONCAT(D463,"_",F463)</f>
        <v>5_D08</v>
      </c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5" customHeight="1">
      <c r="A464" s="21" t="s">
        <v>15</v>
      </c>
      <c r="B464" s="21" t="s">
        <v>16</v>
      </c>
      <c r="C464" s="22">
        <v>754030</v>
      </c>
      <c r="D464" s="23">
        <v>5</v>
      </c>
      <c r="E464" s="24"/>
      <c r="F464" s="21" t="s">
        <v>176</v>
      </c>
      <c r="G464" s="12">
        <v>61</v>
      </c>
      <c r="H464" s="7"/>
      <c r="I464" s="7"/>
      <c r="J464" s="7"/>
      <c r="K464" s="7"/>
      <c r="L464" s="7"/>
      <c r="M464" s="7"/>
      <c r="N464" t="str">
        <f>_xlfn.CONCAT(D464,"_",F464)</f>
        <v>5_E08</v>
      </c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5" customHeight="1">
      <c r="A465" s="21" t="s">
        <v>15</v>
      </c>
      <c r="B465" s="21" t="s">
        <v>16</v>
      </c>
      <c r="C465" s="22">
        <v>754031</v>
      </c>
      <c r="D465" s="23">
        <v>5</v>
      </c>
      <c r="E465" s="24"/>
      <c r="F465" s="21" t="s">
        <v>178</v>
      </c>
      <c r="G465" s="12">
        <v>62</v>
      </c>
      <c r="H465" s="7"/>
      <c r="I465" s="7"/>
      <c r="J465" s="7"/>
      <c r="K465" s="7"/>
      <c r="L465" s="7"/>
      <c r="M465" s="7"/>
      <c r="N465" t="str">
        <f>_xlfn.CONCAT(D465,"_",F465)</f>
        <v>5_F08</v>
      </c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5" customHeight="1">
      <c r="A466" s="21" t="s">
        <v>15</v>
      </c>
      <c r="B466" s="21" t="s">
        <v>16</v>
      </c>
      <c r="C466" s="22">
        <v>754032</v>
      </c>
      <c r="D466" s="23">
        <v>5</v>
      </c>
      <c r="E466" s="24"/>
      <c r="F466" s="21" t="s">
        <v>180</v>
      </c>
      <c r="G466" s="12">
        <v>63</v>
      </c>
      <c r="H466" s="7"/>
      <c r="I466" s="7"/>
      <c r="J466" s="7"/>
      <c r="K466" s="7"/>
      <c r="L466" s="7"/>
      <c r="M466" s="7"/>
      <c r="N466" t="str">
        <f>_xlfn.CONCAT(D466,"_",F466)</f>
        <v>5_G08</v>
      </c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5" customHeight="1">
      <c r="A467" s="21" t="s">
        <v>15</v>
      </c>
      <c r="B467" s="21" t="s">
        <v>16</v>
      </c>
      <c r="C467" s="22">
        <v>754033</v>
      </c>
      <c r="D467" s="23">
        <v>5</v>
      </c>
      <c r="E467" s="24"/>
      <c r="F467" s="21" t="s">
        <v>182</v>
      </c>
      <c r="G467" s="12">
        <v>64</v>
      </c>
      <c r="H467" s="7"/>
      <c r="I467" s="7"/>
      <c r="J467" s="7"/>
      <c r="K467" s="7"/>
      <c r="L467" s="7"/>
      <c r="M467" s="7"/>
      <c r="N467" t="str">
        <f>_xlfn.CONCAT(D467,"_",F467)</f>
        <v>5_H08</v>
      </c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5" customHeight="1">
      <c r="A468" s="21" t="s">
        <v>15</v>
      </c>
      <c r="B468" s="21" t="s">
        <v>16</v>
      </c>
      <c r="C468" s="22">
        <v>754034</v>
      </c>
      <c r="D468" s="23">
        <v>5</v>
      </c>
      <c r="E468" s="24"/>
      <c r="F468" s="21" t="s">
        <v>39</v>
      </c>
      <c r="G468" s="12">
        <v>65</v>
      </c>
      <c r="H468" s="7"/>
      <c r="I468" s="7"/>
      <c r="J468" s="7"/>
      <c r="K468" s="7"/>
      <c r="L468" s="7"/>
      <c r="M468" s="7"/>
      <c r="N468" t="str">
        <f>_xlfn.CONCAT(D468,"_",F468)</f>
        <v>5_A09</v>
      </c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5" customHeight="1">
      <c r="A469" s="21" t="s">
        <v>15</v>
      </c>
      <c r="B469" s="21" t="s">
        <v>16</v>
      </c>
      <c r="C469" s="22">
        <v>754063</v>
      </c>
      <c r="D469" s="23">
        <v>5</v>
      </c>
      <c r="E469" s="24"/>
      <c r="F469" s="21" t="s">
        <v>41</v>
      </c>
      <c r="G469" s="12">
        <v>66</v>
      </c>
      <c r="H469" s="7"/>
      <c r="I469" s="7"/>
      <c r="J469" s="7"/>
      <c r="K469" s="7"/>
      <c r="L469" s="7"/>
      <c r="M469" s="7"/>
      <c r="N469" t="str">
        <f>_xlfn.CONCAT(D469,"_",F469)</f>
        <v>5_B09</v>
      </c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5" customHeight="1">
      <c r="A470" s="21" t="s">
        <v>15</v>
      </c>
      <c r="B470" s="21" t="s">
        <v>16</v>
      </c>
      <c r="C470" s="22">
        <v>754064</v>
      </c>
      <c r="D470" s="23">
        <v>5</v>
      </c>
      <c r="E470" s="24"/>
      <c r="F470" s="21" t="s">
        <v>184</v>
      </c>
      <c r="G470" s="12">
        <v>67</v>
      </c>
      <c r="H470" s="7"/>
      <c r="I470" s="7"/>
      <c r="J470" s="7"/>
      <c r="K470" s="7"/>
      <c r="L470" s="7"/>
      <c r="M470" s="7"/>
      <c r="N470" t="str">
        <f>_xlfn.CONCAT(D470,"_",F470)</f>
        <v>5_C09</v>
      </c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5" customHeight="1">
      <c r="A471" s="21" t="s">
        <v>15</v>
      </c>
      <c r="B471" s="21" t="s">
        <v>16</v>
      </c>
      <c r="C471" s="22">
        <v>754065</v>
      </c>
      <c r="D471" s="23">
        <v>5</v>
      </c>
      <c r="E471" s="24"/>
      <c r="F471" s="21" t="s">
        <v>186</v>
      </c>
      <c r="G471" s="12">
        <v>68</v>
      </c>
      <c r="H471" s="7"/>
      <c r="I471" s="7"/>
      <c r="J471" s="7"/>
      <c r="K471" s="7"/>
      <c r="L471" s="7"/>
      <c r="M471" s="7"/>
      <c r="N471" t="str">
        <f>_xlfn.CONCAT(D471,"_",F471)</f>
        <v>5_D09</v>
      </c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5" customHeight="1">
      <c r="A472" s="21" t="s">
        <v>15</v>
      </c>
      <c r="B472" s="21" t="s">
        <v>16</v>
      </c>
      <c r="C472" s="22">
        <v>754066</v>
      </c>
      <c r="D472" s="23">
        <v>5</v>
      </c>
      <c r="E472" s="24"/>
      <c r="F472" s="21" t="s">
        <v>188</v>
      </c>
      <c r="G472" s="12">
        <v>69</v>
      </c>
      <c r="H472" s="7"/>
      <c r="I472" s="7"/>
      <c r="J472" s="7"/>
      <c r="K472" s="7"/>
      <c r="L472" s="7"/>
      <c r="M472" s="7"/>
      <c r="N472" t="str">
        <f>_xlfn.CONCAT(D472,"_",F472)</f>
        <v>5_E09</v>
      </c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5" customHeight="1">
      <c r="A473" s="21" t="s">
        <v>15</v>
      </c>
      <c r="B473" s="21" t="s">
        <v>16</v>
      </c>
      <c r="C473" s="22">
        <v>754067</v>
      </c>
      <c r="D473" s="23">
        <v>5</v>
      </c>
      <c r="E473" s="24"/>
      <c r="F473" s="21" t="s">
        <v>190</v>
      </c>
      <c r="G473" s="12">
        <v>70</v>
      </c>
      <c r="H473" s="7"/>
      <c r="I473" s="7"/>
      <c r="J473" s="7"/>
      <c r="K473" s="7"/>
      <c r="L473" s="7"/>
      <c r="M473" s="7"/>
      <c r="N473" t="str">
        <f>_xlfn.CONCAT(D473,"_",F473)</f>
        <v>5_F09</v>
      </c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5" customHeight="1">
      <c r="A474" s="21" t="s">
        <v>15</v>
      </c>
      <c r="B474" s="21" t="s">
        <v>16</v>
      </c>
      <c r="C474" s="22">
        <v>754076</v>
      </c>
      <c r="D474" s="23">
        <v>5</v>
      </c>
      <c r="E474" s="24"/>
      <c r="F474" s="21" t="s">
        <v>192</v>
      </c>
      <c r="G474" s="12">
        <v>71</v>
      </c>
      <c r="H474" s="7"/>
      <c r="I474" s="7"/>
      <c r="J474" s="7"/>
      <c r="K474" s="7"/>
      <c r="L474" s="7"/>
      <c r="M474" s="7"/>
      <c r="N474" t="str">
        <f>_xlfn.CONCAT(D474,"_",F474)</f>
        <v>5_G09</v>
      </c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5" customHeight="1">
      <c r="A475" s="21" t="s">
        <v>15</v>
      </c>
      <c r="B475" s="21" t="s">
        <v>16</v>
      </c>
      <c r="C475" s="22">
        <v>754077</v>
      </c>
      <c r="D475" s="23">
        <v>5</v>
      </c>
      <c r="E475" s="24"/>
      <c r="F475" s="21" t="s">
        <v>194</v>
      </c>
      <c r="G475" s="12">
        <v>72</v>
      </c>
      <c r="H475" s="7"/>
      <c r="I475" s="7"/>
      <c r="J475" s="7"/>
      <c r="K475" s="7"/>
      <c r="L475" s="7"/>
      <c r="M475" s="7"/>
      <c r="N475" t="str">
        <f>_xlfn.CONCAT(D475,"_",F475)</f>
        <v>5_H09</v>
      </c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5" customHeight="1">
      <c r="A476" s="21" t="s">
        <v>15</v>
      </c>
      <c r="B476" s="21" t="s">
        <v>16</v>
      </c>
      <c r="C476" s="22">
        <v>754078</v>
      </c>
      <c r="D476" s="23">
        <v>5</v>
      </c>
      <c r="E476" s="24"/>
      <c r="F476" s="21" t="s">
        <v>196</v>
      </c>
      <c r="G476" s="12">
        <v>73</v>
      </c>
      <c r="H476" s="7"/>
      <c r="I476" s="7"/>
      <c r="J476" s="7"/>
      <c r="K476" s="7"/>
      <c r="L476" s="7"/>
      <c r="M476" s="7"/>
      <c r="N476" t="str">
        <f>_xlfn.CONCAT(D476,"_",F476)</f>
        <v>5_A10</v>
      </c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5" customHeight="1">
      <c r="A477" s="21" t="s">
        <v>15</v>
      </c>
      <c r="B477" s="21" t="s">
        <v>16</v>
      </c>
      <c r="C477" s="22">
        <v>754086</v>
      </c>
      <c r="D477" s="23">
        <v>5</v>
      </c>
      <c r="E477" s="24"/>
      <c r="F477" s="21" t="s">
        <v>198</v>
      </c>
      <c r="G477" s="12">
        <v>74</v>
      </c>
      <c r="H477" s="7"/>
      <c r="I477" s="7"/>
      <c r="J477" s="7"/>
      <c r="K477" s="7"/>
      <c r="L477" s="7"/>
      <c r="M477" s="7"/>
      <c r="N477" t="str">
        <f>_xlfn.CONCAT(D477,"_",F477)</f>
        <v>5_B10</v>
      </c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5" customHeight="1">
      <c r="A478" s="21" t="s">
        <v>15</v>
      </c>
      <c r="B478" s="21" t="s">
        <v>16</v>
      </c>
      <c r="C478" s="22">
        <v>754085</v>
      </c>
      <c r="D478" s="23">
        <v>5</v>
      </c>
      <c r="E478" s="24"/>
      <c r="F478" s="21" t="s">
        <v>200</v>
      </c>
      <c r="G478" s="12">
        <v>75</v>
      </c>
      <c r="H478" s="7"/>
      <c r="I478" s="7"/>
      <c r="J478" s="7"/>
      <c r="K478" s="7"/>
      <c r="L478" s="7"/>
      <c r="M478" s="7"/>
      <c r="N478" t="str">
        <f>_xlfn.CONCAT(D478,"_",F478)</f>
        <v>5_C10</v>
      </c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5" customHeight="1">
      <c r="A479" s="21" t="s">
        <v>15</v>
      </c>
      <c r="B479" s="21" t="s">
        <v>16</v>
      </c>
      <c r="C479" s="22">
        <v>754084</v>
      </c>
      <c r="D479" s="23">
        <v>5</v>
      </c>
      <c r="E479" s="24"/>
      <c r="F479" s="21" t="s">
        <v>202</v>
      </c>
      <c r="G479" s="12">
        <v>76</v>
      </c>
      <c r="H479" s="7"/>
      <c r="I479" s="7"/>
      <c r="J479" s="7"/>
      <c r="K479" s="7"/>
      <c r="L479" s="7"/>
      <c r="M479" s="7"/>
      <c r="N479" t="str">
        <f>_xlfn.CONCAT(D479,"_",F479)</f>
        <v>5_D10</v>
      </c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5" customHeight="1">
      <c r="A480" s="21" t="s">
        <v>15</v>
      </c>
      <c r="B480" s="21" t="s">
        <v>16</v>
      </c>
      <c r="C480" s="22">
        <v>754079</v>
      </c>
      <c r="D480" s="23">
        <v>5</v>
      </c>
      <c r="E480" s="24"/>
      <c r="F480" s="21" t="s">
        <v>204</v>
      </c>
      <c r="G480" s="12">
        <v>77</v>
      </c>
      <c r="H480" s="7"/>
      <c r="I480" s="7"/>
      <c r="J480" s="7"/>
      <c r="K480" s="7"/>
      <c r="L480" s="7"/>
      <c r="M480" s="7"/>
      <c r="N480" t="str">
        <f>_xlfn.CONCAT(D480,"_",F480)</f>
        <v>5_E10</v>
      </c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5" customHeight="1">
      <c r="A481" s="21" t="s">
        <v>15</v>
      </c>
      <c r="B481" s="21" t="s">
        <v>16</v>
      </c>
      <c r="C481" s="22">
        <v>754080</v>
      </c>
      <c r="D481" s="23">
        <v>5</v>
      </c>
      <c r="E481" s="24"/>
      <c r="F481" s="21" t="s">
        <v>206</v>
      </c>
      <c r="G481" s="12">
        <v>78</v>
      </c>
      <c r="H481" s="7"/>
      <c r="I481" s="7"/>
      <c r="J481" s="7"/>
      <c r="K481" s="7"/>
      <c r="L481" s="7"/>
      <c r="M481" s="7"/>
      <c r="N481" t="str">
        <f>_xlfn.CONCAT(D481,"_",F481)</f>
        <v>5_F10</v>
      </c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5" customHeight="1">
      <c r="A482" s="21" t="s">
        <v>15</v>
      </c>
      <c r="B482" s="21" t="s">
        <v>16</v>
      </c>
      <c r="C482" s="22">
        <v>754081</v>
      </c>
      <c r="D482" s="23">
        <v>5</v>
      </c>
      <c r="E482" s="24"/>
      <c r="F482" s="21" t="s">
        <v>91</v>
      </c>
      <c r="G482" s="12">
        <v>79</v>
      </c>
      <c r="H482" s="7"/>
      <c r="I482" s="7"/>
      <c r="J482" s="7"/>
      <c r="K482" s="7"/>
      <c r="L482" s="7"/>
      <c r="M482" s="7"/>
      <c r="N482" t="str">
        <f>_xlfn.CONCAT(D482,"_",F482)</f>
        <v>5_G10</v>
      </c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5" customHeight="1">
      <c r="A483" s="21" t="s">
        <v>15</v>
      </c>
      <c r="B483" s="21" t="s">
        <v>16</v>
      </c>
      <c r="C483" s="22">
        <v>754082</v>
      </c>
      <c r="D483" s="23">
        <v>5</v>
      </c>
      <c r="E483" s="24"/>
      <c r="F483" s="21" t="s">
        <v>92</v>
      </c>
      <c r="G483" s="12">
        <v>80</v>
      </c>
      <c r="H483" s="7"/>
      <c r="I483" s="7"/>
      <c r="J483" s="7"/>
      <c r="K483" s="7"/>
      <c r="L483" s="7"/>
      <c r="M483" s="7"/>
      <c r="N483" t="str">
        <f>_xlfn.CONCAT(D483,"_",F483)</f>
        <v>5_H10</v>
      </c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5" customHeight="1">
      <c r="A484" s="21" t="s">
        <v>15</v>
      </c>
      <c r="B484" s="21" t="s">
        <v>16</v>
      </c>
      <c r="C484" s="22">
        <v>754083</v>
      </c>
      <c r="D484" s="23">
        <v>5</v>
      </c>
      <c r="E484" s="24"/>
      <c r="F484" s="21" t="s">
        <v>93</v>
      </c>
      <c r="G484" s="12">
        <v>81</v>
      </c>
      <c r="H484" s="7"/>
      <c r="I484" s="7"/>
      <c r="J484" s="7"/>
      <c r="K484" s="7"/>
      <c r="L484" s="7"/>
      <c r="M484" s="7"/>
      <c r="N484" t="str">
        <f>_xlfn.CONCAT(D484,"_",F484)</f>
        <v>5_A11</v>
      </c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5" customHeight="1">
      <c r="A485" s="21" t="s">
        <v>15</v>
      </c>
      <c r="B485" s="21" t="s">
        <v>16</v>
      </c>
      <c r="C485" s="22">
        <v>753463</v>
      </c>
      <c r="D485" s="23">
        <v>5</v>
      </c>
      <c r="E485" s="24"/>
      <c r="F485" s="21" t="s">
        <v>94</v>
      </c>
      <c r="G485" s="12">
        <v>82</v>
      </c>
      <c r="H485" s="7"/>
      <c r="I485" s="7"/>
      <c r="J485" s="7"/>
      <c r="K485" s="7"/>
      <c r="L485" s="7"/>
      <c r="M485" s="7"/>
      <c r="N485" t="str">
        <f>_xlfn.CONCAT(D485,"_",F485)</f>
        <v>5_B11</v>
      </c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5" customHeight="1">
      <c r="A486" s="21" t="s">
        <v>15</v>
      </c>
      <c r="B486" s="21" t="s">
        <v>16</v>
      </c>
      <c r="C486" s="22">
        <v>753464</v>
      </c>
      <c r="D486" s="23">
        <v>5</v>
      </c>
      <c r="E486" s="24"/>
      <c r="F486" s="21" t="s">
        <v>49</v>
      </c>
      <c r="G486" s="12">
        <v>83</v>
      </c>
      <c r="H486" s="7"/>
      <c r="I486" s="7"/>
      <c r="J486" s="7"/>
      <c r="K486" s="7"/>
      <c r="L486" s="7"/>
      <c r="M486" s="7"/>
      <c r="N486" t="str">
        <f>_xlfn.CONCAT(D486,"_",F486)</f>
        <v>5_C11</v>
      </c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5" customHeight="1">
      <c r="A487" s="21" t="s">
        <v>15</v>
      </c>
      <c r="B487" s="21" t="s">
        <v>16</v>
      </c>
      <c r="C487" s="22">
        <v>753465</v>
      </c>
      <c r="D487" s="23">
        <v>5</v>
      </c>
      <c r="E487" s="24"/>
      <c r="F487" s="21" t="s">
        <v>51</v>
      </c>
      <c r="G487" s="12">
        <v>84</v>
      </c>
      <c r="H487" s="7"/>
      <c r="I487" s="7"/>
      <c r="J487" s="7"/>
      <c r="K487" s="7"/>
      <c r="L487" s="7"/>
      <c r="M487" s="7"/>
      <c r="N487" t="str">
        <f>_xlfn.CONCAT(D487,"_",F487)</f>
        <v>5_D11</v>
      </c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5" customHeight="1">
      <c r="A488" s="21" t="s">
        <v>15</v>
      </c>
      <c r="B488" s="21" t="s">
        <v>16</v>
      </c>
      <c r="C488" s="22">
        <v>753466</v>
      </c>
      <c r="D488" s="23">
        <v>5</v>
      </c>
      <c r="E488" s="24"/>
      <c r="F488" s="21" t="s">
        <v>95</v>
      </c>
      <c r="G488" s="12">
        <v>85</v>
      </c>
      <c r="H488" s="7"/>
      <c r="I488" s="7"/>
      <c r="J488" s="7"/>
      <c r="K488" s="7"/>
      <c r="L488" s="7"/>
      <c r="M488" s="7"/>
      <c r="N488" t="str">
        <f>_xlfn.CONCAT(D488,"_",F488)</f>
        <v>5_E11</v>
      </c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5" customHeight="1">
      <c r="A489" s="21" t="s">
        <v>15</v>
      </c>
      <c r="B489" s="21" t="s">
        <v>16</v>
      </c>
      <c r="C489" s="22">
        <v>753467</v>
      </c>
      <c r="D489" s="23">
        <v>5</v>
      </c>
      <c r="E489" s="24"/>
      <c r="F489" s="21" t="s">
        <v>53</v>
      </c>
      <c r="G489" s="12">
        <v>86</v>
      </c>
      <c r="H489" s="7"/>
      <c r="I489" s="7"/>
      <c r="J489" s="7"/>
      <c r="K489" s="7"/>
      <c r="L489" s="7"/>
      <c r="M489" s="7"/>
      <c r="N489" t="str">
        <f>_xlfn.CONCAT(D489,"_",F489)</f>
        <v>5_F11</v>
      </c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5" customHeight="1">
      <c r="A490" s="21" t="s">
        <v>15</v>
      </c>
      <c r="B490" s="21" t="s">
        <v>16</v>
      </c>
      <c r="C490" s="22">
        <v>753475</v>
      </c>
      <c r="D490" s="23">
        <v>5</v>
      </c>
      <c r="E490" s="24"/>
      <c r="F490" s="21" t="s">
        <v>55</v>
      </c>
      <c r="G490" s="12">
        <v>87</v>
      </c>
      <c r="H490" s="7"/>
      <c r="I490" s="7"/>
      <c r="J490" s="7"/>
      <c r="K490" s="7"/>
      <c r="L490" s="7"/>
      <c r="M490" s="7"/>
      <c r="N490" t="str">
        <f>_xlfn.CONCAT(D490,"_",F490)</f>
        <v>5_G11</v>
      </c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5" customHeight="1">
      <c r="A491" s="21" t="s">
        <v>15</v>
      </c>
      <c r="B491" s="21" t="s">
        <v>16</v>
      </c>
      <c r="C491" s="22">
        <v>753474</v>
      </c>
      <c r="D491" s="23">
        <v>5</v>
      </c>
      <c r="E491" s="24"/>
      <c r="F491" s="21" t="s">
        <v>57</v>
      </c>
      <c r="G491" s="12">
        <v>88</v>
      </c>
      <c r="H491" s="7"/>
      <c r="I491" s="7"/>
      <c r="J491" s="7"/>
      <c r="K491" s="7"/>
      <c r="L491" s="7"/>
      <c r="M491" s="7"/>
      <c r="N491" t="str">
        <f>_xlfn.CONCAT(D491,"_",F491)</f>
        <v>5_H11</v>
      </c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5" customHeight="1">
      <c r="A492" s="21" t="s">
        <v>15</v>
      </c>
      <c r="B492" s="21" t="s">
        <v>16</v>
      </c>
      <c r="C492" s="22">
        <v>753473</v>
      </c>
      <c r="D492" s="23">
        <v>5</v>
      </c>
      <c r="E492" s="24"/>
      <c r="F492" s="21" t="s">
        <v>59</v>
      </c>
      <c r="G492" s="12">
        <v>89</v>
      </c>
      <c r="H492" s="7"/>
      <c r="I492" s="7"/>
      <c r="J492" s="7"/>
      <c r="K492" s="7"/>
      <c r="L492" s="7"/>
      <c r="M492" s="7"/>
      <c r="N492" t="str">
        <f>_xlfn.CONCAT(D492,"_",F492)</f>
        <v>5_A12</v>
      </c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5" customHeight="1">
      <c r="A493" s="21" t="s">
        <v>15</v>
      </c>
      <c r="B493" s="21" t="s">
        <v>16</v>
      </c>
      <c r="C493" s="22">
        <v>753472</v>
      </c>
      <c r="D493" s="23">
        <v>5</v>
      </c>
      <c r="E493" s="24"/>
      <c r="F493" s="21" t="s">
        <v>61</v>
      </c>
      <c r="G493" s="12">
        <v>90</v>
      </c>
      <c r="H493" s="7"/>
      <c r="I493" s="7"/>
      <c r="J493" s="7"/>
      <c r="K493" s="7"/>
      <c r="L493" s="7"/>
      <c r="M493" s="7"/>
      <c r="N493" t="str">
        <f>_xlfn.CONCAT(D493,"_",F493)</f>
        <v>5_B12</v>
      </c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5" customHeight="1">
      <c r="A494" s="21" t="s">
        <v>15</v>
      </c>
      <c r="B494" s="21" t="s">
        <v>16</v>
      </c>
      <c r="C494" s="22">
        <v>753471</v>
      </c>
      <c r="D494" s="23">
        <v>5</v>
      </c>
      <c r="E494" s="24"/>
      <c r="F494" s="21" t="s">
        <v>63</v>
      </c>
      <c r="G494" s="12">
        <v>91</v>
      </c>
      <c r="H494" s="7"/>
      <c r="I494" s="7"/>
      <c r="J494" s="7"/>
      <c r="K494" s="7"/>
      <c r="L494" s="7"/>
      <c r="M494" s="7"/>
      <c r="N494" t="str">
        <f>_xlfn.CONCAT(D494,"_",F494)</f>
        <v>5_C12</v>
      </c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5" customHeight="1">
      <c r="A495" s="21" t="s">
        <v>15</v>
      </c>
      <c r="B495" s="21" t="s">
        <v>16</v>
      </c>
      <c r="C495" s="22">
        <v>753476</v>
      </c>
      <c r="D495" s="23">
        <v>5</v>
      </c>
      <c r="E495" s="24"/>
      <c r="F495" s="21" t="s">
        <v>65</v>
      </c>
      <c r="G495" s="12">
        <v>92</v>
      </c>
      <c r="H495" s="7"/>
      <c r="I495" s="7"/>
      <c r="J495" s="7"/>
      <c r="K495" s="7"/>
      <c r="L495" s="7"/>
      <c r="M495" s="7"/>
      <c r="N495" t="str">
        <f>_xlfn.CONCAT(D495,"_",F495)</f>
        <v>5_D12</v>
      </c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5" customHeight="1">
      <c r="A496" s="21" t="s">
        <v>15</v>
      </c>
      <c r="B496" s="21" t="s">
        <v>16</v>
      </c>
      <c r="C496" s="22">
        <v>753477</v>
      </c>
      <c r="D496" s="23">
        <v>5</v>
      </c>
      <c r="E496" s="24"/>
      <c r="F496" s="21" t="s">
        <v>67</v>
      </c>
      <c r="G496" s="12">
        <v>93</v>
      </c>
      <c r="H496" s="7"/>
      <c r="I496" s="7"/>
      <c r="J496" s="7"/>
      <c r="K496" s="7"/>
      <c r="L496" s="7"/>
      <c r="M496" s="7"/>
      <c r="N496" t="str">
        <f>_xlfn.CONCAT(D496,"_",F496)</f>
        <v>5_E12</v>
      </c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5" customHeight="1">
      <c r="A497" s="21" t="s">
        <v>15</v>
      </c>
      <c r="B497" s="21" t="s">
        <v>16</v>
      </c>
      <c r="C497" s="22">
        <v>753478</v>
      </c>
      <c r="D497" s="23">
        <v>5</v>
      </c>
      <c r="E497" s="24"/>
      <c r="F497" s="21" t="s">
        <v>96</v>
      </c>
      <c r="G497" s="12">
        <v>94</v>
      </c>
      <c r="H497" s="7"/>
      <c r="I497" s="7"/>
      <c r="J497" s="7"/>
      <c r="K497" s="7"/>
      <c r="L497" s="7"/>
      <c r="M497" s="7"/>
      <c r="N497" t="str">
        <f>_xlfn.CONCAT(D497,"_",F497)</f>
        <v>5_F12</v>
      </c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5" customHeight="1">
      <c r="A498" s="21" t="s">
        <v>15</v>
      </c>
      <c r="B498" s="21" t="s">
        <v>16</v>
      </c>
      <c r="C498" s="22">
        <v>753484</v>
      </c>
      <c r="D498" s="23">
        <v>5</v>
      </c>
      <c r="E498" s="24"/>
      <c r="F498" s="21" t="s">
        <v>97</v>
      </c>
      <c r="G498" s="12">
        <v>95</v>
      </c>
      <c r="H498" s="7"/>
      <c r="I498" s="7"/>
      <c r="J498" s="7"/>
      <c r="K498" s="7"/>
      <c r="L498" s="7"/>
      <c r="M498" s="7"/>
      <c r="N498" t="str">
        <f>_xlfn.CONCAT(D498,"_",F498)</f>
        <v>5_G12</v>
      </c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5" customHeight="1">
      <c r="A499" s="21" t="s">
        <v>15</v>
      </c>
      <c r="B499" s="21" t="s">
        <v>16</v>
      </c>
      <c r="C499" s="22">
        <v>753485</v>
      </c>
      <c r="D499" s="23">
        <v>5</v>
      </c>
      <c r="E499" s="24"/>
      <c r="F499" s="21" t="s">
        <v>47</v>
      </c>
      <c r="G499" s="12">
        <v>96</v>
      </c>
      <c r="H499" s="7"/>
      <c r="I499" s="7"/>
      <c r="J499" s="7"/>
      <c r="K499" s="7"/>
      <c r="L499" s="7"/>
      <c r="M499" s="7"/>
      <c r="N499" t="str">
        <f>_xlfn.CONCAT(D499,"_",F499)</f>
        <v>5_H12</v>
      </c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5" customHeight="1">
      <c r="A500" s="21" t="s">
        <v>15</v>
      </c>
      <c r="B500" s="21" t="s">
        <v>16</v>
      </c>
      <c r="C500" s="22">
        <v>753479</v>
      </c>
      <c r="D500" s="23">
        <v>6</v>
      </c>
      <c r="E500" s="24"/>
      <c r="F500" s="21" t="s">
        <v>100</v>
      </c>
      <c r="G500" s="12" t="s">
        <v>215</v>
      </c>
      <c r="H500" s="7"/>
      <c r="I500" s="7"/>
      <c r="J500" s="7"/>
      <c r="K500" s="7"/>
      <c r="L500" s="7"/>
      <c r="M500" s="7"/>
      <c r="N500" t="str">
        <f>_xlfn.CONCAT(D500,"_",F500)</f>
        <v>6_A01</v>
      </c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5" customHeight="1">
      <c r="A501" s="21" t="s">
        <v>15</v>
      </c>
      <c r="B501" s="21" t="s">
        <v>16</v>
      </c>
      <c r="C501" s="22">
        <v>753480</v>
      </c>
      <c r="D501" s="23">
        <v>6</v>
      </c>
      <c r="E501" s="24"/>
      <c r="F501" s="21" t="s">
        <v>102</v>
      </c>
      <c r="G501" s="12" t="s">
        <v>216</v>
      </c>
      <c r="H501" s="7"/>
      <c r="I501" s="7"/>
      <c r="J501" s="7"/>
      <c r="K501" s="7"/>
      <c r="L501" s="7"/>
      <c r="M501" s="7"/>
      <c r="N501" t="str">
        <f>_xlfn.CONCAT(D501,"_",F501)</f>
        <v>6_B01</v>
      </c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5" customHeight="1">
      <c r="A502" s="21" t="s">
        <v>15</v>
      </c>
      <c r="B502" s="21" t="s">
        <v>16</v>
      </c>
      <c r="C502" s="22">
        <v>753481</v>
      </c>
      <c r="D502" s="23">
        <v>6</v>
      </c>
      <c r="E502" s="24"/>
      <c r="F502" s="21" t="s">
        <v>104</v>
      </c>
      <c r="G502" s="12" t="s">
        <v>217</v>
      </c>
      <c r="H502" s="7"/>
      <c r="I502" s="7"/>
      <c r="J502" s="7"/>
      <c r="K502" s="7"/>
      <c r="L502" s="7"/>
      <c r="M502" s="7"/>
      <c r="N502" t="str">
        <f>_xlfn.CONCAT(D502,"_",F502)</f>
        <v>6_C01</v>
      </c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5" customHeight="1">
      <c r="A503" s="21" t="s">
        <v>15</v>
      </c>
      <c r="B503" s="21" t="s">
        <v>16</v>
      </c>
      <c r="C503" s="22">
        <v>753482</v>
      </c>
      <c r="D503" s="23">
        <v>6</v>
      </c>
      <c r="E503" s="24"/>
      <c r="F503" s="21" t="s">
        <v>69</v>
      </c>
      <c r="G503" s="12" t="s">
        <v>70</v>
      </c>
      <c r="H503" s="7"/>
      <c r="I503" s="7"/>
      <c r="J503" s="7"/>
      <c r="K503" s="7"/>
      <c r="L503" s="7"/>
      <c r="M503" s="7"/>
      <c r="N503" t="str">
        <f>_xlfn.CONCAT(D503,"_",F503)</f>
        <v>6_D01</v>
      </c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5" customHeight="1">
      <c r="A504" s="21" t="s">
        <v>15</v>
      </c>
      <c r="B504" s="21" t="s">
        <v>16</v>
      </c>
      <c r="C504" s="22">
        <v>753483</v>
      </c>
      <c r="D504" s="23">
        <v>6</v>
      </c>
      <c r="E504" s="24"/>
      <c r="F504" s="21" t="s">
        <v>71</v>
      </c>
      <c r="G504" s="12" t="s">
        <v>72</v>
      </c>
      <c r="H504" s="7"/>
      <c r="I504" s="7"/>
      <c r="J504" s="7"/>
      <c r="K504" s="7"/>
      <c r="L504" s="7"/>
      <c r="M504" s="7"/>
      <c r="N504" t="str">
        <f>_xlfn.CONCAT(D504,"_",F504)</f>
        <v>6_E01</v>
      </c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5" customHeight="1">
      <c r="A505" s="21" t="s">
        <v>15</v>
      </c>
      <c r="B505" s="21" t="s">
        <v>16</v>
      </c>
      <c r="C505" s="22">
        <v>753780</v>
      </c>
      <c r="D505" s="23">
        <v>6</v>
      </c>
      <c r="E505" s="24"/>
      <c r="F505" s="21" t="s">
        <v>73</v>
      </c>
      <c r="G505" s="12" t="s">
        <v>74</v>
      </c>
      <c r="H505" s="7"/>
      <c r="I505" s="7"/>
      <c r="J505" s="7"/>
      <c r="K505" s="7"/>
      <c r="L505" s="7"/>
      <c r="M505" s="7"/>
      <c r="N505" t="str">
        <f>_xlfn.CONCAT(D505,"_",F505)</f>
        <v>6_F01</v>
      </c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5" customHeight="1">
      <c r="A506" s="21" t="s">
        <v>15</v>
      </c>
      <c r="B506" s="21" t="s">
        <v>16</v>
      </c>
      <c r="C506" s="22">
        <v>753781</v>
      </c>
      <c r="D506" s="23">
        <v>6</v>
      </c>
      <c r="E506" s="24"/>
      <c r="F506" s="21" t="s">
        <v>75</v>
      </c>
      <c r="G506" s="12" t="s">
        <v>76</v>
      </c>
      <c r="H506" s="7"/>
      <c r="I506" s="7"/>
      <c r="J506" s="7"/>
      <c r="K506" s="7"/>
      <c r="L506" s="7"/>
      <c r="M506" s="7"/>
      <c r="N506" t="str">
        <f>_xlfn.CONCAT(D506,"_",F506)</f>
        <v>6_G01</v>
      </c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5" customHeight="1">
      <c r="A507" s="21" t="s">
        <v>15</v>
      </c>
      <c r="B507" s="21" t="s">
        <v>16</v>
      </c>
      <c r="C507" s="22">
        <v>753782</v>
      </c>
      <c r="D507" s="23">
        <v>6</v>
      </c>
      <c r="E507" s="24"/>
      <c r="F507" s="21" t="s">
        <v>77</v>
      </c>
      <c r="G507" s="12" t="s">
        <v>78</v>
      </c>
      <c r="H507" s="7"/>
      <c r="I507" s="7"/>
      <c r="J507" s="7"/>
      <c r="K507" s="7"/>
      <c r="L507" s="7"/>
      <c r="M507" s="7"/>
      <c r="N507" t="str">
        <f>_xlfn.CONCAT(D507,"_",F507)</f>
        <v>6_H01</v>
      </c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5" customHeight="1">
      <c r="A508" s="21" t="s">
        <v>15</v>
      </c>
      <c r="B508" s="21" t="s">
        <v>16</v>
      </c>
      <c r="C508" s="22">
        <v>753783</v>
      </c>
      <c r="D508" s="23">
        <v>6</v>
      </c>
      <c r="E508" s="24"/>
      <c r="F508" s="21" t="s">
        <v>79</v>
      </c>
      <c r="G508" s="12" t="s">
        <v>80</v>
      </c>
      <c r="H508" s="7"/>
      <c r="I508" s="7"/>
      <c r="J508" s="7"/>
      <c r="K508" s="7"/>
      <c r="L508" s="7"/>
      <c r="M508" s="7"/>
      <c r="N508" t="str">
        <f>_xlfn.CONCAT(D508,"_",F508)</f>
        <v>6_A02</v>
      </c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5" customHeight="1">
      <c r="A509" s="21" t="s">
        <v>15</v>
      </c>
      <c r="B509" s="21" t="s">
        <v>16</v>
      </c>
      <c r="C509" s="22">
        <v>753784</v>
      </c>
      <c r="D509" s="23">
        <v>6</v>
      </c>
      <c r="E509" s="24"/>
      <c r="F509" s="21" t="s">
        <v>81</v>
      </c>
      <c r="G509" s="12">
        <v>10</v>
      </c>
      <c r="H509" s="7"/>
      <c r="I509" s="7"/>
      <c r="J509" s="7"/>
      <c r="K509" s="7"/>
      <c r="L509" s="7"/>
      <c r="M509" s="7"/>
      <c r="N509" t="str">
        <f>_xlfn.CONCAT(D509,"_",F509)</f>
        <v>6_B02</v>
      </c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5" customHeight="1">
      <c r="A510" s="21" t="s">
        <v>15</v>
      </c>
      <c r="B510" s="21" t="s">
        <v>16</v>
      </c>
      <c r="C510" s="22">
        <v>753792</v>
      </c>
      <c r="D510" s="23">
        <v>6</v>
      </c>
      <c r="E510" s="24"/>
      <c r="F510" s="21" t="s">
        <v>82</v>
      </c>
      <c r="G510" s="12">
        <v>11</v>
      </c>
      <c r="H510" s="7"/>
      <c r="I510" s="7"/>
      <c r="J510" s="7"/>
      <c r="K510" s="7"/>
      <c r="L510" s="7"/>
      <c r="M510" s="7"/>
      <c r="N510" t="str">
        <f>_xlfn.CONCAT(D510,"_",F510)</f>
        <v>6_C02</v>
      </c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5" customHeight="1">
      <c r="A511" s="21" t="s">
        <v>15</v>
      </c>
      <c r="B511" s="21" t="s">
        <v>16</v>
      </c>
      <c r="C511" s="22">
        <v>753791</v>
      </c>
      <c r="D511" s="23">
        <v>6</v>
      </c>
      <c r="E511" s="24"/>
      <c r="F511" s="21" t="s">
        <v>83</v>
      </c>
      <c r="G511" s="12">
        <v>12</v>
      </c>
      <c r="H511" s="7"/>
      <c r="I511" s="7"/>
      <c r="J511" s="7"/>
      <c r="K511" s="7"/>
      <c r="L511" s="7"/>
      <c r="M511" s="7"/>
      <c r="N511" t="str">
        <f>_xlfn.CONCAT(D511,"_",F511)</f>
        <v>6_D02</v>
      </c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5" customHeight="1">
      <c r="A512" s="21" t="s">
        <v>15</v>
      </c>
      <c r="B512" s="21" t="s">
        <v>16</v>
      </c>
      <c r="C512" s="22">
        <v>753790</v>
      </c>
      <c r="D512" s="23">
        <v>6</v>
      </c>
      <c r="E512" s="24"/>
      <c r="F512" s="21" t="s">
        <v>84</v>
      </c>
      <c r="G512" s="12">
        <v>13</v>
      </c>
      <c r="H512" s="7"/>
      <c r="I512" s="7"/>
      <c r="J512" s="7"/>
      <c r="K512" s="7"/>
      <c r="L512" s="7"/>
      <c r="M512" s="7"/>
      <c r="N512" t="str">
        <f>_xlfn.CONCAT(D512,"_",F512)</f>
        <v>6_E02</v>
      </c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5" customHeight="1">
      <c r="A513" s="21" t="s">
        <v>15</v>
      </c>
      <c r="B513" s="21" t="s">
        <v>16</v>
      </c>
      <c r="C513" s="22">
        <v>753789</v>
      </c>
      <c r="D513" s="23">
        <v>6</v>
      </c>
      <c r="E513" s="24"/>
      <c r="F513" s="21" t="s">
        <v>85</v>
      </c>
      <c r="G513" s="12">
        <v>14</v>
      </c>
      <c r="H513" s="7"/>
      <c r="I513" s="7"/>
      <c r="J513" s="7"/>
      <c r="K513" s="7"/>
      <c r="L513" s="7"/>
      <c r="M513" s="7"/>
      <c r="N513" t="str">
        <f>_xlfn.CONCAT(D513,"_",F513)</f>
        <v>6_F02</v>
      </c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5" customHeight="1">
      <c r="A514" s="21" t="s">
        <v>15</v>
      </c>
      <c r="B514" s="21" t="s">
        <v>16</v>
      </c>
      <c r="C514" s="22">
        <v>753788</v>
      </c>
      <c r="D514" s="23">
        <v>6</v>
      </c>
      <c r="E514" s="24"/>
      <c r="F514" s="21" t="s">
        <v>117</v>
      </c>
      <c r="G514" s="12">
        <v>15</v>
      </c>
      <c r="H514" s="7"/>
      <c r="I514" s="7"/>
      <c r="J514" s="7"/>
      <c r="K514" s="7"/>
      <c r="L514" s="7"/>
      <c r="M514" s="7"/>
      <c r="N514" t="str">
        <f>_xlfn.CONCAT(D514,"_",F514)</f>
        <v>6_G02</v>
      </c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5" customHeight="1">
      <c r="A515" s="21" t="s">
        <v>15</v>
      </c>
      <c r="B515" s="21" t="s">
        <v>16</v>
      </c>
      <c r="C515" s="22">
        <v>753785</v>
      </c>
      <c r="D515" s="23">
        <v>6</v>
      </c>
      <c r="E515" s="24"/>
      <c r="F515" s="21" t="s">
        <v>119</v>
      </c>
      <c r="G515" s="12">
        <v>16</v>
      </c>
      <c r="H515" s="7"/>
      <c r="I515" s="7"/>
      <c r="J515" s="7"/>
      <c r="K515" s="7"/>
      <c r="L515" s="7"/>
      <c r="M515" s="7"/>
      <c r="N515" t="str">
        <f>_xlfn.CONCAT(D515,"_",F515)</f>
        <v>6_H02</v>
      </c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5" customHeight="1">
      <c r="A516" s="21" t="s">
        <v>15</v>
      </c>
      <c r="B516" s="21" t="s">
        <v>16</v>
      </c>
      <c r="C516" s="22">
        <v>753786</v>
      </c>
      <c r="D516" s="23">
        <v>6</v>
      </c>
      <c r="E516" s="24"/>
      <c r="F516" s="21" t="s">
        <v>121</v>
      </c>
      <c r="G516" s="12">
        <v>17</v>
      </c>
      <c r="H516" s="7"/>
      <c r="I516" s="7"/>
      <c r="J516" s="7"/>
      <c r="K516" s="7"/>
      <c r="L516" s="7"/>
      <c r="M516" s="7"/>
      <c r="N516" t="str">
        <f>_xlfn.CONCAT(D516,"_",F516)</f>
        <v>6_A03</v>
      </c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5" customHeight="1">
      <c r="A517" s="21" t="s">
        <v>15</v>
      </c>
      <c r="B517" s="21" t="s">
        <v>16</v>
      </c>
      <c r="C517" s="22">
        <v>753787</v>
      </c>
      <c r="D517" s="23">
        <v>6</v>
      </c>
      <c r="E517" s="24"/>
      <c r="F517" s="21" t="s">
        <v>123</v>
      </c>
      <c r="G517" s="12">
        <v>18</v>
      </c>
      <c r="H517" s="7"/>
      <c r="I517" s="7"/>
      <c r="J517" s="7"/>
      <c r="K517" s="7"/>
      <c r="L517" s="7"/>
      <c r="M517" s="7"/>
      <c r="N517" t="str">
        <f>_xlfn.CONCAT(D517,"_",F517)</f>
        <v>6_B03</v>
      </c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5" customHeight="1">
      <c r="A518" s="21" t="s">
        <v>15</v>
      </c>
      <c r="B518" s="21" t="s">
        <v>16</v>
      </c>
      <c r="C518" s="22">
        <v>753793</v>
      </c>
      <c r="D518" s="23">
        <v>6</v>
      </c>
      <c r="E518" s="24"/>
      <c r="F518" s="21" t="s">
        <v>125</v>
      </c>
      <c r="G518" s="12">
        <v>19</v>
      </c>
      <c r="H518" s="7"/>
      <c r="I518" s="7"/>
      <c r="J518" s="7"/>
      <c r="K518" s="7"/>
      <c r="L518" s="7"/>
      <c r="M518" s="7"/>
      <c r="N518" t="str">
        <f>_xlfn.CONCAT(D518,"_",F518)</f>
        <v>6_C03</v>
      </c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5" customHeight="1">
      <c r="A519" s="21" t="s">
        <v>15</v>
      </c>
      <c r="B519" s="21" t="s">
        <v>16</v>
      </c>
      <c r="C519" s="22">
        <v>753794</v>
      </c>
      <c r="D519" s="23">
        <v>6</v>
      </c>
      <c r="E519" s="24"/>
      <c r="F519" s="21" t="s">
        <v>86</v>
      </c>
      <c r="G519" s="12">
        <v>20</v>
      </c>
      <c r="H519" s="7"/>
      <c r="I519" s="7"/>
      <c r="J519" s="7"/>
      <c r="K519" s="7"/>
      <c r="L519" s="7"/>
      <c r="M519" s="7"/>
      <c r="N519" t="str">
        <f>_xlfn.CONCAT(D519,"_",F519)</f>
        <v>6_D03</v>
      </c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5" customHeight="1">
      <c r="A520" s="21" t="s">
        <v>15</v>
      </c>
      <c r="B520" s="21" t="s">
        <v>16</v>
      </c>
      <c r="C520" s="22">
        <v>753795</v>
      </c>
      <c r="D520" s="23">
        <v>6</v>
      </c>
      <c r="E520" s="24"/>
      <c r="F520" s="21" t="s">
        <v>87</v>
      </c>
      <c r="G520" s="12">
        <v>21</v>
      </c>
      <c r="H520" s="7"/>
      <c r="I520" s="7"/>
      <c r="J520" s="7"/>
      <c r="K520" s="7"/>
      <c r="L520" s="7"/>
      <c r="M520" s="7"/>
      <c r="N520" t="str">
        <f>_xlfn.CONCAT(D520,"_",F520)</f>
        <v>6_E03</v>
      </c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5" customHeight="1">
      <c r="A521" s="21" t="s">
        <v>15</v>
      </c>
      <c r="B521" s="21" t="s">
        <v>16</v>
      </c>
      <c r="C521" s="22">
        <v>753811</v>
      </c>
      <c r="D521" s="23">
        <v>6</v>
      </c>
      <c r="E521" s="24"/>
      <c r="F521" s="21" t="s">
        <v>88</v>
      </c>
      <c r="G521" s="12">
        <v>22</v>
      </c>
      <c r="H521" s="7"/>
      <c r="I521" s="7"/>
      <c r="J521" s="7"/>
      <c r="K521" s="7"/>
      <c r="L521" s="7"/>
      <c r="M521" s="7"/>
      <c r="N521" t="str">
        <f>_xlfn.CONCAT(D521,"_",F521)</f>
        <v>6_F03</v>
      </c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5" customHeight="1">
      <c r="A522" s="21" t="s">
        <v>15</v>
      </c>
      <c r="B522" s="21" t="s">
        <v>16</v>
      </c>
      <c r="C522" s="22">
        <v>753810</v>
      </c>
      <c r="D522" s="23">
        <v>6</v>
      </c>
      <c r="E522" s="24"/>
      <c r="F522" s="21" t="s">
        <v>89</v>
      </c>
      <c r="G522" s="12">
        <v>23</v>
      </c>
      <c r="H522" s="7"/>
      <c r="I522" s="7"/>
      <c r="J522" s="7"/>
      <c r="K522" s="7"/>
      <c r="L522" s="7"/>
      <c r="M522" s="7"/>
      <c r="N522" t="str">
        <f>_xlfn.CONCAT(D522,"_",F522)</f>
        <v>6_G03</v>
      </c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5" customHeight="1">
      <c r="A523" s="21" t="s">
        <v>15</v>
      </c>
      <c r="B523" s="21" t="s">
        <v>16</v>
      </c>
      <c r="C523" s="22">
        <v>753809</v>
      </c>
      <c r="D523" s="23">
        <v>6</v>
      </c>
      <c r="E523" s="24"/>
      <c r="F523" s="21" t="s">
        <v>90</v>
      </c>
      <c r="G523" s="12">
        <v>24</v>
      </c>
      <c r="H523" s="7"/>
      <c r="I523" s="7"/>
      <c r="J523" s="7"/>
      <c r="K523" s="7"/>
      <c r="L523" s="7"/>
      <c r="M523" s="7"/>
      <c r="N523" t="str">
        <f>_xlfn.CONCAT(D523,"_",F523)</f>
        <v>6_H03</v>
      </c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5" customHeight="1">
      <c r="A524" s="21" t="s">
        <v>15</v>
      </c>
      <c r="B524" s="21" t="s">
        <v>16</v>
      </c>
      <c r="C524" s="22">
        <v>753803</v>
      </c>
      <c r="D524" s="23">
        <v>6</v>
      </c>
      <c r="E524" s="24"/>
      <c r="F524" s="21" t="s">
        <v>132</v>
      </c>
      <c r="G524" s="12">
        <v>25</v>
      </c>
      <c r="H524" s="7"/>
      <c r="I524" s="7"/>
      <c r="J524" s="7"/>
      <c r="K524" s="7"/>
      <c r="L524" s="7"/>
      <c r="M524" s="7"/>
      <c r="N524" t="str">
        <f>_xlfn.CONCAT(D524,"_",F524)</f>
        <v>6_A04</v>
      </c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5" customHeight="1">
      <c r="A525" s="21" t="s">
        <v>15</v>
      </c>
      <c r="B525" s="21" t="s">
        <v>16</v>
      </c>
      <c r="C525" s="22">
        <v>753801</v>
      </c>
      <c r="D525" s="23">
        <v>6</v>
      </c>
      <c r="E525" s="24"/>
      <c r="F525" s="21" t="s">
        <v>134</v>
      </c>
      <c r="G525" s="12">
        <v>26</v>
      </c>
      <c r="H525" s="7"/>
      <c r="I525" s="7"/>
      <c r="J525" s="7"/>
      <c r="K525" s="7"/>
      <c r="L525" s="7"/>
      <c r="M525" s="7"/>
      <c r="N525" t="str">
        <f>_xlfn.CONCAT(D525,"_",F525)</f>
        <v>6_B04</v>
      </c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5" customHeight="1">
      <c r="A526" s="21" t="s">
        <v>15</v>
      </c>
      <c r="B526" s="21" t="s">
        <v>16</v>
      </c>
      <c r="C526" s="22">
        <v>753802</v>
      </c>
      <c r="D526" s="23">
        <v>6</v>
      </c>
      <c r="E526" s="24"/>
      <c r="F526" s="21" t="s">
        <v>136</v>
      </c>
      <c r="G526" s="12">
        <v>27</v>
      </c>
      <c r="H526" s="7"/>
      <c r="I526" s="7"/>
      <c r="J526" s="7"/>
      <c r="K526" s="7"/>
      <c r="L526" s="7"/>
      <c r="M526" s="7"/>
      <c r="N526" t="str">
        <f>_xlfn.CONCAT(D526,"_",F526)</f>
        <v>6_C04</v>
      </c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5" customHeight="1">
      <c r="A527" s="21" t="s">
        <v>15</v>
      </c>
      <c r="B527" s="21" t="s">
        <v>16</v>
      </c>
      <c r="C527" s="22">
        <v>753796</v>
      </c>
      <c r="D527" s="23">
        <v>6</v>
      </c>
      <c r="E527" s="24"/>
      <c r="F527" s="21" t="s">
        <v>138</v>
      </c>
      <c r="G527" s="12">
        <v>28</v>
      </c>
      <c r="H527" s="7"/>
      <c r="I527" s="7"/>
      <c r="J527" s="7"/>
      <c r="K527" s="7"/>
      <c r="L527" s="7"/>
      <c r="M527" s="7"/>
      <c r="N527" t="str">
        <f>_xlfn.CONCAT(D527,"_",F527)</f>
        <v>6_D04</v>
      </c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5" customHeight="1">
      <c r="A528" s="21" t="s">
        <v>15</v>
      </c>
      <c r="B528" s="21" t="s">
        <v>16</v>
      </c>
      <c r="C528" s="22">
        <v>753797</v>
      </c>
      <c r="D528" s="23">
        <v>6</v>
      </c>
      <c r="E528" s="24"/>
      <c r="F528" s="21" t="s">
        <v>140</v>
      </c>
      <c r="G528" s="12">
        <v>29</v>
      </c>
      <c r="H528" s="7"/>
      <c r="I528" s="7"/>
      <c r="J528" s="7"/>
      <c r="K528" s="7"/>
      <c r="L528" s="7"/>
      <c r="M528" s="7"/>
      <c r="N528" t="str">
        <f>_xlfn.CONCAT(D528,"_",F528)</f>
        <v>6_E04</v>
      </c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5" customHeight="1">
      <c r="A529" s="21" t="s">
        <v>15</v>
      </c>
      <c r="B529" s="21" t="s">
        <v>16</v>
      </c>
      <c r="C529" s="22">
        <v>753798</v>
      </c>
      <c r="D529" s="23">
        <v>6</v>
      </c>
      <c r="E529" s="24"/>
      <c r="F529" s="21" t="s">
        <v>142</v>
      </c>
      <c r="G529" s="12">
        <v>30</v>
      </c>
      <c r="H529" s="7"/>
      <c r="I529" s="7"/>
      <c r="J529" s="7"/>
      <c r="K529" s="7"/>
      <c r="L529" s="7"/>
      <c r="M529" s="7"/>
      <c r="N529" t="str">
        <f>_xlfn.CONCAT(D529,"_",F529)</f>
        <v>6_F04</v>
      </c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5" customHeight="1">
      <c r="A530" s="21" t="s">
        <v>15</v>
      </c>
      <c r="B530" s="21" t="s">
        <v>16</v>
      </c>
      <c r="C530" s="22">
        <v>753799</v>
      </c>
      <c r="D530" s="23">
        <v>6</v>
      </c>
      <c r="E530" s="24"/>
      <c r="F530" s="21" t="s">
        <v>144</v>
      </c>
      <c r="G530" s="12">
        <v>31</v>
      </c>
      <c r="H530" s="7"/>
      <c r="I530" s="7"/>
      <c r="J530" s="7"/>
      <c r="K530" s="7"/>
      <c r="L530" s="7"/>
      <c r="M530" s="7"/>
      <c r="N530" t="str">
        <f>_xlfn.CONCAT(D530,"_",F530)</f>
        <v>6_G04</v>
      </c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5" customHeight="1">
      <c r="A531" s="21" t="s">
        <v>15</v>
      </c>
      <c r="B531" s="21" t="s">
        <v>16</v>
      </c>
      <c r="C531" s="22">
        <v>753800</v>
      </c>
      <c r="D531" s="23">
        <v>6</v>
      </c>
      <c r="E531" s="24"/>
      <c r="F531" s="21" t="s">
        <v>146</v>
      </c>
      <c r="G531" s="12">
        <v>32</v>
      </c>
      <c r="H531" s="7"/>
      <c r="I531" s="7"/>
      <c r="J531" s="7"/>
      <c r="K531" s="7"/>
      <c r="L531" s="7"/>
      <c r="M531" s="7"/>
      <c r="N531" t="str">
        <f>_xlfn.CONCAT(D531,"_",F531)</f>
        <v>6_H04</v>
      </c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5" customHeight="1">
      <c r="A532" s="21" t="s">
        <v>15</v>
      </c>
      <c r="B532" s="21" t="s">
        <v>16</v>
      </c>
      <c r="C532" s="22">
        <v>753804</v>
      </c>
      <c r="D532" s="23">
        <v>6</v>
      </c>
      <c r="E532" s="24"/>
      <c r="F532" s="21" t="s">
        <v>148</v>
      </c>
      <c r="G532" s="12">
        <v>33</v>
      </c>
      <c r="H532" s="7"/>
      <c r="I532" s="7"/>
      <c r="J532" s="7"/>
      <c r="K532" s="7"/>
      <c r="L532" s="7"/>
      <c r="M532" s="7"/>
      <c r="N532" t="str">
        <f>_xlfn.CONCAT(D532,"_",F532)</f>
        <v>6_A05</v>
      </c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5" customHeight="1">
      <c r="A533" s="21" t="s">
        <v>15</v>
      </c>
      <c r="B533" s="21" t="s">
        <v>16</v>
      </c>
      <c r="C533" s="22">
        <v>753807</v>
      </c>
      <c r="D533" s="23">
        <v>6</v>
      </c>
      <c r="E533" s="24"/>
      <c r="F533" s="21" t="s">
        <v>150</v>
      </c>
      <c r="G533" s="12">
        <v>34</v>
      </c>
      <c r="H533" s="7"/>
      <c r="I533" s="7"/>
      <c r="J533" s="7"/>
      <c r="K533" s="7"/>
      <c r="L533" s="7"/>
      <c r="M533" s="7"/>
      <c r="N533" t="str">
        <f>_xlfn.CONCAT(D533,"_",F533)</f>
        <v>6_B05</v>
      </c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5" customHeight="1">
      <c r="A534" s="21" t="s">
        <v>15</v>
      </c>
      <c r="B534" s="21" t="s">
        <v>16</v>
      </c>
      <c r="C534" s="22">
        <v>753805</v>
      </c>
      <c r="D534" s="23">
        <v>6</v>
      </c>
      <c r="E534" s="24"/>
      <c r="F534" s="21" t="s">
        <v>13</v>
      </c>
      <c r="G534" s="12">
        <v>35</v>
      </c>
      <c r="H534" s="7"/>
      <c r="I534" s="7"/>
      <c r="J534" s="7"/>
      <c r="K534" s="7"/>
      <c r="L534" s="7"/>
      <c r="M534" s="7"/>
      <c r="N534" t="str">
        <f>_xlfn.CONCAT(D534,"_",F534)</f>
        <v>6_C05</v>
      </c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5" customHeight="1">
      <c r="A535" s="21" t="s">
        <v>15</v>
      </c>
      <c r="B535" s="21" t="s">
        <v>16</v>
      </c>
      <c r="C535" s="22">
        <v>753808</v>
      </c>
      <c r="D535" s="23">
        <v>6</v>
      </c>
      <c r="E535" s="24"/>
      <c r="F535" s="21" t="s">
        <v>17</v>
      </c>
      <c r="G535" s="12">
        <v>36</v>
      </c>
      <c r="H535" s="7"/>
      <c r="I535" s="7"/>
      <c r="J535" s="7"/>
      <c r="K535" s="7"/>
      <c r="L535" s="7"/>
      <c r="M535" s="7"/>
      <c r="N535" t="str">
        <f>_xlfn.CONCAT(D535,"_",F535)</f>
        <v>6_D05</v>
      </c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5" customHeight="1">
      <c r="A536" s="21" t="s">
        <v>15</v>
      </c>
      <c r="B536" s="21" t="s">
        <v>16</v>
      </c>
      <c r="C536" s="22">
        <v>753806</v>
      </c>
      <c r="D536" s="23">
        <v>6</v>
      </c>
      <c r="E536" s="24"/>
      <c r="F536" s="21" t="s">
        <v>19</v>
      </c>
      <c r="G536" s="12">
        <v>37</v>
      </c>
      <c r="H536" s="7"/>
      <c r="I536" s="7"/>
      <c r="J536" s="7"/>
      <c r="K536" s="7"/>
      <c r="L536" s="7"/>
      <c r="M536" s="7"/>
      <c r="N536" t="str">
        <f>_xlfn.CONCAT(D536,"_",F536)</f>
        <v>6_E05</v>
      </c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5" customHeight="1">
      <c r="A537" s="21" t="s">
        <v>15</v>
      </c>
      <c r="B537" s="21" t="s">
        <v>16</v>
      </c>
      <c r="C537" s="22">
        <v>753812</v>
      </c>
      <c r="D537" s="23">
        <v>6</v>
      </c>
      <c r="E537" s="24"/>
      <c r="F537" s="21" t="s">
        <v>21</v>
      </c>
      <c r="G537" s="12">
        <v>38</v>
      </c>
      <c r="H537" s="7"/>
      <c r="I537" s="7"/>
      <c r="J537" s="7"/>
      <c r="K537" s="7"/>
      <c r="L537" s="7"/>
      <c r="M537" s="7"/>
      <c r="N537" t="str">
        <f>_xlfn.CONCAT(D537,"_",F537)</f>
        <v>6_F05</v>
      </c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5" customHeight="1">
      <c r="A538" s="21" t="s">
        <v>15</v>
      </c>
      <c r="B538" s="21" t="s">
        <v>16</v>
      </c>
      <c r="C538" s="22">
        <v>753813</v>
      </c>
      <c r="D538" s="23">
        <v>6</v>
      </c>
      <c r="E538" s="24"/>
      <c r="F538" s="21" t="s">
        <v>152</v>
      </c>
      <c r="G538" s="12">
        <v>39</v>
      </c>
      <c r="H538" s="7"/>
      <c r="I538" s="7"/>
      <c r="J538" s="7"/>
      <c r="K538" s="7"/>
      <c r="L538" s="7"/>
      <c r="M538" s="7"/>
      <c r="N538" t="str">
        <f>_xlfn.CONCAT(D538,"_",F538)</f>
        <v>6_G05</v>
      </c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5" customHeight="1">
      <c r="A539" s="21" t="s">
        <v>15</v>
      </c>
      <c r="B539" s="21" t="s">
        <v>16</v>
      </c>
      <c r="C539" s="22">
        <v>753814</v>
      </c>
      <c r="D539" s="23">
        <v>6</v>
      </c>
      <c r="E539" s="24"/>
      <c r="F539" s="21" t="s">
        <v>154</v>
      </c>
      <c r="G539" s="12">
        <v>40</v>
      </c>
      <c r="H539" s="7"/>
      <c r="I539" s="7"/>
      <c r="J539" s="7"/>
      <c r="K539" s="7"/>
      <c r="L539" s="7"/>
      <c r="M539" s="7"/>
      <c r="N539" t="str">
        <f>_xlfn.CONCAT(D539,"_",F539)</f>
        <v>6_H05</v>
      </c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5" customHeight="1">
      <c r="A540" s="21" t="s">
        <v>15</v>
      </c>
      <c r="B540" s="21" t="s">
        <v>16</v>
      </c>
      <c r="C540" s="22">
        <v>753815</v>
      </c>
      <c r="D540" s="23">
        <v>6</v>
      </c>
      <c r="E540" s="24"/>
      <c r="F540" s="21" t="s">
        <v>156</v>
      </c>
      <c r="G540" s="12">
        <v>41</v>
      </c>
      <c r="H540" s="7"/>
      <c r="I540" s="7"/>
      <c r="J540" s="7"/>
      <c r="K540" s="7"/>
      <c r="L540" s="7"/>
      <c r="M540" s="7"/>
      <c r="N540" t="str">
        <f>_xlfn.CONCAT(D540,"_",F540)</f>
        <v>6_A06</v>
      </c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5" customHeight="1">
      <c r="A541" s="21" t="s">
        <v>15</v>
      </c>
      <c r="B541" s="21" t="s">
        <v>16</v>
      </c>
      <c r="C541" s="22">
        <v>753816</v>
      </c>
      <c r="D541" s="23">
        <v>6</v>
      </c>
      <c r="E541" s="24"/>
      <c r="F541" s="21" t="s">
        <v>158</v>
      </c>
      <c r="G541" s="12">
        <v>42</v>
      </c>
      <c r="H541" s="7"/>
      <c r="I541" s="7"/>
      <c r="J541" s="7"/>
      <c r="K541" s="7"/>
      <c r="L541" s="7"/>
      <c r="M541" s="7"/>
      <c r="N541" t="str">
        <f>_xlfn.CONCAT(D541,"_",F541)</f>
        <v>6_B06</v>
      </c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5" customHeight="1">
      <c r="A542" s="21" t="s">
        <v>15</v>
      </c>
      <c r="B542" s="21" t="s">
        <v>16</v>
      </c>
      <c r="C542" s="22">
        <v>753835</v>
      </c>
      <c r="D542" s="23">
        <v>6</v>
      </c>
      <c r="E542" s="24"/>
      <c r="F542" s="21" t="s">
        <v>160</v>
      </c>
      <c r="G542" s="12">
        <v>43</v>
      </c>
      <c r="H542" s="7"/>
      <c r="I542" s="7"/>
      <c r="J542" s="7"/>
      <c r="K542" s="7"/>
      <c r="L542" s="7"/>
      <c r="M542" s="7"/>
      <c r="N542" t="str">
        <f>_xlfn.CONCAT(D542,"_",F542)</f>
        <v>6_C06</v>
      </c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5" customHeight="1">
      <c r="A543" s="21" t="s">
        <v>15</v>
      </c>
      <c r="B543" s="21" t="s">
        <v>16</v>
      </c>
      <c r="C543" s="22">
        <v>753834</v>
      </c>
      <c r="D543" s="23">
        <v>6</v>
      </c>
      <c r="E543" s="24"/>
      <c r="F543" s="21" t="s">
        <v>23</v>
      </c>
      <c r="G543" s="12">
        <v>44</v>
      </c>
      <c r="H543" s="7"/>
      <c r="I543" s="7"/>
      <c r="J543" s="7"/>
      <c r="K543" s="7"/>
      <c r="L543" s="7"/>
      <c r="M543" s="7"/>
      <c r="N543" t="str">
        <f>_xlfn.CONCAT(D543,"_",F543)</f>
        <v>6_D06</v>
      </c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5" customHeight="1">
      <c r="A544" s="21" t="s">
        <v>15</v>
      </c>
      <c r="B544" s="21" t="s">
        <v>16</v>
      </c>
      <c r="C544" s="22">
        <v>753833</v>
      </c>
      <c r="D544" s="23">
        <v>6</v>
      </c>
      <c r="E544" s="24"/>
      <c r="F544" s="21" t="s">
        <v>25</v>
      </c>
      <c r="G544" s="12">
        <v>45</v>
      </c>
      <c r="H544" s="7"/>
      <c r="I544" s="7"/>
      <c r="J544" s="7"/>
      <c r="K544" s="7"/>
      <c r="L544" s="7"/>
      <c r="M544" s="7"/>
      <c r="N544" t="str">
        <f>_xlfn.CONCAT(D544,"_",F544)</f>
        <v>6_E06</v>
      </c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5" customHeight="1">
      <c r="A545" s="21" t="s">
        <v>15</v>
      </c>
      <c r="B545" s="21" t="s">
        <v>16</v>
      </c>
      <c r="C545" s="22">
        <v>753817</v>
      </c>
      <c r="D545" s="23">
        <v>6</v>
      </c>
      <c r="E545" s="24"/>
      <c r="F545" s="21" t="s">
        <v>27</v>
      </c>
      <c r="G545" s="12">
        <v>46</v>
      </c>
      <c r="H545" s="7"/>
      <c r="I545" s="7"/>
      <c r="J545" s="7"/>
      <c r="K545" s="7"/>
      <c r="L545" s="7"/>
      <c r="M545" s="7"/>
      <c r="N545" t="str">
        <f>_xlfn.CONCAT(D545,"_",F545)</f>
        <v>6_F06</v>
      </c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5" customHeight="1">
      <c r="A546" s="21" t="s">
        <v>15</v>
      </c>
      <c r="B546" s="21" t="s">
        <v>16</v>
      </c>
      <c r="C546" s="22">
        <v>753818</v>
      </c>
      <c r="D546" s="23">
        <v>6</v>
      </c>
      <c r="E546" s="24"/>
      <c r="F546" s="21" t="s">
        <v>162</v>
      </c>
      <c r="G546" s="12">
        <v>47</v>
      </c>
      <c r="H546" s="7"/>
      <c r="I546" s="7"/>
      <c r="J546" s="7"/>
      <c r="K546" s="7"/>
      <c r="L546" s="7"/>
      <c r="M546" s="7"/>
      <c r="N546" t="str">
        <f>_xlfn.CONCAT(D546,"_",F546)</f>
        <v>6_G06</v>
      </c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5" customHeight="1">
      <c r="A547" s="21" t="s">
        <v>15</v>
      </c>
      <c r="B547" s="21" t="s">
        <v>16</v>
      </c>
      <c r="C547" s="22">
        <v>753819</v>
      </c>
      <c r="D547" s="23">
        <v>6</v>
      </c>
      <c r="E547" s="24"/>
      <c r="F547" s="21" t="s">
        <v>164</v>
      </c>
      <c r="G547" s="12">
        <v>48</v>
      </c>
      <c r="H547" s="7"/>
      <c r="I547" s="7"/>
      <c r="J547" s="7"/>
      <c r="K547" s="7"/>
      <c r="L547" s="7"/>
      <c r="M547" s="7"/>
      <c r="N547" t="str">
        <f>_xlfn.CONCAT(D547,"_",F547)</f>
        <v>6_H06</v>
      </c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5" customHeight="1">
      <c r="A548" s="21" t="s">
        <v>15</v>
      </c>
      <c r="B548" s="21" t="s">
        <v>16</v>
      </c>
      <c r="C548" s="22">
        <v>753825</v>
      </c>
      <c r="D548" s="23">
        <v>6</v>
      </c>
      <c r="E548" s="24"/>
      <c r="F548" s="21" t="s">
        <v>166</v>
      </c>
      <c r="G548" s="12">
        <v>49</v>
      </c>
      <c r="H548" s="7"/>
      <c r="I548" s="7"/>
      <c r="J548" s="7"/>
      <c r="K548" s="7"/>
      <c r="L548" s="7"/>
      <c r="M548" s="7"/>
      <c r="N548" t="str">
        <f>_xlfn.CONCAT(D548,"_",F548)</f>
        <v>6_A07</v>
      </c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5" customHeight="1">
      <c r="A549" s="21" t="s">
        <v>15</v>
      </c>
      <c r="B549" s="21" t="s">
        <v>16</v>
      </c>
      <c r="C549" s="22">
        <v>753826</v>
      </c>
      <c r="D549" s="23">
        <v>6</v>
      </c>
      <c r="E549" s="24"/>
      <c r="F549" s="21" t="s">
        <v>168</v>
      </c>
      <c r="G549" s="12">
        <v>50</v>
      </c>
      <c r="H549" s="7"/>
      <c r="I549" s="7"/>
      <c r="J549" s="7"/>
      <c r="K549" s="7"/>
      <c r="L549" s="7"/>
      <c r="M549" s="7"/>
      <c r="N549" t="str">
        <f>_xlfn.CONCAT(D549,"_",F549)</f>
        <v>6_B07</v>
      </c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5" customHeight="1">
      <c r="A550" s="21" t="s">
        <v>15</v>
      </c>
      <c r="B550" s="21" t="s">
        <v>16</v>
      </c>
      <c r="C550" s="22">
        <v>753827</v>
      </c>
      <c r="D550" s="23">
        <v>6</v>
      </c>
      <c r="E550" s="24"/>
      <c r="F550" s="21" t="s">
        <v>43</v>
      </c>
      <c r="G550" s="12">
        <v>51</v>
      </c>
      <c r="H550" s="7"/>
      <c r="I550" s="7"/>
      <c r="J550" s="7"/>
      <c r="K550" s="7"/>
      <c r="L550" s="7"/>
      <c r="M550" s="7"/>
      <c r="N550" t="str">
        <f>_xlfn.CONCAT(D550,"_",F550)</f>
        <v>6_C07</v>
      </c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5" customHeight="1">
      <c r="A551" s="21" t="s">
        <v>15</v>
      </c>
      <c r="B551" s="21" t="s">
        <v>16</v>
      </c>
      <c r="C551" s="22">
        <v>753828</v>
      </c>
      <c r="D551" s="23">
        <v>6</v>
      </c>
      <c r="E551" s="24"/>
      <c r="F551" s="21" t="s">
        <v>45</v>
      </c>
      <c r="G551" s="12">
        <v>52</v>
      </c>
      <c r="H551" s="7"/>
      <c r="I551" s="7"/>
      <c r="J551" s="7"/>
      <c r="K551" s="7"/>
      <c r="L551" s="7"/>
      <c r="M551" s="7"/>
      <c r="N551" t="str">
        <f>_xlfn.CONCAT(D551,"_",F551)</f>
        <v>6_D07</v>
      </c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5" customHeight="1">
      <c r="A552" s="21" t="s">
        <v>15</v>
      </c>
      <c r="B552" s="21" t="s">
        <v>16</v>
      </c>
      <c r="C552" s="22">
        <v>753829</v>
      </c>
      <c r="D552" s="23">
        <v>6</v>
      </c>
      <c r="E552" s="24"/>
      <c r="F552" s="21" t="s">
        <v>170</v>
      </c>
      <c r="G552" s="12">
        <v>53</v>
      </c>
      <c r="H552" s="7"/>
      <c r="I552" s="7"/>
      <c r="J552" s="7"/>
      <c r="K552" s="7"/>
      <c r="L552" s="7"/>
      <c r="M552" s="7"/>
      <c r="N552" t="str">
        <f>_xlfn.CONCAT(D552,"_",F552)</f>
        <v>6_E07</v>
      </c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5" customHeight="1">
      <c r="A553" s="21" t="s">
        <v>15</v>
      </c>
      <c r="B553" s="21" t="s">
        <v>16</v>
      </c>
      <c r="C553" s="22">
        <v>753830</v>
      </c>
      <c r="D553" s="23">
        <v>6</v>
      </c>
      <c r="E553" s="24"/>
      <c r="F553" s="21" t="s">
        <v>29</v>
      </c>
      <c r="G553" s="12">
        <v>54</v>
      </c>
      <c r="H553" s="7"/>
      <c r="I553" s="7"/>
      <c r="J553" s="7"/>
      <c r="K553" s="7"/>
      <c r="L553" s="7"/>
      <c r="M553" s="7"/>
      <c r="N553" t="str">
        <f>_xlfn.CONCAT(D553,"_",F553)</f>
        <v>6_F07</v>
      </c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5" customHeight="1">
      <c r="A554" s="21" t="s">
        <v>15</v>
      </c>
      <c r="B554" s="21" t="s">
        <v>16</v>
      </c>
      <c r="C554" s="22">
        <v>753831</v>
      </c>
      <c r="D554" s="23">
        <v>6</v>
      </c>
      <c r="E554" s="24"/>
      <c r="F554" s="21" t="s">
        <v>31</v>
      </c>
      <c r="G554" s="12">
        <v>55</v>
      </c>
      <c r="H554" s="7"/>
      <c r="I554" s="7"/>
      <c r="J554" s="7"/>
      <c r="K554" s="7"/>
      <c r="L554" s="7"/>
      <c r="M554" s="7"/>
      <c r="N554" t="str">
        <f>_xlfn.CONCAT(D554,"_",F554)</f>
        <v>6_G07</v>
      </c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5" customHeight="1">
      <c r="A555" s="21" t="s">
        <v>15</v>
      </c>
      <c r="B555" s="21" t="s">
        <v>16</v>
      </c>
      <c r="C555" s="22">
        <v>753832</v>
      </c>
      <c r="D555" s="23">
        <v>6</v>
      </c>
      <c r="E555" s="24"/>
      <c r="F555" s="21" t="s">
        <v>33</v>
      </c>
      <c r="G555" s="12">
        <v>56</v>
      </c>
      <c r="H555" s="7"/>
      <c r="I555" s="7"/>
      <c r="J555" s="7"/>
      <c r="K555" s="7"/>
      <c r="L555" s="7"/>
      <c r="M555" s="7"/>
      <c r="N555" t="str">
        <f>_xlfn.CONCAT(D555,"_",F555)</f>
        <v>6_H07</v>
      </c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5" customHeight="1">
      <c r="A556" s="21" t="s">
        <v>15</v>
      </c>
      <c r="B556" s="21" t="s">
        <v>16</v>
      </c>
      <c r="C556" s="22">
        <v>753841</v>
      </c>
      <c r="D556" s="23">
        <v>6</v>
      </c>
      <c r="E556" s="24"/>
      <c r="F556" s="21" t="s">
        <v>35</v>
      </c>
      <c r="G556" s="12">
        <v>57</v>
      </c>
      <c r="H556" s="7"/>
      <c r="I556" s="7"/>
      <c r="J556" s="7"/>
      <c r="K556" s="7"/>
      <c r="L556" s="7"/>
      <c r="M556" s="7"/>
      <c r="N556" t="str">
        <f>_xlfn.CONCAT(D556,"_",F556)</f>
        <v>6_A08</v>
      </c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5" customHeight="1">
      <c r="A557" s="21" t="s">
        <v>15</v>
      </c>
      <c r="B557" s="21" t="s">
        <v>16</v>
      </c>
      <c r="C557" s="22">
        <v>753842</v>
      </c>
      <c r="D557" s="23">
        <v>6</v>
      </c>
      <c r="E557" s="24"/>
      <c r="F557" s="21" t="s">
        <v>37</v>
      </c>
      <c r="G557" s="12">
        <v>58</v>
      </c>
      <c r="H557" s="7"/>
      <c r="I557" s="7"/>
      <c r="J557" s="7"/>
      <c r="K557" s="7"/>
      <c r="L557" s="7"/>
      <c r="M557" s="7"/>
      <c r="N557" t="str">
        <f>_xlfn.CONCAT(D557,"_",F557)</f>
        <v>6_B08</v>
      </c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5" customHeight="1">
      <c r="A558" s="21" t="s">
        <v>15</v>
      </c>
      <c r="B558" s="21" t="s">
        <v>16</v>
      </c>
      <c r="C558" s="22">
        <v>753843</v>
      </c>
      <c r="D558" s="23">
        <v>6</v>
      </c>
      <c r="E558" s="24"/>
      <c r="F558" s="21" t="s">
        <v>172</v>
      </c>
      <c r="G558" s="12">
        <v>59</v>
      </c>
      <c r="H558" s="7"/>
      <c r="I558" s="7"/>
      <c r="J558" s="7"/>
      <c r="K558" s="7"/>
      <c r="L558" s="7"/>
      <c r="M558" s="7"/>
      <c r="N558" t="str">
        <f>_xlfn.CONCAT(D558,"_",F558)</f>
        <v>6_C08</v>
      </c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5" customHeight="1">
      <c r="A559" s="21" t="s">
        <v>15</v>
      </c>
      <c r="B559" s="21" t="s">
        <v>16</v>
      </c>
      <c r="C559" s="22">
        <v>753849</v>
      </c>
      <c r="D559" s="23">
        <v>6</v>
      </c>
      <c r="E559" s="24"/>
      <c r="F559" s="21" t="s">
        <v>174</v>
      </c>
      <c r="G559" s="12">
        <v>60</v>
      </c>
      <c r="H559" s="7"/>
      <c r="I559" s="7"/>
      <c r="J559" s="7"/>
      <c r="K559" s="7"/>
      <c r="L559" s="7"/>
      <c r="M559" s="7"/>
      <c r="N559" t="str">
        <f>_xlfn.CONCAT(D559,"_",F559)</f>
        <v>6_D08</v>
      </c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5" customHeight="1">
      <c r="A560" s="21" t="s">
        <v>15</v>
      </c>
      <c r="B560" s="21" t="s">
        <v>16</v>
      </c>
      <c r="C560" s="22">
        <v>753850</v>
      </c>
      <c r="D560" s="23">
        <v>6</v>
      </c>
      <c r="E560" s="24"/>
      <c r="F560" s="21" t="s">
        <v>176</v>
      </c>
      <c r="G560" s="12">
        <v>61</v>
      </c>
      <c r="H560" s="7"/>
      <c r="I560" s="7"/>
      <c r="J560" s="7"/>
      <c r="K560" s="7"/>
      <c r="L560" s="7"/>
      <c r="M560" s="7"/>
      <c r="N560" t="str">
        <f>_xlfn.CONCAT(D560,"_",F560)</f>
        <v>6_E08</v>
      </c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5" customHeight="1">
      <c r="A561" s="21" t="s">
        <v>15</v>
      </c>
      <c r="B561" s="21" t="s">
        <v>16</v>
      </c>
      <c r="C561" s="22">
        <v>753851</v>
      </c>
      <c r="D561" s="23">
        <v>6</v>
      </c>
      <c r="E561" s="24"/>
      <c r="F561" s="21" t="s">
        <v>178</v>
      </c>
      <c r="G561" s="12">
        <v>62</v>
      </c>
      <c r="H561" s="7"/>
      <c r="I561" s="7"/>
      <c r="J561" s="7"/>
      <c r="K561" s="7"/>
      <c r="L561" s="7"/>
      <c r="M561" s="7"/>
      <c r="N561" t="str">
        <f>_xlfn.CONCAT(D561,"_",F561)</f>
        <v>6_F08</v>
      </c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5" customHeight="1">
      <c r="A562" s="21" t="s">
        <v>15</v>
      </c>
      <c r="B562" s="21" t="s">
        <v>16</v>
      </c>
      <c r="C562" s="22">
        <v>753844</v>
      </c>
      <c r="D562" s="23">
        <v>6</v>
      </c>
      <c r="E562" s="24"/>
      <c r="F562" s="21" t="s">
        <v>180</v>
      </c>
      <c r="G562" s="12">
        <v>63</v>
      </c>
      <c r="H562" s="7"/>
      <c r="I562" s="7"/>
      <c r="J562" s="7"/>
      <c r="K562" s="7"/>
      <c r="L562" s="7"/>
      <c r="M562" s="7"/>
      <c r="N562" t="str">
        <f>_xlfn.CONCAT(D562,"_",F562)</f>
        <v>6_G08</v>
      </c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5" customHeight="1">
      <c r="A563" s="21" t="s">
        <v>15</v>
      </c>
      <c r="B563" s="21" t="s">
        <v>16</v>
      </c>
      <c r="C563" s="22">
        <v>753845</v>
      </c>
      <c r="D563" s="23">
        <v>6</v>
      </c>
      <c r="E563" s="24"/>
      <c r="F563" s="21" t="s">
        <v>182</v>
      </c>
      <c r="G563" s="12">
        <v>64</v>
      </c>
      <c r="H563" s="7"/>
      <c r="I563" s="7"/>
      <c r="J563" s="7"/>
      <c r="K563" s="7"/>
      <c r="L563" s="7"/>
      <c r="M563" s="7"/>
      <c r="N563" t="str">
        <f>_xlfn.CONCAT(D563,"_",F563)</f>
        <v>6_H08</v>
      </c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5" customHeight="1">
      <c r="A564" s="21" t="s">
        <v>15</v>
      </c>
      <c r="B564" s="21" t="s">
        <v>16</v>
      </c>
      <c r="C564" s="22">
        <v>753846</v>
      </c>
      <c r="D564" s="23">
        <v>6</v>
      </c>
      <c r="E564" s="24"/>
      <c r="F564" s="21" t="s">
        <v>39</v>
      </c>
      <c r="G564" s="12">
        <v>65</v>
      </c>
      <c r="H564" s="7"/>
      <c r="I564" s="7"/>
      <c r="J564" s="7"/>
      <c r="K564" s="7"/>
      <c r="L564" s="7"/>
      <c r="M564" s="7"/>
      <c r="N564" t="str">
        <f>_xlfn.CONCAT(D564,"_",F564)</f>
        <v>6_A09</v>
      </c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5" customHeight="1">
      <c r="A565" s="21" t="s">
        <v>15</v>
      </c>
      <c r="B565" s="21" t="s">
        <v>16</v>
      </c>
      <c r="C565" s="22">
        <v>753847</v>
      </c>
      <c r="D565" s="23">
        <v>6</v>
      </c>
      <c r="E565" s="24"/>
      <c r="F565" s="21" t="s">
        <v>41</v>
      </c>
      <c r="G565" s="12">
        <v>66</v>
      </c>
      <c r="H565" s="7"/>
      <c r="I565" s="7"/>
      <c r="J565" s="7"/>
      <c r="K565" s="7"/>
      <c r="L565" s="7"/>
      <c r="M565" s="7"/>
      <c r="N565" t="str">
        <f>_xlfn.CONCAT(D565,"_",F565)</f>
        <v>6_B09</v>
      </c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5" customHeight="1">
      <c r="A566" s="21" t="s">
        <v>15</v>
      </c>
      <c r="B566" s="21" t="s">
        <v>16</v>
      </c>
      <c r="C566" s="22">
        <v>753848</v>
      </c>
      <c r="D566" s="23">
        <v>6</v>
      </c>
      <c r="E566" s="24"/>
      <c r="F566" s="21" t="s">
        <v>184</v>
      </c>
      <c r="G566" s="12">
        <v>67</v>
      </c>
      <c r="H566" s="7"/>
      <c r="I566" s="7"/>
      <c r="J566" s="7"/>
      <c r="K566" s="7"/>
      <c r="L566" s="7"/>
      <c r="M566" s="7"/>
      <c r="N566" t="str">
        <f>_xlfn.CONCAT(D566,"_",F566)</f>
        <v>6_C09</v>
      </c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5" customHeight="1">
      <c r="A567" s="21" t="s">
        <v>15</v>
      </c>
      <c r="B567" s="21" t="s">
        <v>16</v>
      </c>
      <c r="C567" s="22">
        <v>753489</v>
      </c>
      <c r="D567" s="23">
        <v>6</v>
      </c>
      <c r="E567" s="24"/>
      <c r="F567" s="21" t="s">
        <v>186</v>
      </c>
      <c r="G567" s="12">
        <v>68</v>
      </c>
      <c r="H567" s="7"/>
      <c r="I567" s="7"/>
      <c r="J567" s="7"/>
      <c r="K567" s="7"/>
      <c r="L567" s="7"/>
      <c r="M567" s="7"/>
      <c r="N567" t="str">
        <f>_xlfn.CONCAT(D567,"_",F567)</f>
        <v>6_D09</v>
      </c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5" customHeight="1">
      <c r="A568" s="21" t="s">
        <v>15</v>
      </c>
      <c r="B568" s="21" t="s">
        <v>16</v>
      </c>
      <c r="C568" s="22">
        <v>753490</v>
      </c>
      <c r="D568" s="23">
        <v>6</v>
      </c>
      <c r="E568" s="24"/>
      <c r="F568" s="21" t="s">
        <v>188</v>
      </c>
      <c r="G568" s="12">
        <v>69</v>
      </c>
      <c r="H568" s="7"/>
      <c r="I568" s="7"/>
      <c r="J568" s="7"/>
      <c r="K568" s="7"/>
      <c r="L568" s="7"/>
      <c r="M568" s="7"/>
      <c r="N568" t="str">
        <f>_xlfn.CONCAT(D568,"_",F568)</f>
        <v>6_E09</v>
      </c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5" customHeight="1">
      <c r="A569" s="21" t="s">
        <v>15</v>
      </c>
      <c r="B569" s="21" t="s">
        <v>16</v>
      </c>
      <c r="C569" s="22">
        <v>753491</v>
      </c>
      <c r="D569" s="23">
        <v>6</v>
      </c>
      <c r="E569" s="24"/>
      <c r="F569" s="21" t="s">
        <v>190</v>
      </c>
      <c r="G569" s="12">
        <v>70</v>
      </c>
      <c r="H569" s="7"/>
      <c r="I569" s="7"/>
      <c r="J569" s="7"/>
      <c r="K569" s="7"/>
      <c r="L569" s="7"/>
      <c r="M569" s="7"/>
      <c r="N569" t="str">
        <f>_xlfn.CONCAT(D569,"_",F569)</f>
        <v>6_F09</v>
      </c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5" customHeight="1">
      <c r="A570" s="21" t="s">
        <v>15</v>
      </c>
      <c r="B570" s="21" t="s">
        <v>16</v>
      </c>
      <c r="C570" s="22">
        <v>753492</v>
      </c>
      <c r="D570" s="23">
        <v>6</v>
      </c>
      <c r="E570" s="24"/>
      <c r="F570" s="21" t="s">
        <v>192</v>
      </c>
      <c r="G570" s="12">
        <v>71</v>
      </c>
      <c r="H570" s="7"/>
      <c r="I570" s="7"/>
      <c r="J570" s="7"/>
      <c r="K570" s="7"/>
      <c r="L570" s="7"/>
      <c r="M570" s="7"/>
      <c r="N570" t="str">
        <f>_xlfn.CONCAT(D570,"_",F570)</f>
        <v>6_G09</v>
      </c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5" customHeight="1">
      <c r="A571" s="21" t="s">
        <v>15</v>
      </c>
      <c r="B571" s="21" t="s">
        <v>16</v>
      </c>
      <c r="C571" s="22">
        <v>753493</v>
      </c>
      <c r="D571" s="23">
        <v>6</v>
      </c>
      <c r="E571" s="24"/>
      <c r="F571" s="21" t="s">
        <v>194</v>
      </c>
      <c r="G571" s="12">
        <v>72</v>
      </c>
      <c r="H571" s="7"/>
      <c r="I571" s="7"/>
      <c r="J571" s="7"/>
      <c r="K571" s="7"/>
      <c r="L571" s="7"/>
      <c r="M571" s="7"/>
      <c r="N571" t="str">
        <f>_xlfn.CONCAT(D571,"_",F571)</f>
        <v>6_H09</v>
      </c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5" customHeight="1">
      <c r="A572" s="21" t="s">
        <v>15</v>
      </c>
      <c r="B572" s="21" t="s">
        <v>16</v>
      </c>
      <c r="C572" s="22">
        <v>753501</v>
      </c>
      <c r="D572" s="23">
        <v>6</v>
      </c>
      <c r="E572" s="24"/>
      <c r="F572" s="21" t="s">
        <v>196</v>
      </c>
      <c r="G572" s="12">
        <v>73</v>
      </c>
      <c r="H572" s="7"/>
      <c r="I572" s="7"/>
      <c r="J572" s="7"/>
      <c r="K572" s="7"/>
      <c r="L572" s="7"/>
      <c r="M572" s="7"/>
      <c r="N572" t="str">
        <f>_xlfn.CONCAT(D572,"_",F572)</f>
        <v>6_A10</v>
      </c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5" customHeight="1">
      <c r="A573" s="21" t="s">
        <v>15</v>
      </c>
      <c r="B573" s="21" t="s">
        <v>16</v>
      </c>
      <c r="C573" s="22">
        <v>753500</v>
      </c>
      <c r="D573" s="23">
        <v>6</v>
      </c>
      <c r="E573" s="24"/>
      <c r="F573" s="21" t="s">
        <v>198</v>
      </c>
      <c r="G573" s="12">
        <v>74</v>
      </c>
      <c r="H573" s="7"/>
      <c r="I573" s="7"/>
      <c r="J573" s="7"/>
      <c r="K573" s="7"/>
      <c r="L573" s="7"/>
      <c r="M573" s="7"/>
      <c r="N573" t="str">
        <f>_xlfn.CONCAT(D573,"_",F573)</f>
        <v>6_B10</v>
      </c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5" customHeight="1">
      <c r="A574" s="21" t="s">
        <v>15</v>
      </c>
      <c r="B574" s="21" t="s">
        <v>16</v>
      </c>
      <c r="C574" s="22">
        <v>753499</v>
      </c>
      <c r="D574" s="23">
        <v>6</v>
      </c>
      <c r="E574" s="24"/>
      <c r="F574" s="21" t="s">
        <v>200</v>
      </c>
      <c r="G574" s="12">
        <v>75</v>
      </c>
      <c r="H574" s="7"/>
      <c r="I574" s="7"/>
      <c r="J574" s="7"/>
      <c r="K574" s="7"/>
      <c r="L574" s="7"/>
      <c r="M574" s="7"/>
      <c r="N574" t="str">
        <f>_xlfn.CONCAT(D574,"_",F574)</f>
        <v>6_C10</v>
      </c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5" customHeight="1">
      <c r="A575" s="21" t="s">
        <v>15</v>
      </c>
      <c r="B575" s="21" t="s">
        <v>16</v>
      </c>
      <c r="C575" s="22">
        <v>753498</v>
      </c>
      <c r="D575" s="23">
        <v>6</v>
      </c>
      <c r="E575" s="24"/>
      <c r="F575" s="21" t="s">
        <v>202</v>
      </c>
      <c r="G575" s="12">
        <v>76</v>
      </c>
      <c r="H575" s="7"/>
      <c r="I575" s="7"/>
      <c r="J575" s="7"/>
      <c r="K575" s="7"/>
      <c r="L575" s="7"/>
      <c r="M575" s="7"/>
      <c r="N575" t="str">
        <f>_xlfn.CONCAT(D575,"_",F575)</f>
        <v>6_D10</v>
      </c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5" customHeight="1">
      <c r="A576" s="21" t="s">
        <v>15</v>
      </c>
      <c r="B576" s="21" t="s">
        <v>16</v>
      </c>
      <c r="C576" s="22">
        <v>753497</v>
      </c>
      <c r="D576" s="23">
        <v>6</v>
      </c>
      <c r="E576" s="24"/>
      <c r="F576" s="21" t="s">
        <v>204</v>
      </c>
      <c r="G576" s="12">
        <v>77</v>
      </c>
      <c r="H576" s="7"/>
      <c r="I576" s="7"/>
      <c r="J576" s="7"/>
      <c r="K576" s="7"/>
      <c r="L576" s="7"/>
      <c r="M576" s="7"/>
      <c r="N576" t="str">
        <f>_xlfn.CONCAT(D576,"_",F576)</f>
        <v>6_E10</v>
      </c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5" customHeight="1">
      <c r="A577" s="21" t="s">
        <v>15</v>
      </c>
      <c r="B577" s="21" t="s">
        <v>16</v>
      </c>
      <c r="C577" s="22">
        <v>753494</v>
      </c>
      <c r="D577" s="23">
        <v>6</v>
      </c>
      <c r="E577" s="24"/>
      <c r="F577" s="21" t="s">
        <v>206</v>
      </c>
      <c r="G577" s="12">
        <v>78</v>
      </c>
      <c r="H577" s="7"/>
      <c r="I577" s="7"/>
      <c r="J577" s="7"/>
      <c r="K577" s="7"/>
      <c r="L577" s="7"/>
      <c r="M577" s="7"/>
      <c r="N577" t="str">
        <f>_xlfn.CONCAT(D577,"_",F577)</f>
        <v>6_F10</v>
      </c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5" customHeight="1">
      <c r="A578" s="21" t="s">
        <v>15</v>
      </c>
      <c r="B578" s="21" t="s">
        <v>16</v>
      </c>
      <c r="C578" s="22">
        <v>753495</v>
      </c>
      <c r="D578" s="23">
        <v>6</v>
      </c>
      <c r="E578" s="24"/>
      <c r="F578" s="21" t="s">
        <v>91</v>
      </c>
      <c r="G578" s="12">
        <v>79</v>
      </c>
      <c r="H578" s="7"/>
      <c r="I578" s="7"/>
      <c r="J578" s="7"/>
      <c r="K578" s="7"/>
      <c r="L578" s="7"/>
      <c r="M578" s="7"/>
      <c r="N578" t="str">
        <f>_xlfn.CONCAT(D578,"_",F578)</f>
        <v>6_G10</v>
      </c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5" customHeight="1">
      <c r="A579" s="21" t="s">
        <v>15</v>
      </c>
      <c r="B579" s="21" t="s">
        <v>16</v>
      </c>
      <c r="C579" s="22">
        <v>753496</v>
      </c>
      <c r="D579" s="23">
        <v>6</v>
      </c>
      <c r="E579" s="24"/>
      <c r="F579" s="21" t="s">
        <v>92</v>
      </c>
      <c r="G579" s="12">
        <v>80</v>
      </c>
      <c r="H579" s="7"/>
      <c r="I579" s="7"/>
      <c r="J579" s="7"/>
      <c r="K579" s="7"/>
      <c r="L579" s="7"/>
      <c r="M579" s="7"/>
      <c r="N579" t="str">
        <f>_xlfn.CONCAT(D579,"_",F579)</f>
        <v>6_H10</v>
      </c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5" customHeight="1">
      <c r="A580" s="21" t="s">
        <v>15</v>
      </c>
      <c r="B580" s="21" t="s">
        <v>16</v>
      </c>
      <c r="C580" s="22">
        <v>753502</v>
      </c>
      <c r="D580" s="23">
        <v>6</v>
      </c>
      <c r="E580" s="24"/>
      <c r="F580" s="21" t="s">
        <v>93</v>
      </c>
      <c r="G580" s="12">
        <v>81</v>
      </c>
      <c r="H580" s="7"/>
      <c r="I580" s="7"/>
      <c r="J580" s="7"/>
      <c r="K580" s="7"/>
      <c r="L580" s="7"/>
      <c r="M580" s="7"/>
      <c r="N580" t="str">
        <f>_xlfn.CONCAT(D580,"_",F580)</f>
        <v>6_A11</v>
      </c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5" customHeight="1">
      <c r="A581" s="21" t="s">
        <v>15</v>
      </c>
      <c r="B581" s="21" t="s">
        <v>16</v>
      </c>
      <c r="C581" s="22">
        <v>753503</v>
      </c>
      <c r="D581" s="23">
        <v>6</v>
      </c>
      <c r="E581" s="24"/>
      <c r="F581" s="21" t="s">
        <v>94</v>
      </c>
      <c r="G581" s="12">
        <v>82</v>
      </c>
      <c r="H581" s="7"/>
      <c r="I581" s="7"/>
      <c r="J581" s="7"/>
      <c r="K581" s="7"/>
      <c r="L581" s="7"/>
      <c r="M581" s="7"/>
      <c r="N581" t="str">
        <f>_xlfn.CONCAT(D581,"_",F581)</f>
        <v>6_B11</v>
      </c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5" customHeight="1">
      <c r="A582" s="21" t="s">
        <v>15</v>
      </c>
      <c r="B582" s="21" t="s">
        <v>16</v>
      </c>
      <c r="C582" s="22">
        <v>753504</v>
      </c>
      <c r="D582" s="23">
        <v>6</v>
      </c>
      <c r="E582" s="24"/>
      <c r="F582" s="21" t="s">
        <v>49</v>
      </c>
      <c r="G582" s="12">
        <v>83</v>
      </c>
      <c r="H582" s="7"/>
      <c r="I582" s="7"/>
      <c r="J582" s="7"/>
      <c r="K582" s="7"/>
      <c r="L582" s="7"/>
      <c r="M582" s="7"/>
      <c r="N582" t="str">
        <f>_xlfn.CONCAT(D582,"_",F582)</f>
        <v>6_C11</v>
      </c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5" customHeight="1">
      <c r="A583" s="21" t="s">
        <v>15</v>
      </c>
      <c r="B583" s="21" t="s">
        <v>16</v>
      </c>
      <c r="C583" s="22">
        <v>753505</v>
      </c>
      <c r="D583" s="23">
        <v>6</v>
      </c>
      <c r="E583" s="24"/>
      <c r="F583" s="21" t="s">
        <v>51</v>
      </c>
      <c r="G583" s="12">
        <v>84</v>
      </c>
      <c r="H583" s="7"/>
      <c r="I583" s="7"/>
      <c r="J583" s="7"/>
      <c r="K583" s="7"/>
      <c r="L583" s="7"/>
      <c r="M583" s="7"/>
      <c r="N583" t="str">
        <f>_xlfn.CONCAT(D583,"_",F583)</f>
        <v>6_D11</v>
      </c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5" customHeight="1">
      <c r="A584" s="21" t="s">
        <v>15</v>
      </c>
      <c r="B584" s="21" t="s">
        <v>16</v>
      </c>
      <c r="C584" s="22">
        <v>753506</v>
      </c>
      <c r="D584" s="23">
        <v>6</v>
      </c>
      <c r="E584" s="24"/>
      <c r="F584" s="21" t="s">
        <v>95</v>
      </c>
      <c r="G584" s="12">
        <v>85</v>
      </c>
      <c r="H584" s="7"/>
      <c r="I584" s="7"/>
      <c r="J584" s="7"/>
      <c r="K584" s="7"/>
      <c r="L584" s="7"/>
      <c r="M584" s="7"/>
      <c r="N584" t="str">
        <f>_xlfn.CONCAT(D584,"_",F584)</f>
        <v>6_E11</v>
      </c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5" customHeight="1">
      <c r="A585" s="21" t="s">
        <v>15</v>
      </c>
      <c r="B585" s="21" t="s">
        <v>16</v>
      </c>
      <c r="C585" s="22">
        <v>753507</v>
      </c>
      <c r="D585" s="23">
        <v>6</v>
      </c>
      <c r="E585" s="24"/>
      <c r="F585" s="21" t="s">
        <v>53</v>
      </c>
      <c r="G585" s="12">
        <v>86</v>
      </c>
      <c r="H585" s="7"/>
      <c r="I585" s="7"/>
      <c r="J585" s="7"/>
      <c r="K585" s="7"/>
      <c r="L585" s="7"/>
      <c r="M585" s="7"/>
      <c r="N585" t="str">
        <f>_xlfn.CONCAT(D585,"_",F585)</f>
        <v>6_F11</v>
      </c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5" customHeight="1">
      <c r="A586" s="21" t="s">
        <v>15</v>
      </c>
      <c r="B586" s="21" t="s">
        <v>16</v>
      </c>
      <c r="C586" s="22">
        <v>753508</v>
      </c>
      <c r="D586" s="23">
        <v>6</v>
      </c>
      <c r="E586" s="24"/>
      <c r="F586" s="21" t="s">
        <v>55</v>
      </c>
      <c r="G586" s="12">
        <v>87</v>
      </c>
      <c r="H586" s="7"/>
      <c r="I586" s="7"/>
      <c r="J586" s="7"/>
      <c r="K586" s="7"/>
      <c r="L586" s="7"/>
      <c r="M586" s="7"/>
      <c r="N586" t="str">
        <f>_xlfn.CONCAT(D586,"_",F586)</f>
        <v>6_G11</v>
      </c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5" customHeight="1">
      <c r="A587" s="21" t="s">
        <v>15</v>
      </c>
      <c r="B587" s="21" t="s">
        <v>16</v>
      </c>
      <c r="C587" s="22">
        <v>753509</v>
      </c>
      <c r="D587" s="23">
        <v>6</v>
      </c>
      <c r="E587" s="24"/>
      <c r="F587" s="21" t="s">
        <v>57</v>
      </c>
      <c r="G587" s="12">
        <v>88</v>
      </c>
      <c r="H587" s="7"/>
      <c r="I587" s="7"/>
      <c r="J587" s="7"/>
      <c r="K587" s="7"/>
      <c r="L587" s="7"/>
      <c r="M587" s="7"/>
      <c r="N587" t="str">
        <f>_xlfn.CONCAT(D587,"_",F587)</f>
        <v>6_H11</v>
      </c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5" customHeight="1">
      <c r="A588" s="21" t="s">
        <v>15</v>
      </c>
      <c r="B588" s="21" t="s">
        <v>16</v>
      </c>
      <c r="C588" s="22">
        <v>753521</v>
      </c>
      <c r="D588" s="23">
        <v>6</v>
      </c>
      <c r="E588" s="24"/>
      <c r="F588" s="21" t="s">
        <v>59</v>
      </c>
      <c r="G588" s="12">
        <v>89</v>
      </c>
      <c r="H588" s="7"/>
      <c r="I588" s="7"/>
      <c r="J588" s="7"/>
      <c r="K588" s="7"/>
      <c r="L588" s="7"/>
      <c r="M588" s="7"/>
      <c r="N588" t="str">
        <f>_xlfn.CONCAT(D588,"_",F588)</f>
        <v>6_A12</v>
      </c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5" customHeight="1">
      <c r="A589" s="21" t="s">
        <v>15</v>
      </c>
      <c r="B589" s="21" t="s">
        <v>16</v>
      </c>
      <c r="C589" s="22">
        <v>753522</v>
      </c>
      <c r="D589" s="23">
        <v>6</v>
      </c>
      <c r="E589" s="24"/>
      <c r="F589" s="21" t="s">
        <v>61</v>
      </c>
      <c r="G589" s="12">
        <v>90</v>
      </c>
      <c r="H589" s="7"/>
      <c r="I589" s="7"/>
      <c r="J589" s="7"/>
      <c r="K589" s="7"/>
      <c r="L589" s="7"/>
      <c r="M589" s="7"/>
      <c r="N589" t="str">
        <f>_xlfn.CONCAT(D589,"_",F589)</f>
        <v>6_B12</v>
      </c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5" customHeight="1">
      <c r="A590" s="21" t="s">
        <v>15</v>
      </c>
      <c r="B590" s="21" t="s">
        <v>16</v>
      </c>
      <c r="C590" s="22">
        <v>753523</v>
      </c>
      <c r="D590" s="23">
        <v>6</v>
      </c>
      <c r="E590" s="24"/>
      <c r="F590" s="21" t="s">
        <v>63</v>
      </c>
      <c r="G590" s="12">
        <v>91</v>
      </c>
      <c r="H590" s="7"/>
      <c r="I590" s="7"/>
      <c r="J590" s="7"/>
      <c r="K590" s="7"/>
      <c r="L590" s="7"/>
      <c r="M590" s="7"/>
      <c r="N590" t="str">
        <f>_xlfn.CONCAT(D590,"_",F590)</f>
        <v>6_C12</v>
      </c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5" customHeight="1">
      <c r="A591" s="21" t="s">
        <v>15</v>
      </c>
      <c r="B591" s="21" t="s">
        <v>16</v>
      </c>
      <c r="C591" s="22">
        <v>753524</v>
      </c>
      <c r="D591" s="23">
        <v>6</v>
      </c>
      <c r="E591" s="24"/>
      <c r="F591" s="21" t="s">
        <v>65</v>
      </c>
      <c r="G591" s="12">
        <v>92</v>
      </c>
      <c r="H591" s="7"/>
      <c r="I591" s="7"/>
      <c r="J591" s="7"/>
      <c r="K591" s="7"/>
      <c r="L591" s="7"/>
      <c r="M591" s="7"/>
      <c r="N591" t="str">
        <f>_xlfn.CONCAT(D591,"_",F591)</f>
        <v>6_D12</v>
      </c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5" customHeight="1">
      <c r="A592" s="21" t="s">
        <v>15</v>
      </c>
      <c r="B592" s="21" t="s">
        <v>16</v>
      </c>
      <c r="C592" s="22">
        <v>753525</v>
      </c>
      <c r="D592" s="23">
        <v>6</v>
      </c>
      <c r="E592" s="24"/>
      <c r="F592" s="21" t="s">
        <v>67</v>
      </c>
      <c r="G592" s="12">
        <v>93</v>
      </c>
      <c r="H592" s="7"/>
      <c r="I592" s="7"/>
      <c r="J592" s="7"/>
      <c r="K592" s="7"/>
      <c r="L592" s="7"/>
      <c r="M592" s="7"/>
      <c r="N592" t="str">
        <f>_xlfn.CONCAT(D592,"_",F592)</f>
        <v>6_E12</v>
      </c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5" customHeight="1">
      <c r="A593" s="21" t="s">
        <v>15</v>
      </c>
      <c r="B593" s="21" t="s">
        <v>16</v>
      </c>
      <c r="C593" s="22">
        <v>753544</v>
      </c>
      <c r="D593" s="23">
        <v>6</v>
      </c>
      <c r="E593" s="24"/>
      <c r="F593" s="21" t="s">
        <v>96</v>
      </c>
      <c r="G593" s="12">
        <v>94</v>
      </c>
      <c r="H593" s="7"/>
      <c r="I593" s="7"/>
      <c r="J593" s="7"/>
      <c r="K593" s="7"/>
      <c r="L593" s="7"/>
      <c r="M593" s="7"/>
      <c r="N593" t="str">
        <f>_xlfn.CONCAT(D593,"_",F593)</f>
        <v>6_F12</v>
      </c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5" customHeight="1">
      <c r="A594" s="21" t="s">
        <v>15</v>
      </c>
      <c r="B594" s="21" t="s">
        <v>16</v>
      </c>
      <c r="C594" s="22">
        <v>753543</v>
      </c>
      <c r="D594" s="23">
        <v>6</v>
      </c>
      <c r="E594" s="24"/>
      <c r="F594" s="21" t="s">
        <v>97</v>
      </c>
      <c r="G594" s="12">
        <v>95</v>
      </c>
      <c r="H594" s="7"/>
      <c r="I594" s="7"/>
      <c r="J594" s="7"/>
      <c r="K594" s="7"/>
      <c r="L594" s="7"/>
      <c r="M594" s="7"/>
      <c r="N594" t="str">
        <f>_xlfn.CONCAT(D594,"_",F594)</f>
        <v>6_G12</v>
      </c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5" customHeight="1">
      <c r="A595" s="21" t="s">
        <v>15</v>
      </c>
      <c r="B595" s="21" t="s">
        <v>16</v>
      </c>
      <c r="C595" s="22">
        <v>753542</v>
      </c>
      <c r="D595" s="23">
        <v>6</v>
      </c>
      <c r="E595" s="24"/>
      <c r="F595" s="21" t="s">
        <v>47</v>
      </c>
      <c r="G595" s="12">
        <v>96</v>
      </c>
      <c r="H595" s="7"/>
      <c r="I595" s="7"/>
      <c r="J595" s="7"/>
      <c r="K595" s="7"/>
      <c r="L595" s="7"/>
      <c r="M595" s="7"/>
      <c r="N595" t="str">
        <f>_xlfn.CONCAT(D595,"_",F595)</f>
        <v>6_H12</v>
      </c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5" customHeight="1">
      <c r="A596" s="21" t="s">
        <v>15</v>
      </c>
      <c r="B596" s="21" t="s">
        <v>16</v>
      </c>
      <c r="C596" s="22">
        <v>753526</v>
      </c>
      <c r="D596" s="23">
        <v>7</v>
      </c>
      <c r="E596" s="24"/>
      <c r="F596" s="21" t="s">
        <v>100</v>
      </c>
      <c r="G596" s="12" t="s">
        <v>215</v>
      </c>
      <c r="H596" s="7"/>
      <c r="I596" s="7"/>
      <c r="J596" s="7"/>
      <c r="K596" s="7"/>
      <c r="L596" s="7"/>
      <c r="M596" s="7"/>
      <c r="N596" t="str">
        <f>_xlfn.CONCAT(D596,"_",F596)</f>
        <v>7_A01</v>
      </c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5" customHeight="1">
      <c r="A597" s="21" t="s">
        <v>15</v>
      </c>
      <c r="B597" s="21" t="s">
        <v>16</v>
      </c>
      <c r="C597" s="22">
        <v>753527</v>
      </c>
      <c r="D597" s="23">
        <v>7</v>
      </c>
      <c r="E597" s="24"/>
      <c r="F597" s="21" t="s">
        <v>102</v>
      </c>
      <c r="G597" s="12" t="s">
        <v>216</v>
      </c>
      <c r="H597" s="7"/>
      <c r="I597" s="7"/>
      <c r="J597" s="7"/>
      <c r="K597" s="7"/>
      <c r="L597" s="7"/>
      <c r="M597" s="7"/>
      <c r="N597" t="str">
        <f>_xlfn.CONCAT(D597,"_",F597)</f>
        <v>7_B01</v>
      </c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5" customHeight="1">
      <c r="A598" s="21" t="s">
        <v>15</v>
      </c>
      <c r="B598" s="21" t="s">
        <v>16</v>
      </c>
      <c r="C598" s="22">
        <v>753528</v>
      </c>
      <c r="D598" s="23">
        <v>7</v>
      </c>
      <c r="E598" s="24"/>
      <c r="F598" s="21" t="s">
        <v>104</v>
      </c>
      <c r="G598" s="12" t="s">
        <v>217</v>
      </c>
      <c r="H598" s="7"/>
      <c r="I598" s="7"/>
      <c r="J598" s="7"/>
      <c r="K598" s="7"/>
      <c r="L598" s="7"/>
      <c r="M598" s="7"/>
      <c r="N598" t="str">
        <f>_xlfn.CONCAT(D598,"_",F598)</f>
        <v>7_C01</v>
      </c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5" customHeight="1">
      <c r="A599" s="21" t="s">
        <v>15</v>
      </c>
      <c r="B599" s="21" t="s">
        <v>16</v>
      </c>
      <c r="C599" s="22">
        <v>753534</v>
      </c>
      <c r="D599" s="23">
        <v>7</v>
      </c>
      <c r="E599" s="24"/>
      <c r="F599" s="21" t="s">
        <v>69</v>
      </c>
      <c r="G599" s="12" t="s">
        <v>70</v>
      </c>
      <c r="H599" s="7"/>
      <c r="I599" s="7"/>
      <c r="J599" s="7"/>
      <c r="K599" s="7"/>
      <c r="L599" s="7"/>
      <c r="M599" s="7"/>
      <c r="N599" t="str">
        <f>_xlfn.CONCAT(D599,"_",F599)</f>
        <v>7_D01</v>
      </c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5" customHeight="1">
      <c r="A600" s="21" t="s">
        <v>15</v>
      </c>
      <c r="B600" s="21" t="s">
        <v>16</v>
      </c>
      <c r="C600" s="22">
        <v>753535</v>
      </c>
      <c r="D600" s="23">
        <v>7</v>
      </c>
      <c r="E600" s="24"/>
      <c r="F600" s="21" t="s">
        <v>71</v>
      </c>
      <c r="G600" s="12" t="s">
        <v>72</v>
      </c>
      <c r="H600" s="7"/>
      <c r="I600" s="7"/>
      <c r="J600" s="7"/>
      <c r="K600" s="7"/>
      <c r="L600" s="7"/>
      <c r="M600" s="7"/>
      <c r="N600" t="str">
        <f>_xlfn.CONCAT(D600,"_",F600)</f>
        <v>7_E01</v>
      </c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5" customHeight="1">
      <c r="A601" s="21" t="s">
        <v>15</v>
      </c>
      <c r="B601" s="21" t="s">
        <v>16</v>
      </c>
      <c r="C601" s="22">
        <v>753536</v>
      </c>
      <c r="D601" s="23">
        <v>7</v>
      </c>
      <c r="E601" s="24"/>
      <c r="F601" s="21" t="s">
        <v>73</v>
      </c>
      <c r="G601" s="12" t="s">
        <v>74</v>
      </c>
      <c r="H601" s="7"/>
      <c r="I601" s="7"/>
      <c r="J601" s="7"/>
      <c r="K601" s="7"/>
      <c r="L601" s="7"/>
      <c r="M601" s="7"/>
      <c r="N601" t="str">
        <f>_xlfn.CONCAT(D601,"_",F601)</f>
        <v>7_F01</v>
      </c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5" customHeight="1">
      <c r="A602" s="21" t="s">
        <v>15</v>
      </c>
      <c r="B602" s="21" t="s">
        <v>16</v>
      </c>
      <c r="C602" s="22">
        <v>753537</v>
      </c>
      <c r="D602" s="23">
        <v>7</v>
      </c>
      <c r="E602" s="24"/>
      <c r="F602" s="21" t="s">
        <v>75</v>
      </c>
      <c r="G602" s="12" t="s">
        <v>76</v>
      </c>
      <c r="H602" s="7"/>
      <c r="I602" s="7"/>
      <c r="J602" s="7"/>
      <c r="K602" s="7"/>
      <c r="L602" s="7"/>
      <c r="M602" s="7"/>
      <c r="N602" t="str">
        <f>_xlfn.CONCAT(D602,"_",F602)</f>
        <v>7_G01</v>
      </c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5" customHeight="1">
      <c r="A603" s="21" t="s">
        <v>15</v>
      </c>
      <c r="B603" s="21" t="s">
        <v>16</v>
      </c>
      <c r="C603" s="22">
        <v>753538</v>
      </c>
      <c r="D603" s="23">
        <v>7</v>
      </c>
      <c r="E603" s="24"/>
      <c r="F603" s="21" t="s">
        <v>77</v>
      </c>
      <c r="G603" s="12" t="s">
        <v>78</v>
      </c>
      <c r="H603" s="7"/>
      <c r="I603" s="7"/>
      <c r="J603" s="7"/>
      <c r="K603" s="7"/>
      <c r="L603" s="7"/>
      <c r="M603" s="7"/>
      <c r="N603" t="str">
        <f>_xlfn.CONCAT(D603,"_",F603)</f>
        <v>7_H01</v>
      </c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5" customHeight="1">
      <c r="A604" s="21" t="s">
        <v>15</v>
      </c>
      <c r="B604" s="21" t="s">
        <v>16</v>
      </c>
      <c r="C604" s="22">
        <v>753539</v>
      </c>
      <c r="D604" s="23">
        <v>7</v>
      </c>
      <c r="E604" s="24"/>
      <c r="F604" s="21" t="s">
        <v>79</v>
      </c>
      <c r="G604" s="12" t="s">
        <v>80</v>
      </c>
      <c r="H604" s="7"/>
      <c r="I604" s="7"/>
      <c r="J604" s="7"/>
      <c r="K604" s="7"/>
      <c r="L604" s="7"/>
      <c r="M604" s="7"/>
      <c r="N604" t="str">
        <f>_xlfn.CONCAT(D604,"_",F604)</f>
        <v>7_A02</v>
      </c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5" customHeight="1">
      <c r="A605" s="21" t="s">
        <v>15</v>
      </c>
      <c r="B605" s="21" t="s">
        <v>16</v>
      </c>
      <c r="C605" s="22">
        <v>753540</v>
      </c>
      <c r="D605" s="23">
        <v>7</v>
      </c>
      <c r="E605" s="24"/>
      <c r="F605" s="21" t="s">
        <v>81</v>
      </c>
      <c r="G605" s="12">
        <v>10</v>
      </c>
      <c r="H605" s="7"/>
      <c r="I605" s="7"/>
      <c r="J605" s="7"/>
      <c r="K605" s="7"/>
      <c r="L605" s="7"/>
      <c r="M605" s="7"/>
      <c r="N605" t="str">
        <f>_xlfn.CONCAT(D605,"_",F605)</f>
        <v>7_B02</v>
      </c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5" customHeight="1">
      <c r="A606" s="21" t="s">
        <v>15</v>
      </c>
      <c r="B606" s="21" t="s">
        <v>16</v>
      </c>
      <c r="C606" s="22">
        <v>753541</v>
      </c>
      <c r="D606" s="23">
        <v>7</v>
      </c>
      <c r="E606" s="24"/>
      <c r="F606" s="21" t="s">
        <v>82</v>
      </c>
      <c r="G606" s="12">
        <v>11</v>
      </c>
      <c r="H606" s="7"/>
      <c r="I606" s="7"/>
      <c r="J606" s="7"/>
      <c r="K606" s="7"/>
      <c r="L606" s="7"/>
      <c r="M606" s="7"/>
      <c r="N606" t="str">
        <f>_xlfn.CONCAT(D606,"_",F606)</f>
        <v>7_C02</v>
      </c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5" customHeight="1">
      <c r="A607" s="21" t="s">
        <v>15</v>
      </c>
      <c r="B607" s="21" t="s">
        <v>16</v>
      </c>
      <c r="C607" s="22">
        <v>753549</v>
      </c>
      <c r="D607" s="23">
        <v>7</v>
      </c>
      <c r="E607" s="24"/>
      <c r="F607" s="21" t="s">
        <v>83</v>
      </c>
      <c r="G607" s="12">
        <v>12</v>
      </c>
      <c r="H607" s="7"/>
      <c r="I607" s="7"/>
      <c r="J607" s="7"/>
      <c r="K607" s="7"/>
      <c r="L607" s="7"/>
      <c r="M607" s="7"/>
      <c r="N607" t="str">
        <f>_xlfn.CONCAT(D607,"_",F607)</f>
        <v>7_D02</v>
      </c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5" customHeight="1">
      <c r="A608" s="21" t="s">
        <v>15</v>
      </c>
      <c r="B608" s="21" t="s">
        <v>16</v>
      </c>
      <c r="C608" s="22">
        <v>753548</v>
      </c>
      <c r="D608" s="23">
        <v>7</v>
      </c>
      <c r="E608" s="24"/>
      <c r="F608" s="21" t="s">
        <v>84</v>
      </c>
      <c r="G608" s="12">
        <v>13</v>
      </c>
      <c r="H608" s="7"/>
      <c r="I608" s="7"/>
      <c r="J608" s="7"/>
      <c r="K608" s="7"/>
      <c r="L608" s="7"/>
      <c r="M608" s="7"/>
      <c r="N608" t="str">
        <f>_xlfn.CONCAT(D608,"_",F608)</f>
        <v>7_E02</v>
      </c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5" customHeight="1">
      <c r="A609" s="21" t="s">
        <v>15</v>
      </c>
      <c r="B609" s="21" t="s">
        <v>16</v>
      </c>
      <c r="C609" s="22">
        <v>753547</v>
      </c>
      <c r="D609" s="23">
        <v>7</v>
      </c>
      <c r="E609" s="24"/>
      <c r="F609" s="21" t="s">
        <v>85</v>
      </c>
      <c r="G609" s="12">
        <v>14</v>
      </c>
      <c r="H609" s="7"/>
      <c r="I609" s="7"/>
      <c r="J609" s="7"/>
      <c r="K609" s="7"/>
      <c r="L609" s="7"/>
      <c r="M609" s="7"/>
      <c r="N609" t="str">
        <f>_xlfn.CONCAT(D609,"_",F609)</f>
        <v>7_F02</v>
      </c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5" customHeight="1">
      <c r="A610" s="21" t="s">
        <v>15</v>
      </c>
      <c r="B610" s="21" t="s">
        <v>16</v>
      </c>
      <c r="C610" s="22">
        <v>753546</v>
      </c>
      <c r="D610" s="23">
        <v>7</v>
      </c>
      <c r="E610" s="24"/>
      <c r="F610" s="21" t="s">
        <v>117</v>
      </c>
      <c r="G610" s="12">
        <v>15</v>
      </c>
      <c r="H610" s="7"/>
      <c r="I610" s="7"/>
      <c r="J610" s="7"/>
      <c r="K610" s="7"/>
      <c r="L610" s="7"/>
      <c r="M610" s="7"/>
      <c r="N610" t="str">
        <f>_xlfn.CONCAT(D610,"_",F610)</f>
        <v>7_G02</v>
      </c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5" customHeight="1">
      <c r="A611" s="21" t="s">
        <v>15</v>
      </c>
      <c r="B611" s="21" t="s">
        <v>16</v>
      </c>
      <c r="C611" s="22">
        <v>753545</v>
      </c>
      <c r="D611" s="23">
        <v>7</v>
      </c>
      <c r="E611" s="24"/>
      <c r="F611" s="21" t="s">
        <v>119</v>
      </c>
      <c r="G611" s="12">
        <v>16</v>
      </c>
      <c r="H611" s="7"/>
      <c r="I611" s="7"/>
      <c r="J611" s="7"/>
      <c r="K611" s="7"/>
      <c r="L611" s="7"/>
      <c r="M611" s="7"/>
      <c r="N611" t="str">
        <f>_xlfn.CONCAT(D611,"_",F611)</f>
        <v>7_H02</v>
      </c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5" customHeight="1">
      <c r="A612" s="21" t="s">
        <v>15</v>
      </c>
      <c r="B612" s="21" t="s">
        <v>16</v>
      </c>
      <c r="C612" s="22">
        <v>753550</v>
      </c>
      <c r="D612" s="23">
        <v>7</v>
      </c>
      <c r="E612" s="24"/>
      <c r="F612" s="21" t="s">
        <v>121</v>
      </c>
      <c r="G612" s="12">
        <v>17</v>
      </c>
      <c r="H612" s="7"/>
      <c r="I612" s="7"/>
      <c r="J612" s="7"/>
      <c r="K612" s="7"/>
      <c r="L612" s="7"/>
      <c r="M612" s="7"/>
      <c r="N612" t="str">
        <f>_xlfn.CONCAT(D612,"_",F612)</f>
        <v>7_A03</v>
      </c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5" customHeight="1">
      <c r="A613" s="21" t="s">
        <v>15</v>
      </c>
      <c r="B613" s="21" t="s">
        <v>16</v>
      </c>
      <c r="C613" s="22">
        <v>753551</v>
      </c>
      <c r="D613" s="23">
        <v>7</v>
      </c>
      <c r="E613" s="24"/>
      <c r="F613" s="21" t="s">
        <v>123</v>
      </c>
      <c r="G613" s="12">
        <v>18</v>
      </c>
      <c r="H613" s="7"/>
      <c r="I613" s="7"/>
      <c r="J613" s="7"/>
      <c r="K613" s="7"/>
      <c r="L613" s="7"/>
      <c r="M613" s="7"/>
      <c r="N613" t="str">
        <f>_xlfn.CONCAT(D613,"_",F613)</f>
        <v>7_B03</v>
      </c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5" customHeight="1">
      <c r="A614" s="21" t="s">
        <v>15</v>
      </c>
      <c r="B614" s="21" t="s">
        <v>16</v>
      </c>
      <c r="C614" s="22">
        <v>753552</v>
      </c>
      <c r="D614" s="23">
        <v>7</v>
      </c>
      <c r="E614" s="24"/>
      <c r="F614" s="21" t="s">
        <v>125</v>
      </c>
      <c r="G614" s="12">
        <v>19</v>
      </c>
      <c r="H614" s="7"/>
      <c r="I614" s="7"/>
      <c r="J614" s="7"/>
      <c r="K614" s="7"/>
      <c r="L614" s="7"/>
      <c r="M614" s="7"/>
      <c r="N614" t="str">
        <f>_xlfn.CONCAT(D614,"_",F614)</f>
        <v>7_C03</v>
      </c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5" customHeight="1">
      <c r="A615" s="21" t="s">
        <v>15</v>
      </c>
      <c r="B615" s="21" t="s">
        <v>16</v>
      </c>
      <c r="C615" s="22">
        <v>753560</v>
      </c>
      <c r="D615" s="23">
        <v>7</v>
      </c>
      <c r="E615" s="24"/>
      <c r="F615" s="21" t="s">
        <v>86</v>
      </c>
      <c r="G615" s="12">
        <v>20</v>
      </c>
      <c r="H615" s="7"/>
      <c r="I615" s="7"/>
      <c r="J615" s="7"/>
      <c r="K615" s="7"/>
      <c r="L615" s="7"/>
      <c r="M615" s="7"/>
      <c r="N615" t="str">
        <f>_xlfn.CONCAT(D615,"_",F615)</f>
        <v>7_D03</v>
      </c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5" customHeight="1">
      <c r="A616" s="21" t="s">
        <v>15</v>
      </c>
      <c r="B616" s="21" t="s">
        <v>16</v>
      </c>
      <c r="C616" s="22">
        <v>753559</v>
      </c>
      <c r="D616" s="23">
        <v>7</v>
      </c>
      <c r="E616" s="24"/>
      <c r="F616" s="21" t="s">
        <v>87</v>
      </c>
      <c r="G616" s="12">
        <v>21</v>
      </c>
      <c r="H616" s="7"/>
      <c r="I616" s="7"/>
      <c r="J616" s="7"/>
      <c r="K616" s="7"/>
      <c r="L616" s="7"/>
      <c r="M616" s="7"/>
      <c r="N616" t="str">
        <f>_xlfn.CONCAT(D616,"_",F616)</f>
        <v>7_E03</v>
      </c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5" customHeight="1">
      <c r="A617" s="21" t="s">
        <v>15</v>
      </c>
      <c r="B617" s="21" t="s">
        <v>16</v>
      </c>
      <c r="C617" s="22">
        <v>753558</v>
      </c>
      <c r="D617" s="23">
        <v>7</v>
      </c>
      <c r="E617" s="24"/>
      <c r="F617" s="21" t="s">
        <v>88</v>
      </c>
      <c r="G617" s="12">
        <v>22</v>
      </c>
      <c r="H617" s="7"/>
      <c r="I617" s="7"/>
      <c r="J617" s="7"/>
      <c r="K617" s="7"/>
      <c r="L617" s="7"/>
      <c r="M617" s="7"/>
      <c r="N617" t="str">
        <f>_xlfn.CONCAT(D617,"_",F617)</f>
        <v>7_F03</v>
      </c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5" customHeight="1">
      <c r="A618" s="21" t="s">
        <v>15</v>
      </c>
      <c r="B618" s="21" t="s">
        <v>16</v>
      </c>
      <c r="C618" s="22">
        <v>753553</v>
      </c>
      <c r="D618" s="23">
        <v>7</v>
      </c>
      <c r="E618" s="24"/>
      <c r="F618" s="21" t="s">
        <v>89</v>
      </c>
      <c r="G618" s="12">
        <v>23</v>
      </c>
      <c r="H618" s="7"/>
      <c r="I618" s="7"/>
      <c r="J618" s="7"/>
      <c r="K618" s="7"/>
      <c r="L618" s="7"/>
      <c r="M618" s="7"/>
      <c r="N618" t="str">
        <f>_xlfn.CONCAT(D618,"_",F618)</f>
        <v>7_G03</v>
      </c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5" customHeight="1">
      <c r="A619" s="21" t="s">
        <v>15</v>
      </c>
      <c r="B619" s="21" t="s">
        <v>16</v>
      </c>
      <c r="C619" s="22">
        <v>753554</v>
      </c>
      <c r="D619" s="23">
        <v>7</v>
      </c>
      <c r="E619" s="24"/>
      <c r="F619" s="21" t="s">
        <v>90</v>
      </c>
      <c r="G619" s="12">
        <v>24</v>
      </c>
      <c r="H619" s="7"/>
      <c r="I619" s="7"/>
      <c r="J619" s="7"/>
      <c r="K619" s="7"/>
      <c r="L619" s="7"/>
      <c r="M619" s="7"/>
      <c r="N619" t="str">
        <f>_xlfn.CONCAT(D619,"_",F619)</f>
        <v>7_H03</v>
      </c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5" customHeight="1">
      <c r="A620" s="21" t="s">
        <v>15</v>
      </c>
      <c r="B620" s="21" t="s">
        <v>16</v>
      </c>
      <c r="C620" s="22">
        <v>753555</v>
      </c>
      <c r="D620" s="23">
        <v>7</v>
      </c>
      <c r="E620" s="24"/>
      <c r="F620" s="21" t="s">
        <v>132</v>
      </c>
      <c r="G620" s="12">
        <v>25</v>
      </c>
      <c r="H620" s="7"/>
      <c r="I620" s="7"/>
      <c r="J620" s="7"/>
      <c r="K620" s="7"/>
      <c r="L620" s="7"/>
      <c r="M620" s="7"/>
      <c r="N620" t="str">
        <f>_xlfn.CONCAT(D620,"_",F620)</f>
        <v>7_A04</v>
      </c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5" customHeight="1">
      <c r="A621" s="21" t="s">
        <v>15</v>
      </c>
      <c r="B621" s="21" t="s">
        <v>16</v>
      </c>
      <c r="C621" s="22">
        <v>753556</v>
      </c>
      <c r="D621" s="23">
        <v>7</v>
      </c>
      <c r="E621" s="24"/>
      <c r="F621" s="21" t="s">
        <v>134</v>
      </c>
      <c r="G621" s="12">
        <v>26</v>
      </c>
      <c r="H621" s="7"/>
      <c r="I621" s="7"/>
      <c r="J621" s="7"/>
      <c r="K621" s="7"/>
      <c r="L621" s="7"/>
      <c r="M621" s="7"/>
      <c r="N621" t="str">
        <f>_xlfn.CONCAT(D621,"_",F621)</f>
        <v>7_B04</v>
      </c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5" customHeight="1">
      <c r="A622" s="21" t="s">
        <v>15</v>
      </c>
      <c r="B622" s="21" t="s">
        <v>16</v>
      </c>
      <c r="C622" s="22">
        <v>753557</v>
      </c>
      <c r="D622" s="23">
        <v>7</v>
      </c>
      <c r="E622" s="24"/>
      <c r="F622" s="21" t="s">
        <v>136</v>
      </c>
      <c r="G622" s="12">
        <v>27</v>
      </c>
      <c r="H622" s="7"/>
      <c r="I622" s="7"/>
      <c r="J622" s="7"/>
      <c r="K622" s="7"/>
      <c r="L622" s="7"/>
      <c r="M622" s="7"/>
      <c r="N622" t="str">
        <f>_xlfn.CONCAT(D622,"_",F622)</f>
        <v>7_C04</v>
      </c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5" customHeight="1">
      <c r="A623" s="21" t="s">
        <v>15</v>
      </c>
      <c r="B623" s="21" t="s">
        <v>16</v>
      </c>
      <c r="C623" s="22">
        <v>753447</v>
      </c>
      <c r="D623" s="23">
        <v>7</v>
      </c>
      <c r="E623" s="24"/>
      <c r="F623" s="21" t="s">
        <v>138</v>
      </c>
      <c r="G623" s="12">
        <v>28</v>
      </c>
      <c r="H623" s="7"/>
      <c r="I623" s="7"/>
      <c r="J623" s="7"/>
      <c r="K623" s="7"/>
      <c r="L623" s="7"/>
      <c r="M623" s="7"/>
      <c r="N623" t="str">
        <f>_xlfn.CONCAT(D623,"_",F623)</f>
        <v>7_D04</v>
      </c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5" customHeight="1">
      <c r="A624" s="21" t="s">
        <v>15</v>
      </c>
      <c r="B624" s="21" t="s">
        <v>16</v>
      </c>
      <c r="C624" s="22">
        <v>753448</v>
      </c>
      <c r="D624" s="23">
        <v>7</v>
      </c>
      <c r="E624" s="24"/>
      <c r="F624" s="21" t="s">
        <v>140</v>
      </c>
      <c r="G624" s="12">
        <v>29</v>
      </c>
      <c r="H624" s="7"/>
      <c r="I624" s="7"/>
      <c r="J624" s="7"/>
      <c r="K624" s="7"/>
      <c r="L624" s="7"/>
      <c r="M624" s="7"/>
      <c r="N624" t="str">
        <f>_xlfn.CONCAT(D624,"_",F624)</f>
        <v>7_E04</v>
      </c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5" customHeight="1">
      <c r="A625" s="21" t="s">
        <v>15</v>
      </c>
      <c r="B625" s="21" t="s">
        <v>16</v>
      </c>
      <c r="C625" s="22">
        <v>753449</v>
      </c>
      <c r="D625" s="23">
        <v>7</v>
      </c>
      <c r="E625" s="24"/>
      <c r="F625" s="21" t="s">
        <v>142</v>
      </c>
      <c r="G625" s="12">
        <v>30</v>
      </c>
      <c r="H625" s="7"/>
      <c r="I625" s="7"/>
      <c r="J625" s="7"/>
      <c r="K625" s="7"/>
      <c r="L625" s="7"/>
      <c r="M625" s="7"/>
      <c r="N625" t="str">
        <f>_xlfn.CONCAT(D625,"_",F625)</f>
        <v>7_F04</v>
      </c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5" customHeight="1">
      <c r="A626" s="21" t="s">
        <v>15</v>
      </c>
      <c r="B626" s="21" t="s">
        <v>16</v>
      </c>
      <c r="C626" s="22">
        <v>753450</v>
      </c>
      <c r="D626" s="23">
        <v>7</v>
      </c>
      <c r="E626" s="24"/>
      <c r="F626" s="21" t="s">
        <v>144</v>
      </c>
      <c r="G626" s="12">
        <v>31</v>
      </c>
      <c r="H626" s="7"/>
      <c r="I626" s="7"/>
      <c r="J626" s="7"/>
      <c r="K626" s="7"/>
      <c r="L626" s="7"/>
      <c r="M626" s="7"/>
      <c r="N626" t="str">
        <f>_xlfn.CONCAT(D626,"_",F626)</f>
        <v>7_G04</v>
      </c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5" customHeight="1">
      <c r="A627" s="21" t="s">
        <v>15</v>
      </c>
      <c r="B627" s="21" t="s">
        <v>16</v>
      </c>
      <c r="C627" s="22">
        <v>753451</v>
      </c>
      <c r="D627" s="23">
        <v>7</v>
      </c>
      <c r="E627" s="24"/>
      <c r="F627" s="21" t="s">
        <v>146</v>
      </c>
      <c r="G627" s="12">
        <v>32</v>
      </c>
      <c r="H627" s="7"/>
      <c r="I627" s="7"/>
      <c r="J627" s="7"/>
      <c r="K627" s="7"/>
      <c r="L627" s="7"/>
      <c r="M627" s="7"/>
      <c r="N627" t="str">
        <f>_xlfn.CONCAT(D627,"_",F627)</f>
        <v>7_H04</v>
      </c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5" customHeight="1">
      <c r="A628" s="21" t="s">
        <v>15</v>
      </c>
      <c r="B628" s="21" t="s">
        <v>16</v>
      </c>
      <c r="C628" s="22">
        <v>753459</v>
      </c>
      <c r="D628" s="23">
        <v>7</v>
      </c>
      <c r="E628" s="24"/>
      <c r="F628" s="21" t="s">
        <v>148</v>
      </c>
      <c r="G628" s="12">
        <v>33</v>
      </c>
      <c r="H628" s="7"/>
      <c r="I628" s="7"/>
      <c r="J628" s="7"/>
      <c r="K628" s="7"/>
      <c r="L628" s="7"/>
      <c r="M628" s="7"/>
      <c r="N628" t="str">
        <f>_xlfn.CONCAT(D628,"_",F628)</f>
        <v>7_A05</v>
      </c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5" customHeight="1">
      <c r="A629" s="21" t="s">
        <v>15</v>
      </c>
      <c r="B629" s="21" t="s">
        <v>16</v>
      </c>
      <c r="C629" s="22">
        <v>753458</v>
      </c>
      <c r="D629" s="23">
        <v>7</v>
      </c>
      <c r="E629" s="24"/>
      <c r="F629" s="21" t="s">
        <v>150</v>
      </c>
      <c r="G629" s="12">
        <v>34</v>
      </c>
      <c r="H629" s="7"/>
      <c r="I629" s="7"/>
      <c r="J629" s="7"/>
      <c r="K629" s="7"/>
      <c r="L629" s="7"/>
      <c r="M629" s="7"/>
      <c r="N629" t="str">
        <f>_xlfn.CONCAT(D629,"_",F629)</f>
        <v>7_B05</v>
      </c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5" customHeight="1">
      <c r="A630" s="21" t="s">
        <v>15</v>
      </c>
      <c r="B630" s="21" t="s">
        <v>16</v>
      </c>
      <c r="C630" s="22">
        <v>753457</v>
      </c>
      <c r="D630" s="23">
        <v>7</v>
      </c>
      <c r="E630" s="24"/>
      <c r="F630" s="21" t="s">
        <v>13</v>
      </c>
      <c r="G630" s="12">
        <v>35</v>
      </c>
      <c r="H630" s="7"/>
      <c r="I630" s="7"/>
      <c r="J630" s="7"/>
      <c r="K630" s="7"/>
      <c r="L630" s="7"/>
      <c r="M630" s="7"/>
      <c r="N630" t="str">
        <f>_xlfn.CONCAT(D630,"_",F630)</f>
        <v>7_C05</v>
      </c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5" customHeight="1">
      <c r="A631" s="21" t="s">
        <v>15</v>
      </c>
      <c r="B631" s="21" t="s">
        <v>16</v>
      </c>
      <c r="C631" s="22">
        <v>753456</v>
      </c>
      <c r="D631" s="23">
        <v>7</v>
      </c>
      <c r="E631" s="24"/>
      <c r="F631" s="21" t="s">
        <v>17</v>
      </c>
      <c r="G631" s="12">
        <v>36</v>
      </c>
      <c r="H631" s="7"/>
      <c r="I631" s="7"/>
      <c r="J631" s="7"/>
      <c r="K631" s="7"/>
      <c r="L631" s="7"/>
      <c r="M631" s="7"/>
      <c r="N631" t="str">
        <f>_xlfn.CONCAT(D631,"_",F631)</f>
        <v>7_D05</v>
      </c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5" customHeight="1">
      <c r="A632" s="21" t="s">
        <v>15</v>
      </c>
      <c r="B632" s="21" t="s">
        <v>16</v>
      </c>
      <c r="C632" s="22">
        <v>753455</v>
      </c>
      <c r="D632" s="23">
        <v>7</v>
      </c>
      <c r="E632" s="24"/>
      <c r="F632" s="21" t="s">
        <v>19</v>
      </c>
      <c r="G632" s="12">
        <v>37</v>
      </c>
      <c r="H632" s="7"/>
      <c r="I632" s="7"/>
      <c r="J632" s="7"/>
      <c r="K632" s="7"/>
      <c r="L632" s="7"/>
      <c r="M632" s="7"/>
      <c r="N632" t="str">
        <f>_xlfn.CONCAT(D632,"_",F632)</f>
        <v>7_E05</v>
      </c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5" customHeight="1">
      <c r="A633" s="21" t="s">
        <v>15</v>
      </c>
      <c r="B633" s="21" t="s">
        <v>16</v>
      </c>
      <c r="C633" s="22">
        <v>753470</v>
      </c>
      <c r="D633" s="23">
        <v>7</v>
      </c>
      <c r="E633" s="24"/>
      <c r="F633" s="21" t="s">
        <v>21</v>
      </c>
      <c r="G633" s="12">
        <v>38</v>
      </c>
      <c r="H633" s="7"/>
      <c r="I633" s="7"/>
      <c r="J633" s="7"/>
      <c r="K633" s="7"/>
      <c r="L633" s="7"/>
      <c r="M633" s="7"/>
      <c r="N633" t="str">
        <f>_xlfn.CONCAT(D633,"_",F633)</f>
        <v>7_F05</v>
      </c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5" customHeight="1">
      <c r="A634" s="21" t="s">
        <v>15</v>
      </c>
      <c r="B634" s="21" t="s">
        <v>16</v>
      </c>
      <c r="C634" s="22">
        <v>753469</v>
      </c>
      <c r="D634" s="23">
        <v>7</v>
      </c>
      <c r="E634" s="24"/>
      <c r="F634" s="21" t="s">
        <v>152</v>
      </c>
      <c r="G634" s="12">
        <v>39</v>
      </c>
      <c r="H634" s="7"/>
      <c r="I634" s="7"/>
      <c r="J634" s="7"/>
      <c r="K634" s="7"/>
      <c r="L634" s="7"/>
      <c r="M634" s="7"/>
      <c r="N634" t="str">
        <f>_xlfn.CONCAT(D634,"_",F634)</f>
        <v>7_G05</v>
      </c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5" customHeight="1">
      <c r="A635" s="21" t="s">
        <v>15</v>
      </c>
      <c r="B635" s="21" t="s">
        <v>16</v>
      </c>
      <c r="C635" s="22">
        <v>753468</v>
      </c>
      <c r="D635" s="23">
        <v>7</v>
      </c>
      <c r="E635" s="24"/>
      <c r="F635" s="21" t="s">
        <v>154</v>
      </c>
      <c r="G635" s="12">
        <v>40</v>
      </c>
      <c r="H635" s="7"/>
      <c r="I635" s="7"/>
      <c r="J635" s="7"/>
      <c r="K635" s="7"/>
      <c r="L635" s="7"/>
      <c r="M635" s="7"/>
      <c r="N635" t="str">
        <f>_xlfn.CONCAT(D635,"_",F635)</f>
        <v>7_H05</v>
      </c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5" customHeight="1">
      <c r="A636" s="21" t="s">
        <v>15</v>
      </c>
      <c r="B636" s="21" t="s">
        <v>16</v>
      </c>
      <c r="C636" s="22">
        <v>753452</v>
      </c>
      <c r="D636" s="23">
        <v>7</v>
      </c>
      <c r="E636" s="24"/>
      <c r="F636" s="21" t="s">
        <v>156</v>
      </c>
      <c r="G636" s="12">
        <v>41</v>
      </c>
      <c r="H636" s="7"/>
      <c r="I636" s="7"/>
      <c r="J636" s="7"/>
      <c r="K636" s="7"/>
      <c r="L636" s="7"/>
      <c r="M636" s="7"/>
      <c r="N636" t="str">
        <f>_xlfn.CONCAT(D636,"_",F636)</f>
        <v>7_A06</v>
      </c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5" customHeight="1">
      <c r="A637" s="21" t="s">
        <v>15</v>
      </c>
      <c r="B637" s="21" t="s">
        <v>16</v>
      </c>
      <c r="C637" s="22">
        <v>753453</v>
      </c>
      <c r="D637" s="23">
        <v>7</v>
      </c>
      <c r="E637" s="24"/>
      <c r="F637" s="21" t="s">
        <v>158</v>
      </c>
      <c r="G637" s="12">
        <v>42</v>
      </c>
      <c r="H637" s="7"/>
      <c r="I637" s="7"/>
      <c r="J637" s="7"/>
      <c r="K637" s="7"/>
      <c r="L637" s="7"/>
      <c r="M637" s="7"/>
      <c r="N637" t="str">
        <f>_xlfn.CONCAT(D637,"_",F637)</f>
        <v>7_B06</v>
      </c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5" customHeight="1">
      <c r="A638" s="21" t="s">
        <v>15</v>
      </c>
      <c r="B638" s="21" t="s">
        <v>16</v>
      </c>
      <c r="C638" s="22">
        <v>753454</v>
      </c>
      <c r="D638" s="23">
        <v>7</v>
      </c>
      <c r="E638" s="24"/>
      <c r="F638" s="21" t="s">
        <v>160</v>
      </c>
      <c r="G638" s="12">
        <v>43</v>
      </c>
      <c r="H638" s="7"/>
      <c r="I638" s="7"/>
      <c r="J638" s="7"/>
      <c r="K638" s="7"/>
      <c r="L638" s="7"/>
      <c r="M638" s="7"/>
      <c r="N638" t="str">
        <f>_xlfn.CONCAT(D638,"_",F638)</f>
        <v>7_C06</v>
      </c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5" customHeight="1">
      <c r="A639" s="21" t="s">
        <v>15</v>
      </c>
      <c r="B639" s="21" t="s">
        <v>16</v>
      </c>
      <c r="C639" s="22">
        <v>753460</v>
      </c>
      <c r="D639" s="23">
        <v>7</v>
      </c>
      <c r="E639" s="24"/>
      <c r="F639" s="21" t="s">
        <v>23</v>
      </c>
      <c r="G639" s="12">
        <v>44</v>
      </c>
      <c r="H639" s="7"/>
      <c r="I639" s="7"/>
      <c r="J639" s="7"/>
      <c r="K639" s="7"/>
      <c r="L639" s="7"/>
      <c r="M639" s="7"/>
      <c r="N639" t="str">
        <f>_xlfn.CONCAT(D639,"_",F639)</f>
        <v>7_D06</v>
      </c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5" customHeight="1">
      <c r="A640" s="21" t="s">
        <v>15</v>
      </c>
      <c r="B640" s="21" t="s">
        <v>16</v>
      </c>
      <c r="C640" s="22">
        <v>753461</v>
      </c>
      <c r="D640" s="23">
        <v>7</v>
      </c>
      <c r="E640" s="24"/>
      <c r="F640" s="21" t="s">
        <v>25</v>
      </c>
      <c r="G640" s="12">
        <v>45</v>
      </c>
      <c r="H640" s="7"/>
      <c r="I640" s="7"/>
      <c r="J640" s="7"/>
      <c r="K640" s="7"/>
      <c r="L640" s="7"/>
      <c r="M640" s="7"/>
      <c r="N640" t="str">
        <f>_xlfn.CONCAT(D640,"_",F640)</f>
        <v>7_E06</v>
      </c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5" customHeight="1">
      <c r="A641" s="21" t="s">
        <v>15</v>
      </c>
      <c r="B641" s="21" t="s">
        <v>16</v>
      </c>
      <c r="C641" s="22">
        <v>753462</v>
      </c>
      <c r="D641" s="23">
        <v>7</v>
      </c>
      <c r="E641" s="24"/>
      <c r="F641" s="21" t="s">
        <v>27</v>
      </c>
      <c r="G641" s="12">
        <v>46</v>
      </c>
      <c r="H641" s="7"/>
      <c r="I641" s="7"/>
      <c r="J641" s="7"/>
      <c r="K641" s="7"/>
      <c r="L641" s="7"/>
      <c r="M641" s="7"/>
      <c r="N641" t="str">
        <f>_xlfn.CONCAT(D641,"_",F641)</f>
        <v>7_F06</v>
      </c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5" customHeight="1">
      <c r="A642" s="21" t="s">
        <v>15</v>
      </c>
      <c r="B642" s="21" t="s">
        <v>16</v>
      </c>
      <c r="C642" s="22">
        <v>753431</v>
      </c>
      <c r="D642" s="23">
        <v>7</v>
      </c>
      <c r="E642" s="24"/>
      <c r="F642" s="21" t="s">
        <v>162</v>
      </c>
      <c r="G642" s="12">
        <v>47</v>
      </c>
      <c r="H642" s="7"/>
      <c r="I642" s="7"/>
      <c r="J642" s="7"/>
      <c r="K642" s="7"/>
      <c r="L642" s="7"/>
      <c r="M642" s="7"/>
      <c r="N642" t="str">
        <f>_xlfn.CONCAT(D642,"_",F642)</f>
        <v>7_G06</v>
      </c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5" customHeight="1">
      <c r="A643" s="21" t="s">
        <v>15</v>
      </c>
      <c r="B643" s="21" t="s">
        <v>16</v>
      </c>
      <c r="C643" s="22">
        <v>753432</v>
      </c>
      <c r="D643" s="23">
        <v>7</v>
      </c>
      <c r="E643" s="24"/>
      <c r="F643" s="21" t="s">
        <v>164</v>
      </c>
      <c r="G643" s="12">
        <v>48</v>
      </c>
      <c r="H643" s="7"/>
      <c r="I643" s="7"/>
      <c r="J643" s="7"/>
      <c r="K643" s="7"/>
      <c r="L643" s="7"/>
      <c r="M643" s="7"/>
      <c r="N643" t="str">
        <f>_xlfn.CONCAT(D643,"_",F643)</f>
        <v>7_H06</v>
      </c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5" customHeight="1">
      <c r="A644" s="21" t="s">
        <v>15</v>
      </c>
      <c r="B644" s="21" t="s">
        <v>16</v>
      </c>
      <c r="C644" s="22">
        <v>753433</v>
      </c>
      <c r="D644" s="23">
        <v>7</v>
      </c>
      <c r="E644" s="24"/>
      <c r="F644" s="21" t="s">
        <v>166</v>
      </c>
      <c r="G644" s="12">
        <v>49</v>
      </c>
      <c r="H644" s="7"/>
      <c r="I644" s="7"/>
      <c r="J644" s="7"/>
      <c r="K644" s="7"/>
      <c r="L644" s="7"/>
      <c r="M644" s="7"/>
      <c r="N644" t="str">
        <f>_xlfn.CONCAT(D644,"_",F644)</f>
        <v>7_A07</v>
      </c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5" customHeight="1">
      <c r="A645" s="21" t="s">
        <v>15</v>
      </c>
      <c r="B645" s="21" t="s">
        <v>16</v>
      </c>
      <c r="C645" s="22">
        <v>753434</v>
      </c>
      <c r="D645" s="23">
        <v>7</v>
      </c>
      <c r="E645" s="24"/>
      <c r="F645" s="21" t="s">
        <v>168</v>
      </c>
      <c r="G645" s="12">
        <v>50</v>
      </c>
      <c r="H645" s="7"/>
      <c r="I645" s="7"/>
      <c r="J645" s="7"/>
      <c r="K645" s="7"/>
      <c r="L645" s="7"/>
      <c r="M645" s="7"/>
      <c r="N645" t="str">
        <f>_xlfn.CONCAT(D645,"_",F645)</f>
        <v>7_B07</v>
      </c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5" customHeight="1">
      <c r="A646" s="21" t="s">
        <v>15</v>
      </c>
      <c r="B646" s="21" t="s">
        <v>16</v>
      </c>
      <c r="C646" s="22">
        <v>753435</v>
      </c>
      <c r="D646" s="23">
        <v>7</v>
      </c>
      <c r="E646" s="24"/>
      <c r="F646" s="21" t="s">
        <v>43</v>
      </c>
      <c r="G646" s="12">
        <v>51</v>
      </c>
      <c r="H646" s="7"/>
      <c r="I646" s="7"/>
      <c r="J646" s="7"/>
      <c r="K646" s="7"/>
      <c r="L646" s="7"/>
      <c r="M646" s="7"/>
      <c r="N646" t="str">
        <f>_xlfn.CONCAT(D646,"_",F646)</f>
        <v>7_C07</v>
      </c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5" customHeight="1">
      <c r="A647" s="21" t="s">
        <v>15</v>
      </c>
      <c r="B647" s="21" t="s">
        <v>16</v>
      </c>
      <c r="C647" s="22">
        <v>753443</v>
      </c>
      <c r="D647" s="23">
        <v>7</v>
      </c>
      <c r="E647" s="24"/>
      <c r="F647" s="21" t="s">
        <v>45</v>
      </c>
      <c r="G647" s="12">
        <v>52</v>
      </c>
      <c r="H647" s="7"/>
      <c r="I647" s="7"/>
      <c r="J647" s="7"/>
      <c r="K647" s="7"/>
      <c r="L647" s="7"/>
      <c r="M647" s="7"/>
      <c r="N647" t="str">
        <f>_xlfn.CONCAT(D647,"_",F647)</f>
        <v>7_D07</v>
      </c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5" customHeight="1">
      <c r="A648" s="21" t="s">
        <v>15</v>
      </c>
      <c r="B648" s="21" t="s">
        <v>16</v>
      </c>
      <c r="C648" s="22">
        <v>753442</v>
      </c>
      <c r="D648" s="23">
        <v>7</v>
      </c>
      <c r="E648" s="24"/>
      <c r="F648" s="21" t="s">
        <v>170</v>
      </c>
      <c r="G648" s="12">
        <v>53</v>
      </c>
      <c r="H648" s="7"/>
      <c r="I648" s="7"/>
      <c r="J648" s="7"/>
      <c r="K648" s="7"/>
      <c r="L648" s="7"/>
      <c r="M648" s="7"/>
      <c r="N648" t="str">
        <f>_xlfn.CONCAT(D648,"_",F648)</f>
        <v>7_E07</v>
      </c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5" customHeight="1">
      <c r="A649" s="21" t="s">
        <v>15</v>
      </c>
      <c r="B649" s="21" t="s">
        <v>16</v>
      </c>
      <c r="C649" s="22">
        <v>753441</v>
      </c>
      <c r="D649" s="23">
        <v>7</v>
      </c>
      <c r="E649" s="24"/>
      <c r="F649" s="21" t="s">
        <v>29</v>
      </c>
      <c r="G649" s="12">
        <v>54</v>
      </c>
      <c r="H649" s="7"/>
      <c r="I649" s="7"/>
      <c r="J649" s="7"/>
      <c r="K649" s="7"/>
      <c r="L649" s="7"/>
      <c r="M649" s="7"/>
      <c r="N649" t="str">
        <f>_xlfn.CONCAT(D649,"_",F649)</f>
        <v>7_F07</v>
      </c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5" customHeight="1">
      <c r="A650" s="21" t="s">
        <v>15</v>
      </c>
      <c r="B650" s="21" t="s">
        <v>16</v>
      </c>
      <c r="C650" s="22">
        <v>753440</v>
      </c>
      <c r="D650" s="23">
        <v>7</v>
      </c>
      <c r="E650" s="24"/>
      <c r="F650" s="21" t="s">
        <v>31</v>
      </c>
      <c r="G650" s="12">
        <v>55</v>
      </c>
      <c r="H650" s="7"/>
      <c r="I650" s="7"/>
      <c r="J650" s="7"/>
      <c r="K650" s="7"/>
      <c r="L650" s="7"/>
      <c r="M650" s="7"/>
      <c r="N650" t="str">
        <f>_xlfn.CONCAT(D650,"_",F650)</f>
        <v>7_G07</v>
      </c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5" customHeight="1">
      <c r="A651" s="21" t="s">
        <v>15</v>
      </c>
      <c r="B651" s="21" t="s">
        <v>16</v>
      </c>
      <c r="C651" s="22">
        <v>753439</v>
      </c>
      <c r="D651" s="23">
        <v>7</v>
      </c>
      <c r="E651" s="24"/>
      <c r="F651" s="21" t="s">
        <v>33</v>
      </c>
      <c r="G651" s="12">
        <v>56</v>
      </c>
      <c r="H651" s="7"/>
      <c r="I651" s="7"/>
      <c r="J651" s="7"/>
      <c r="K651" s="7"/>
      <c r="L651" s="7"/>
      <c r="M651" s="7"/>
      <c r="N651" t="str">
        <f>_xlfn.CONCAT(D651,"_",F651)</f>
        <v>7_H07</v>
      </c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5" customHeight="1">
      <c r="A652" s="21" t="s">
        <v>15</v>
      </c>
      <c r="B652" s="21" t="s">
        <v>16</v>
      </c>
      <c r="C652" s="22">
        <v>753446</v>
      </c>
      <c r="D652" s="23">
        <v>7</v>
      </c>
      <c r="E652" s="24"/>
      <c r="F652" s="21" t="s">
        <v>35</v>
      </c>
      <c r="G652" s="12">
        <v>57</v>
      </c>
      <c r="H652" s="7"/>
      <c r="I652" s="7"/>
      <c r="J652" s="7"/>
      <c r="K652" s="7"/>
      <c r="L652" s="7"/>
      <c r="M652" s="7"/>
      <c r="N652" t="str">
        <f>_xlfn.CONCAT(D652,"_",F652)</f>
        <v>7_A08</v>
      </c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5" customHeight="1">
      <c r="A653" s="21" t="s">
        <v>15</v>
      </c>
      <c r="B653" s="21" t="s">
        <v>16</v>
      </c>
      <c r="C653" s="22">
        <v>753445</v>
      </c>
      <c r="D653" s="23">
        <v>7</v>
      </c>
      <c r="E653" s="24"/>
      <c r="F653" s="21" t="s">
        <v>37</v>
      </c>
      <c r="G653" s="12">
        <v>58</v>
      </c>
      <c r="H653" s="7"/>
      <c r="I653" s="7"/>
      <c r="J653" s="7"/>
      <c r="K653" s="7"/>
      <c r="L653" s="7"/>
      <c r="M653" s="7"/>
      <c r="N653" t="str">
        <f>_xlfn.CONCAT(D653,"_",F653)</f>
        <v>7_B08</v>
      </c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5" customHeight="1">
      <c r="A654" s="21" t="s">
        <v>15</v>
      </c>
      <c r="B654" s="21" t="s">
        <v>16</v>
      </c>
      <c r="C654" s="22">
        <v>753444</v>
      </c>
      <c r="D654" s="23">
        <v>7</v>
      </c>
      <c r="E654" s="24"/>
      <c r="F654" s="21" t="s">
        <v>172</v>
      </c>
      <c r="G654" s="12">
        <v>59</v>
      </c>
      <c r="H654" s="7"/>
      <c r="I654" s="7"/>
      <c r="J654" s="7"/>
      <c r="K654" s="7"/>
      <c r="L654" s="7"/>
      <c r="M654" s="7"/>
      <c r="N654" t="str">
        <f>_xlfn.CONCAT(D654,"_",F654)</f>
        <v>7_C08</v>
      </c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5" customHeight="1">
      <c r="A655" s="21" t="s">
        <v>15</v>
      </c>
      <c r="B655" s="21" t="s">
        <v>16</v>
      </c>
      <c r="C655" s="22">
        <v>753436</v>
      </c>
      <c r="D655" s="23">
        <v>7</v>
      </c>
      <c r="E655" s="24"/>
      <c r="F655" s="21" t="s">
        <v>174</v>
      </c>
      <c r="G655" s="12">
        <v>60</v>
      </c>
      <c r="H655" s="7"/>
      <c r="I655" s="7"/>
      <c r="J655" s="7"/>
      <c r="K655" s="7"/>
      <c r="L655" s="7"/>
      <c r="M655" s="7"/>
      <c r="N655" t="str">
        <f>_xlfn.CONCAT(D655,"_",F655)</f>
        <v>7_D08</v>
      </c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5" customHeight="1">
      <c r="A656" s="28" t="s">
        <v>15</v>
      </c>
      <c r="B656" s="28" t="s">
        <v>16</v>
      </c>
      <c r="C656" s="29">
        <v>753437</v>
      </c>
      <c r="D656" s="32">
        <v>7</v>
      </c>
      <c r="E656" s="33"/>
      <c r="F656" s="28" t="s">
        <v>176</v>
      </c>
      <c r="G656" s="12">
        <v>61</v>
      </c>
      <c r="H656" s="7"/>
      <c r="I656" s="7"/>
      <c r="J656" s="7"/>
      <c r="K656" s="7"/>
      <c r="L656" s="7"/>
      <c r="M656" s="7"/>
      <c r="N656" t="str">
        <f>_xlfn.CONCAT(D656,"_",F656)</f>
        <v>7_E08</v>
      </c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5" customHeight="1">
      <c r="A657" s="28" t="s">
        <v>15</v>
      </c>
      <c r="B657" s="28" t="s">
        <v>16</v>
      </c>
      <c r="C657" s="29">
        <v>753438</v>
      </c>
      <c r="D657" s="32">
        <v>7</v>
      </c>
      <c r="E657" s="33"/>
      <c r="F657" s="28" t="s">
        <v>178</v>
      </c>
      <c r="G657" s="12">
        <v>62</v>
      </c>
      <c r="H657" s="7"/>
      <c r="I657" s="7"/>
      <c r="J657" s="7"/>
      <c r="K657" s="7"/>
      <c r="L657" s="7"/>
      <c r="M657" s="7"/>
      <c r="N657" t="str">
        <f>_xlfn.CONCAT(D657,"_",F657)</f>
        <v>7_F08</v>
      </c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5" customHeight="1">
      <c r="A658" s="28" t="s">
        <v>15</v>
      </c>
      <c r="B658" s="28" t="s">
        <v>16</v>
      </c>
      <c r="C658" s="29">
        <v>753420</v>
      </c>
      <c r="D658" s="32">
        <v>7</v>
      </c>
      <c r="E658" s="33"/>
      <c r="F658" s="28" t="s">
        <v>180</v>
      </c>
      <c r="G658" s="12">
        <v>63</v>
      </c>
      <c r="H658" s="7"/>
      <c r="I658" s="7"/>
      <c r="J658" s="7"/>
      <c r="K658" s="7"/>
      <c r="L658" s="7"/>
      <c r="M658" s="7"/>
      <c r="N658" t="str">
        <f>_xlfn.CONCAT(D658,"_",F658)</f>
        <v>7_G08</v>
      </c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5" customHeight="1">
      <c r="A659" s="28" t="s">
        <v>15</v>
      </c>
      <c r="B659" s="28" t="s">
        <v>16</v>
      </c>
      <c r="C659" s="29">
        <v>753421</v>
      </c>
      <c r="D659" s="32">
        <v>7</v>
      </c>
      <c r="E659" s="33"/>
      <c r="F659" s="28" t="s">
        <v>182</v>
      </c>
      <c r="G659" s="12">
        <v>64</v>
      </c>
      <c r="H659" s="7"/>
      <c r="I659" s="7"/>
      <c r="J659" s="7"/>
      <c r="K659" s="7"/>
      <c r="L659" s="7"/>
      <c r="M659" s="7"/>
      <c r="N659" t="str">
        <f>_xlfn.CONCAT(D659,"_",F659)</f>
        <v>7_H08</v>
      </c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5" customHeight="1">
      <c r="A660" s="28" t="s">
        <v>15</v>
      </c>
      <c r="B660" s="28" t="s">
        <v>16</v>
      </c>
      <c r="C660" s="29">
        <v>753422</v>
      </c>
      <c r="D660" s="32">
        <v>7</v>
      </c>
      <c r="E660" s="33"/>
      <c r="F660" s="28" t="s">
        <v>39</v>
      </c>
      <c r="G660" s="12">
        <v>65</v>
      </c>
      <c r="H660" s="7"/>
      <c r="I660" s="7"/>
      <c r="J660" s="7"/>
      <c r="K660" s="7"/>
      <c r="L660" s="7"/>
      <c r="M660" s="7"/>
      <c r="N660" t="str">
        <f>_xlfn.CONCAT(D660,"_",F660)</f>
        <v>7_A09</v>
      </c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5" customHeight="1">
      <c r="A661" s="28" t="s">
        <v>15</v>
      </c>
      <c r="B661" s="28" t="s">
        <v>16</v>
      </c>
      <c r="C661" s="29">
        <v>753430</v>
      </c>
      <c r="D661" s="32">
        <v>7</v>
      </c>
      <c r="E661" s="33"/>
      <c r="F661" s="28" t="s">
        <v>41</v>
      </c>
      <c r="G661" s="12">
        <v>66</v>
      </c>
      <c r="H661" s="7"/>
      <c r="I661" s="7"/>
      <c r="J661" s="7"/>
      <c r="K661" s="7"/>
      <c r="L661" s="7"/>
      <c r="M661" s="7"/>
      <c r="N661" t="str">
        <f>_xlfn.CONCAT(D661,"_",F661)</f>
        <v>7_B09</v>
      </c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5" customHeight="1">
      <c r="A662" s="28" t="s">
        <v>15</v>
      </c>
      <c r="B662" s="28" t="s">
        <v>16</v>
      </c>
      <c r="C662" s="29">
        <v>753429</v>
      </c>
      <c r="D662" s="32">
        <v>7</v>
      </c>
      <c r="E662" s="33"/>
      <c r="F662" s="28" t="s">
        <v>184</v>
      </c>
      <c r="G662" s="12">
        <v>67</v>
      </c>
      <c r="H662" s="7"/>
      <c r="I662" s="7"/>
      <c r="J662" s="7"/>
      <c r="K662" s="7"/>
      <c r="L662" s="7"/>
      <c r="M662" s="7"/>
      <c r="N662" t="str">
        <f>_xlfn.CONCAT(D662,"_",F662)</f>
        <v>7_C09</v>
      </c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5" customHeight="1">
      <c r="A663" s="28" t="s">
        <v>15</v>
      </c>
      <c r="B663" s="28" t="s">
        <v>16</v>
      </c>
      <c r="C663" s="29">
        <v>753428</v>
      </c>
      <c r="D663" s="32">
        <v>7</v>
      </c>
      <c r="E663" s="33"/>
      <c r="F663" s="28" t="s">
        <v>186</v>
      </c>
      <c r="G663" s="12">
        <v>68</v>
      </c>
      <c r="H663" s="7"/>
      <c r="I663" s="7"/>
      <c r="J663" s="7"/>
      <c r="K663" s="7"/>
      <c r="L663" s="7"/>
      <c r="M663" s="7"/>
      <c r="N663" t="str">
        <f>_xlfn.CONCAT(D663,"_",F663)</f>
        <v>7_D09</v>
      </c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5" customHeight="1">
      <c r="A664" s="28" t="s">
        <v>15</v>
      </c>
      <c r="B664" s="28" t="s">
        <v>16</v>
      </c>
      <c r="C664" s="29">
        <v>753415</v>
      </c>
      <c r="D664" s="32">
        <v>7</v>
      </c>
      <c r="E664" s="33"/>
      <c r="F664" s="28" t="s">
        <v>188</v>
      </c>
      <c r="G664" s="12">
        <v>69</v>
      </c>
      <c r="H664" s="7"/>
      <c r="I664" s="7"/>
      <c r="J664" s="7"/>
      <c r="K664" s="7"/>
      <c r="L664" s="7"/>
      <c r="M664" s="7"/>
      <c r="N664" t="str">
        <f>_xlfn.CONCAT(D664,"_",F664)</f>
        <v>7_E09</v>
      </c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5" customHeight="1">
      <c r="A665" s="28" t="s">
        <v>15</v>
      </c>
      <c r="B665" s="28" t="s">
        <v>16</v>
      </c>
      <c r="C665" s="29">
        <v>753416</v>
      </c>
      <c r="D665" s="32">
        <v>7</v>
      </c>
      <c r="E665" s="33"/>
      <c r="F665" s="28" t="s">
        <v>190</v>
      </c>
      <c r="G665" s="12">
        <v>70</v>
      </c>
      <c r="H665" s="7"/>
      <c r="I665" s="7"/>
      <c r="J665" s="7"/>
      <c r="K665" s="7"/>
      <c r="L665" s="7"/>
      <c r="M665" s="7"/>
      <c r="N665" t="str">
        <f>_xlfn.CONCAT(D665,"_",F665)</f>
        <v>7_F09</v>
      </c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5" customHeight="1">
      <c r="A666" s="28" t="s">
        <v>15</v>
      </c>
      <c r="B666" s="28" t="s">
        <v>16</v>
      </c>
      <c r="C666" s="29">
        <v>753417</v>
      </c>
      <c r="D666" s="32">
        <v>7</v>
      </c>
      <c r="E666" s="33"/>
      <c r="F666" s="28" t="s">
        <v>192</v>
      </c>
      <c r="G666" s="12">
        <v>71</v>
      </c>
      <c r="H666" s="7"/>
      <c r="I666" s="7"/>
      <c r="J666" s="7"/>
      <c r="K666" s="7"/>
      <c r="L666" s="7"/>
      <c r="M666" s="7"/>
      <c r="N666" t="str">
        <f>_xlfn.CONCAT(D666,"_",F666)</f>
        <v>7_G09</v>
      </c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5" customHeight="1">
      <c r="A667" s="28" t="s">
        <v>15</v>
      </c>
      <c r="B667" s="28" t="s">
        <v>16</v>
      </c>
      <c r="C667" s="29">
        <v>753418</v>
      </c>
      <c r="D667" s="32">
        <v>7</v>
      </c>
      <c r="E667" s="33"/>
      <c r="F667" s="28" t="s">
        <v>194</v>
      </c>
      <c r="G667" s="12">
        <v>72</v>
      </c>
      <c r="H667" s="7"/>
      <c r="I667" s="7"/>
      <c r="J667" s="7"/>
      <c r="K667" s="7"/>
      <c r="L667" s="7"/>
      <c r="M667" s="7"/>
      <c r="N667" t="str">
        <f>_xlfn.CONCAT(D667,"_",F667)</f>
        <v>7_H09</v>
      </c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5" customHeight="1">
      <c r="A668" s="28" t="s">
        <v>15</v>
      </c>
      <c r="B668" s="28" t="s">
        <v>16</v>
      </c>
      <c r="C668" s="29">
        <v>753419</v>
      </c>
      <c r="D668" s="32">
        <v>7</v>
      </c>
      <c r="E668" s="33"/>
      <c r="F668" s="28" t="s">
        <v>196</v>
      </c>
      <c r="G668" s="12">
        <v>73</v>
      </c>
      <c r="H668" s="7"/>
      <c r="I668" s="7"/>
      <c r="J668" s="7"/>
      <c r="K668" s="7"/>
      <c r="L668" s="7"/>
      <c r="M668" s="7"/>
      <c r="N668" t="str">
        <f>_xlfn.CONCAT(D668,"_",F668)</f>
        <v>7_A10</v>
      </c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5" customHeight="1">
      <c r="A669" s="28" t="s">
        <v>15</v>
      </c>
      <c r="B669" s="28" t="s">
        <v>16</v>
      </c>
      <c r="C669" s="29">
        <v>753427</v>
      </c>
      <c r="D669" s="32">
        <v>7</v>
      </c>
      <c r="E669" s="33"/>
      <c r="F669" s="28" t="s">
        <v>198</v>
      </c>
      <c r="G669" s="12">
        <v>74</v>
      </c>
      <c r="H669" s="7"/>
      <c r="I669" s="7"/>
      <c r="J669" s="7"/>
      <c r="K669" s="7"/>
      <c r="L669" s="7"/>
      <c r="M669" s="7"/>
      <c r="N669" t="str">
        <f>_xlfn.CONCAT(D669,"_",F669)</f>
        <v>7_B10</v>
      </c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5" customHeight="1">
      <c r="A670" s="28" t="s">
        <v>15</v>
      </c>
      <c r="B670" s="28" t="s">
        <v>16</v>
      </c>
      <c r="C670" s="29">
        <v>753426</v>
      </c>
      <c r="D670" s="32">
        <v>7</v>
      </c>
      <c r="E670" s="33"/>
      <c r="F670" s="28" t="s">
        <v>200</v>
      </c>
      <c r="G670" s="12">
        <v>75</v>
      </c>
      <c r="H670" s="7"/>
      <c r="I670" s="7"/>
      <c r="J670" s="7"/>
      <c r="K670" s="7"/>
      <c r="L670" s="7"/>
      <c r="M670" s="7"/>
      <c r="N670" t="str">
        <f>_xlfn.CONCAT(D670,"_",F670)</f>
        <v>7_C10</v>
      </c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5" customHeight="1">
      <c r="A671" s="28" t="s">
        <v>15</v>
      </c>
      <c r="B671" s="28" t="s">
        <v>16</v>
      </c>
      <c r="C671" s="29">
        <v>753425</v>
      </c>
      <c r="D671" s="32">
        <v>7</v>
      </c>
      <c r="E671" s="33"/>
      <c r="F671" s="28" t="s">
        <v>202</v>
      </c>
      <c r="G671" s="12">
        <v>76</v>
      </c>
      <c r="H671" s="7"/>
      <c r="I671" s="7"/>
      <c r="J671" s="7"/>
      <c r="K671" s="7"/>
      <c r="L671" s="7"/>
      <c r="M671" s="7"/>
      <c r="N671" t="str">
        <f>_xlfn.CONCAT(D671,"_",F671)</f>
        <v>7_D10</v>
      </c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5" customHeight="1">
      <c r="A672" s="28" t="s">
        <v>15</v>
      </c>
      <c r="B672" s="28" t="s">
        <v>16</v>
      </c>
      <c r="C672" s="29">
        <v>753424</v>
      </c>
      <c r="D672" s="32">
        <v>7</v>
      </c>
      <c r="E672" s="33"/>
      <c r="F672" s="28" t="s">
        <v>204</v>
      </c>
      <c r="G672" s="12">
        <v>77</v>
      </c>
      <c r="H672" s="7"/>
      <c r="I672" s="7"/>
      <c r="J672" s="7"/>
      <c r="K672" s="7"/>
      <c r="L672" s="7"/>
      <c r="M672" s="7"/>
      <c r="N672" t="str">
        <f>_xlfn.CONCAT(D672,"_",F672)</f>
        <v>7_E10</v>
      </c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5" customHeight="1">
      <c r="A673" s="28" t="s">
        <v>15</v>
      </c>
      <c r="B673" s="28" t="s">
        <v>16</v>
      </c>
      <c r="C673" s="29">
        <v>753423</v>
      </c>
      <c r="D673" s="32">
        <v>7</v>
      </c>
      <c r="E673" s="33"/>
      <c r="F673" s="28" t="s">
        <v>206</v>
      </c>
      <c r="G673" s="12">
        <v>78</v>
      </c>
      <c r="H673" s="7"/>
      <c r="I673" s="7"/>
      <c r="J673" s="7"/>
      <c r="K673" s="7"/>
      <c r="L673" s="7"/>
      <c r="M673" s="7"/>
      <c r="N673" t="str">
        <f>_xlfn.CONCAT(D673,"_",F673)</f>
        <v>7_F10</v>
      </c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5" customHeight="1">
      <c r="A674" s="7"/>
      <c r="B674" s="7"/>
      <c r="C674" s="11"/>
      <c r="D674" s="11"/>
      <c r="E674" s="11"/>
      <c r="F674" s="11"/>
      <c r="G674" s="12"/>
      <c r="H674" s="7"/>
      <c r="I674" s="7"/>
      <c r="J674" s="7"/>
      <c r="K674" s="7"/>
      <c r="L674" s="7"/>
      <c r="M674" s="7"/>
      <c r="N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5" customHeight="1">
      <c r="A675" s="7"/>
      <c r="B675" s="7"/>
      <c r="C675" s="11"/>
      <c r="D675" s="11"/>
      <c r="E675" s="11"/>
      <c r="F675" s="11"/>
      <c r="G675" s="12"/>
      <c r="H675" s="7"/>
      <c r="I675" s="7"/>
      <c r="J675" s="7"/>
      <c r="K675" s="7"/>
      <c r="L675" s="7"/>
      <c r="M675" s="7"/>
      <c r="N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5" customHeight="1">
      <c r="A676" s="7"/>
      <c r="B676" s="7"/>
      <c r="C676" s="11"/>
      <c r="D676" s="11"/>
      <c r="E676" s="11"/>
      <c r="F676" s="11"/>
      <c r="G676" s="12"/>
      <c r="H676" s="7"/>
      <c r="I676" s="7"/>
      <c r="J676" s="7"/>
      <c r="K676" s="7"/>
      <c r="L676" s="7"/>
      <c r="M676" s="7"/>
      <c r="N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5" customHeight="1">
      <c r="A677" s="7"/>
      <c r="B677" s="7"/>
      <c r="C677" s="11"/>
      <c r="D677" s="11"/>
      <c r="E677" s="11"/>
      <c r="F677" s="11"/>
      <c r="G677" s="12"/>
      <c r="H677" s="7"/>
      <c r="I677" s="7"/>
      <c r="J677" s="7"/>
      <c r="K677" s="7"/>
      <c r="L677" s="7"/>
      <c r="M677" s="7"/>
      <c r="N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5" customHeight="1">
      <c r="A678" s="7"/>
      <c r="B678" s="7"/>
      <c r="C678" s="11"/>
      <c r="D678" s="11"/>
      <c r="E678" s="11"/>
      <c r="F678" s="11"/>
      <c r="G678" s="12"/>
      <c r="H678" s="7"/>
      <c r="I678" s="7"/>
      <c r="J678" s="7"/>
      <c r="K678" s="7"/>
      <c r="L678" s="7"/>
      <c r="M678" s="7"/>
      <c r="N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5" customHeight="1">
      <c r="A679" s="7"/>
      <c r="B679" s="7"/>
      <c r="C679" s="11"/>
      <c r="D679" s="11"/>
      <c r="E679" s="11"/>
      <c r="F679" s="11"/>
      <c r="G679" s="12"/>
      <c r="H679" s="7"/>
      <c r="I679" s="7"/>
      <c r="J679" s="7"/>
      <c r="K679" s="7"/>
      <c r="L679" s="7"/>
      <c r="M679" s="7"/>
      <c r="N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5" customHeight="1">
      <c r="A680" s="7"/>
      <c r="B680" s="7"/>
      <c r="C680" s="11"/>
      <c r="D680" s="11"/>
      <c r="E680" s="11"/>
      <c r="F680" s="11"/>
      <c r="G680" s="12"/>
      <c r="H680" s="7"/>
      <c r="I680" s="7"/>
      <c r="J680" s="7"/>
      <c r="K680" s="7"/>
      <c r="L680" s="7"/>
      <c r="M680" s="7"/>
      <c r="N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5" customHeight="1">
      <c r="A681" s="7"/>
      <c r="B681" s="7"/>
      <c r="C681" s="11"/>
      <c r="D681" s="11"/>
      <c r="E681" s="11"/>
      <c r="F681" s="11"/>
      <c r="G681" s="12"/>
      <c r="H681" s="7"/>
      <c r="I681" s="7"/>
      <c r="J681" s="7"/>
      <c r="K681" s="7"/>
      <c r="L681" s="7"/>
      <c r="M681" s="7"/>
      <c r="N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5" customHeight="1">
      <c r="A682" s="7"/>
      <c r="B682" s="7"/>
      <c r="C682" s="11"/>
      <c r="D682" s="11"/>
      <c r="E682" s="11"/>
      <c r="F682" s="11"/>
      <c r="G682" s="12"/>
      <c r="H682" s="7"/>
      <c r="I682" s="7"/>
      <c r="J682" s="7"/>
      <c r="K682" s="7"/>
      <c r="L682" s="7"/>
      <c r="M682" s="7"/>
      <c r="N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5" customHeight="1">
      <c r="A683" s="7"/>
      <c r="B683" s="7"/>
      <c r="C683" s="11"/>
      <c r="D683" s="11"/>
      <c r="E683" s="11"/>
      <c r="F683" s="11"/>
      <c r="G683" s="12"/>
      <c r="H683" s="7"/>
      <c r="I683" s="7"/>
      <c r="J683" s="7"/>
      <c r="K683" s="7"/>
      <c r="L683" s="7"/>
      <c r="M683" s="7"/>
      <c r="N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5" customHeight="1">
      <c r="A684" s="7"/>
      <c r="B684" s="7"/>
      <c r="C684" s="11"/>
      <c r="D684" s="11"/>
      <c r="E684" s="11"/>
      <c r="F684" s="11"/>
      <c r="G684" s="12"/>
      <c r="H684" s="7"/>
      <c r="I684" s="7"/>
      <c r="J684" s="7"/>
      <c r="K684" s="7"/>
      <c r="L684" s="7"/>
      <c r="M684" s="7"/>
      <c r="N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5" customHeight="1">
      <c r="A685" s="7"/>
      <c r="B685" s="7"/>
      <c r="C685" s="11"/>
      <c r="D685" s="11"/>
      <c r="E685" s="11"/>
      <c r="F685" s="11"/>
      <c r="G685" s="12"/>
      <c r="H685" s="7"/>
      <c r="I685" s="7"/>
      <c r="J685" s="7"/>
      <c r="K685" s="7"/>
      <c r="L685" s="7"/>
      <c r="M685" s="7"/>
      <c r="N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5" customHeight="1">
      <c r="A686" s="7"/>
      <c r="B686" s="7"/>
      <c r="C686" s="11"/>
      <c r="D686" s="11"/>
      <c r="E686" s="11"/>
      <c r="F686" s="11"/>
      <c r="G686" s="12"/>
      <c r="H686" s="7"/>
      <c r="I686" s="7"/>
      <c r="J686" s="7"/>
      <c r="K686" s="7"/>
      <c r="L686" s="7"/>
      <c r="M686" s="7"/>
      <c r="N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5" customHeight="1">
      <c r="A687" s="7"/>
      <c r="B687" s="7"/>
      <c r="C687" s="11"/>
      <c r="D687" s="11"/>
      <c r="E687" s="11"/>
      <c r="F687" s="11"/>
      <c r="G687" s="12"/>
      <c r="H687" s="7"/>
      <c r="I687" s="7"/>
      <c r="J687" s="7"/>
      <c r="K687" s="7"/>
      <c r="L687" s="7"/>
      <c r="M687" s="7"/>
      <c r="N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5" customHeight="1">
      <c r="A688" s="7"/>
      <c r="B688" s="7"/>
      <c r="C688" s="11"/>
      <c r="D688" s="11"/>
      <c r="E688" s="11"/>
      <c r="F688" s="11"/>
      <c r="G688" s="12"/>
      <c r="H688" s="7"/>
      <c r="I688" s="7"/>
      <c r="J688" s="7"/>
      <c r="K688" s="7"/>
      <c r="L688" s="7"/>
      <c r="M688" s="7"/>
      <c r="N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5" customHeight="1">
      <c r="A689" s="7"/>
      <c r="B689" s="7"/>
      <c r="C689" s="11"/>
      <c r="D689" s="11"/>
      <c r="E689" s="11"/>
      <c r="F689" s="11"/>
      <c r="G689" s="12"/>
      <c r="H689" s="7"/>
      <c r="I689" s="7"/>
      <c r="J689" s="7"/>
      <c r="K689" s="7"/>
      <c r="L689" s="7"/>
      <c r="M689" s="7"/>
      <c r="N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5" customHeight="1">
      <c r="A690" s="7"/>
      <c r="B690" s="7"/>
      <c r="C690" s="11"/>
      <c r="D690" s="11"/>
      <c r="E690" s="11"/>
      <c r="F690" s="11"/>
      <c r="G690" s="12"/>
      <c r="H690" s="7"/>
      <c r="I690" s="7"/>
      <c r="J690" s="7"/>
      <c r="K690" s="7"/>
      <c r="L690" s="7"/>
      <c r="M690" s="7"/>
      <c r="N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5" customHeight="1">
      <c r="A691" s="7"/>
      <c r="B691" s="7"/>
      <c r="C691" s="11"/>
      <c r="D691" s="11"/>
      <c r="E691" s="11"/>
      <c r="F691" s="11"/>
      <c r="G691" s="12"/>
      <c r="H691" s="7"/>
      <c r="I691" s="7"/>
      <c r="J691" s="7"/>
      <c r="K691" s="7"/>
      <c r="L691" s="7"/>
      <c r="M691" s="7"/>
      <c r="N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5" customHeight="1">
      <c r="A692" s="7"/>
      <c r="B692" s="7"/>
      <c r="C692" s="11"/>
      <c r="D692" s="11"/>
      <c r="E692" s="11"/>
      <c r="F692" s="11"/>
      <c r="G692" s="12"/>
      <c r="H692" s="7"/>
      <c r="I692" s="7"/>
      <c r="J692" s="7"/>
      <c r="K692" s="7"/>
      <c r="L692" s="7"/>
      <c r="M692" s="7"/>
      <c r="N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5" customHeight="1">
      <c r="A693" s="7"/>
      <c r="B693" s="7"/>
      <c r="C693" s="11"/>
      <c r="D693" s="11"/>
      <c r="E693" s="11"/>
      <c r="F693" s="11"/>
      <c r="G693" s="12"/>
      <c r="H693" s="7"/>
      <c r="I693" s="7"/>
      <c r="J693" s="7"/>
      <c r="K693" s="7"/>
      <c r="L693" s="7"/>
      <c r="M693" s="7"/>
      <c r="N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5" customHeight="1">
      <c r="A694" s="7"/>
      <c r="B694" s="7"/>
      <c r="C694" s="11"/>
      <c r="D694" s="11"/>
      <c r="E694" s="11"/>
      <c r="F694" s="11"/>
      <c r="G694" s="12"/>
      <c r="H694" s="7"/>
      <c r="I694" s="7"/>
      <c r="J694" s="7"/>
      <c r="K694" s="7"/>
      <c r="L694" s="7"/>
      <c r="M694" s="7"/>
      <c r="N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5" customHeight="1">
      <c r="A695" s="7"/>
      <c r="B695" s="7"/>
      <c r="C695" s="11"/>
      <c r="D695" s="11"/>
      <c r="E695" s="11"/>
      <c r="F695" s="11"/>
      <c r="G695" s="12"/>
      <c r="H695" s="7"/>
      <c r="I695" s="7"/>
      <c r="J695" s="7"/>
      <c r="K695" s="7"/>
      <c r="L695" s="7"/>
      <c r="M695" s="7"/>
      <c r="N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5" customHeight="1">
      <c r="A696" s="7"/>
      <c r="B696" s="7"/>
      <c r="C696" s="11"/>
      <c r="D696" s="11"/>
      <c r="E696" s="11"/>
      <c r="F696" s="11"/>
      <c r="G696" s="12"/>
      <c r="H696" s="7"/>
      <c r="I696" s="7"/>
      <c r="J696" s="7"/>
      <c r="K696" s="7"/>
      <c r="L696" s="7"/>
      <c r="M696" s="7"/>
      <c r="N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5" customHeight="1">
      <c r="A697" s="7"/>
      <c r="B697" s="7"/>
      <c r="C697" s="11"/>
      <c r="D697" s="11"/>
      <c r="E697" s="11"/>
      <c r="F697" s="11"/>
      <c r="G697" s="12"/>
      <c r="H697" s="7"/>
      <c r="I697" s="7"/>
      <c r="J697" s="7"/>
      <c r="K697" s="7"/>
      <c r="L697" s="7"/>
      <c r="M697" s="7"/>
      <c r="N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5" customHeight="1">
      <c r="A698" s="7"/>
      <c r="B698" s="7"/>
      <c r="C698" s="11"/>
      <c r="D698" s="11"/>
      <c r="E698" s="11"/>
      <c r="F698" s="11"/>
      <c r="G698" s="12"/>
      <c r="H698" s="7"/>
      <c r="I698" s="7"/>
      <c r="J698" s="7"/>
      <c r="K698" s="7"/>
      <c r="L698" s="7"/>
      <c r="M698" s="7"/>
      <c r="N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5" customHeight="1">
      <c r="A699" s="7"/>
      <c r="B699" s="7"/>
      <c r="C699" s="11"/>
      <c r="D699" s="11"/>
      <c r="E699" s="11"/>
      <c r="F699" s="11"/>
      <c r="G699" s="12"/>
      <c r="H699" s="7"/>
      <c r="I699" s="7"/>
      <c r="J699" s="7"/>
      <c r="K699" s="7"/>
      <c r="L699" s="7"/>
      <c r="M699" s="7"/>
      <c r="N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5" customHeight="1">
      <c r="A700" s="7"/>
      <c r="B700" s="7"/>
      <c r="C700" s="11"/>
      <c r="D700" s="11"/>
      <c r="E700" s="11"/>
      <c r="F700" s="11"/>
      <c r="G700" s="12"/>
      <c r="H700" s="7"/>
      <c r="I700" s="7"/>
      <c r="J700" s="7"/>
      <c r="K700" s="7"/>
      <c r="L700" s="7"/>
      <c r="M700" s="7"/>
      <c r="N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5" customHeight="1">
      <c r="A701" s="7"/>
      <c r="B701" s="7"/>
      <c r="C701" s="11"/>
      <c r="D701" s="11"/>
      <c r="E701" s="11"/>
      <c r="F701" s="11"/>
      <c r="G701" s="12"/>
      <c r="H701" s="7"/>
      <c r="I701" s="7"/>
      <c r="J701" s="7"/>
      <c r="K701" s="7"/>
      <c r="L701" s="7"/>
      <c r="M701" s="7"/>
      <c r="N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5" customHeight="1">
      <c r="A702" s="7"/>
      <c r="B702" s="7"/>
      <c r="C702" s="11"/>
      <c r="D702" s="11"/>
      <c r="E702" s="11"/>
      <c r="F702" s="11"/>
      <c r="G702" s="12"/>
      <c r="H702" s="7"/>
      <c r="I702" s="7"/>
      <c r="J702" s="7"/>
      <c r="K702" s="7"/>
      <c r="L702" s="7"/>
      <c r="M702" s="7"/>
      <c r="N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5" customHeight="1">
      <c r="A703" s="7"/>
      <c r="B703" s="7"/>
      <c r="C703" s="11"/>
      <c r="D703" s="11"/>
      <c r="E703" s="11"/>
      <c r="F703" s="11"/>
      <c r="G703" s="12"/>
      <c r="H703" s="7"/>
      <c r="I703" s="7"/>
      <c r="J703" s="7"/>
      <c r="K703" s="7"/>
      <c r="L703" s="7"/>
      <c r="M703" s="7"/>
      <c r="N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5" customHeight="1">
      <c r="A704" s="7"/>
      <c r="B704" s="7"/>
      <c r="C704" s="11"/>
      <c r="D704" s="11"/>
      <c r="E704" s="11"/>
      <c r="F704" s="11"/>
      <c r="G704" s="12"/>
      <c r="H704" s="7"/>
      <c r="I704" s="7"/>
      <c r="J704" s="7"/>
      <c r="K704" s="7"/>
      <c r="L704" s="7"/>
      <c r="M704" s="7"/>
      <c r="N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5" customHeight="1">
      <c r="A705" s="7"/>
      <c r="B705" s="7"/>
      <c r="C705" s="11"/>
      <c r="D705" s="11"/>
      <c r="E705" s="11"/>
      <c r="F705" s="11"/>
      <c r="G705" s="12"/>
      <c r="H705" s="7"/>
      <c r="I705" s="7"/>
      <c r="J705" s="7"/>
      <c r="K705" s="7"/>
      <c r="L705" s="7"/>
      <c r="M705" s="7"/>
      <c r="N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5" customHeight="1">
      <c r="A706" s="7"/>
      <c r="B706" s="7"/>
      <c r="C706" s="11"/>
      <c r="D706" s="11"/>
      <c r="E706" s="11"/>
      <c r="F706" s="11"/>
      <c r="G706" s="12"/>
      <c r="H706" s="7"/>
      <c r="I706" s="7"/>
      <c r="J706" s="7"/>
      <c r="K706" s="7"/>
      <c r="L706" s="7"/>
      <c r="M706" s="7"/>
      <c r="N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5" customHeight="1">
      <c r="A707" s="7"/>
      <c r="B707" s="7"/>
      <c r="C707" s="11"/>
      <c r="D707" s="11"/>
      <c r="E707" s="11"/>
      <c r="F707" s="11"/>
      <c r="G707" s="12"/>
      <c r="H707" s="7"/>
      <c r="I707" s="7"/>
      <c r="J707" s="7"/>
      <c r="K707" s="7"/>
      <c r="L707" s="7"/>
      <c r="M707" s="7"/>
      <c r="N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5" customHeight="1">
      <c r="A708" s="7"/>
      <c r="B708" s="7"/>
      <c r="C708" s="11"/>
      <c r="D708" s="11"/>
      <c r="E708" s="11"/>
      <c r="F708" s="11"/>
      <c r="G708" s="12"/>
      <c r="H708" s="7"/>
      <c r="I708" s="7"/>
      <c r="J708" s="7"/>
      <c r="K708" s="7"/>
      <c r="L708" s="7"/>
      <c r="M708" s="7"/>
      <c r="N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5" customHeight="1">
      <c r="A709" s="7"/>
      <c r="B709" s="7"/>
      <c r="C709" s="11"/>
      <c r="D709" s="11"/>
      <c r="E709" s="11"/>
      <c r="F709" s="11"/>
      <c r="G709" s="12"/>
      <c r="H709" s="7"/>
      <c r="I709" s="7"/>
      <c r="J709" s="7"/>
      <c r="K709" s="7"/>
      <c r="L709" s="7"/>
      <c r="M709" s="7"/>
      <c r="N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5" customHeight="1">
      <c r="A710" s="7"/>
      <c r="B710" s="7"/>
      <c r="C710" s="11"/>
      <c r="D710" s="11"/>
      <c r="E710" s="11"/>
      <c r="F710" s="11"/>
      <c r="G710" s="12"/>
      <c r="H710" s="7"/>
      <c r="I710" s="7"/>
      <c r="J710" s="7"/>
      <c r="K710" s="7"/>
      <c r="L710" s="7"/>
      <c r="M710" s="7"/>
      <c r="N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5" customHeight="1">
      <c r="A711" s="7"/>
      <c r="B711" s="7"/>
      <c r="C711" s="11"/>
      <c r="D711" s="11"/>
      <c r="E711" s="11"/>
      <c r="F711" s="11"/>
      <c r="G711" s="12"/>
      <c r="H711" s="7"/>
      <c r="I711" s="7"/>
      <c r="J711" s="7"/>
      <c r="K711" s="7"/>
      <c r="L711" s="7"/>
      <c r="M711" s="7"/>
      <c r="N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5" customHeight="1">
      <c r="A712" s="7"/>
      <c r="B712" s="7"/>
      <c r="C712" s="11"/>
      <c r="D712" s="11"/>
      <c r="E712" s="11"/>
      <c r="F712" s="11"/>
      <c r="G712" s="12"/>
      <c r="H712" s="7"/>
      <c r="I712" s="7"/>
      <c r="J712" s="7"/>
      <c r="K712" s="7"/>
      <c r="L712" s="7"/>
      <c r="M712" s="7"/>
      <c r="N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5" customHeight="1">
      <c r="A713" s="7"/>
      <c r="B713" s="7"/>
      <c r="C713" s="11"/>
      <c r="D713" s="11"/>
      <c r="E713" s="11"/>
      <c r="F713" s="11"/>
      <c r="G713" s="12"/>
      <c r="H713" s="7"/>
      <c r="I713" s="7"/>
      <c r="J713" s="7"/>
      <c r="K713" s="7"/>
      <c r="L713" s="7"/>
      <c r="M713" s="7"/>
      <c r="N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5" customHeight="1">
      <c r="A714" s="7"/>
      <c r="B714" s="7"/>
      <c r="C714" s="11"/>
      <c r="D714" s="11"/>
      <c r="E714" s="11"/>
      <c r="F714" s="11"/>
      <c r="G714" s="12"/>
      <c r="H714" s="7"/>
      <c r="I714" s="7"/>
      <c r="J714" s="7"/>
      <c r="K714" s="7"/>
      <c r="L714" s="7"/>
      <c r="M714" s="7"/>
      <c r="N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5" customHeight="1">
      <c r="A715" s="7"/>
      <c r="B715" s="7"/>
      <c r="C715" s="11"/>
      <c r="D715" s="11"/>
      <c r="E715" s="11"/>
      <c r="F715" s="11"/>
      <c r="G715" s="12"/>
      <c r="H715" s="7"/>
      <c r="I715" s="7"/>
      <c r="J715" s="7"/>
      <c r="K715" s="7"/>
      <c r="L715" s="7"/>
      <c r="M715" s="7"/>
      <c r="N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5" customHeight="1">
      <c r="A716" s="7"/>
      <c r="B716" s="7"/>
      <c r="C716" s="11"/>
      <c r="D716" s="11"/>
      <c r="E716" s="11"/>
      <c r="F716" s="11"/>
      <c r="G716" s="12"/>
      <c r="H716" s="7"/>
      <c r="I716" s="7"/>
      <c r="J716" s="7"/>
      <c r="K716" s="7"/>
      <c r="L716" s="7"/>
      <c r="M716" s="7"/>
      <c r="N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5" customHeight="1">
      <c r="A717" s="7"/>
      <c r="B717" s="7"/>
      <c r="C717" s="11"/>
      <c r="D717" s="11"/>
      <c r="E717" s="11"/>
      <c r="F717" s="11"/>
      <c r="G717" s="12"/>
      <c r="H717" s="7"/>
      <c r="I717" s="7"/>
      <c r="J717" s="7"/>
      <c r="K717" s="7"/>
      <c r="L717" s="7"/>
      <c r="M717" s="7"/>
      <c r="N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5" customHeight="1">
      <c r="A718" s="7"/>
      <c r="B718" s="7"/>
      <c r="C718" s="11"/>
      <c r="D718" s="11"/>
      <c r="E718" s="11"/>
      <c r="F718" s="11"/>
      <c r="G718" s="12"/>
      <c r="H718" s="7"/>
      <c r="I718" s="7"/>
      <c r="J718" s="7"/>
      <c r="K718" s="7"/>
      <c r="L718" s="7"/>
      <c r="M718" s="7"/>
      <c r="N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5" customHeight="1">
      <c r="A719" s="7"/>
      <c r="B719" s="7"/>
      <c r="C719" s="11"/>
      <c r="D719" s="11"/>
      <c r="E719" s="11"/>
      <c r="F719" s="11"/>
      <c r="G719" s="12"/>
      <c r="H719" s="7"/>
      <c r="I719" s="7"/>
      <c r="J719" s="7"/>
      <c r="K719" s="7"/>
      <c r="L719" s="7"/>
      <c r="M719" s="7"/>
      <c r="N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5" customHeight="1">
      <c r="A720" s="7"/>
      <c r="B720" s="7"/>
      <c r="C720" s="11"/>
      <c r="D720" s="11"/>
      <c r="E720" s="11"/>
      <c r="F720" s="11"/>
      <c r="G720" s="12"/>
      <c r="H720" s="7"/>
      <c r="I720" s="7"/>
      <c r="J720" s="7"/>
      <c r="K720" s="7"/>
      <c r="L720" s="7"/>
      <c r="M720" s="7"/>
      <c r="N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5" customHeight="1">
      <c r="A721" s="7"/>
      <c r="B721" s="7"/>
      <c r="C721" s="11"/>
      <c r="D721" s="11"/>
      <c r="E721" s="11"/>
      <c r="F721" s="11"/>
      <c r="G721" s="12"/>
      <c r="H721" s="7"/>
      <c r="I721" s="7"/>
      <c r="J721" s="7"/>
      <c r="K721" s="7"/>
      <c r="L721" s="7"/>
      <c r="M721" s="7"/>
      <c r="N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5" customHeight="1">
      <c r="A722" s="7"/>
      <c r="B722" s="7"/>
      <c r="C722" s="11"/>
      <c r="D722" s="11"/>
      <c r="E722" s="11"/>
      <c r="F722" s="11"/>
      <c r="G722" s="12"/>
      <c r="H722" s="7"/>
      <c r="I722" s="7"/>
      <c r="J722" s="7"/>
      <c r="K722" s="7"/>
      <c r="L722" s="7"/>
      <c r="M722" s="7"/>
      <c r="N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5" customHeight="1">
      <c r="A723" s="7"/>
      <c r="B723" s="7"/>
      <c r="C723" s="11"/>
      <c r="D723" s="11"/>
      <c r="E723" s="11"/>
      <c r="F723" s="11"/>
      <c r="G723" s="12"/>
      <c r="H723" s="7"/>
      <c r="I723" s="7"/>
      <c r="J723" s="7"/>
      <c r="K723" s="7"/>
      <c r="L723" s="7"/>
      <c r="M723" s="7"/>
      <c r="N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5" customHeight="1">
      <c r="A724" s="7"/>
      <c r="B724" s="7"/>
      <c r="C724" s="11"/>
      <c r="D724" s="11"/>
      <c r="E724" s="11"/>
      <c r="F724" s="11"/>
      <c r="G724" s="12"/>
      <c r="H724" s="7"/>
      <c r="I724" s="7"/>
      <c r="J724" s="7"/>
      <c r="K724" s="7"/>
      <c r="L724" s="7"/>
      <c r="M724" s="7"/>
      <c r="N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5" customHeight="1">
      <c r="A725" s="7"/>
      <c r="B725" s="7"/>
      <c r="C725" s="11"/>
      <c r="D725" s="11"/>
      <c r="E725" s="11"/>
      <c r="F725" s="11"/>
      <c r="G725" s="12"/>
      <c r="H725" s="7"/>
      <c r="I725" s="7"/>
      <c r="J725" s="7"/>
      <c r="K725" s="7"/>
      <c r="L725" s="7"/>
      <c r="M725" s="7"/>
      <c r="N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5" customHeight="1">
      <c r="A726" s="7"/>
      <c r="B726" s="7"/>
      <c r="C726" s="11"/>
      <c r="D726" s="11"/>
      <c r="E726" s="11"/>
      <c r="F726" s="11"/>
      <c r="G726" s="12"/>
      <c r="H726" s="7"/>
      <c r="I726" s="7"/>
      <c r="J726" s="7"/>
      <c r="K726" s="7"/>
      <c r="L726" s="7"/>
      <c r="M726" s="7"/>
      <c r="N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5" customHeight="1">
      <c r="A727" s="7"/>
      <c r="B727" s="7"/>
      <c r="C727" s="11"/>
      <c r="D727" s="11"/>
      <c r="E727" s="11"/>
      <c r="F727" s="11"/>
      <c r="G727" s="12"/>
      <c r="H727" s="7"/>
      <c r="I727" s="7"/>
      <c r="J727" s="7"/>
      <c r="K727" s="7"/>
      <c r="L727" s="7"/>
      <c r="M727" s="7"/>
      <c r="N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5" customHeight="1">
      <c r="A728" s="7"/>
      <c r="B728" s="7"/>
      <c r="C728" s="11"/>
      <c r="D728" s="11"/>
      <c r="E728" s="11"/>
      <c r="F728" s="11"/>
      <c r="G728" s="12"/>
      <c r="H728" s="7"/>
      <c r="I728" s="7"/>
      <c r="J728" s="7"/>
      <c r="K728" s="7"/>
      <c r="L728" s="7"/>
      <c r="M728" s="7"/>
      <c r="N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5" customHeight="1">
      <c r="A729" s="7"/>
      <c r="B729" s="7"/>
      <c r="C729" s="11"/>
      <c r="D729" s="11"/>
      <c r="E729" s="11"/>
      <c r="F729" s="11"/>
      <c r="G729" s="12"/>
      <c r="H729" s="7"/>
      <c r="I729" s="7"/>
      <c r="J729" s="7"/>
      <c r="K729" s="7"/>
      <c r="L729" s="7"/>
      <c r="M729" s="7"/>
      <c r="N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5" customHeight="1">
      <c r="A730" s="7"/>
      <c r="B730" s="7"/>
      <c r="C730" s="11"/>
      <c r="D730" s="11"/>
      <c r="E730" s="11"/>
      <c r="F730" s="11"/>
      <c r="G730" s="12"/>
      <c r="H730" s="7"/>
      <c r="I730" s="7"/>
      <c r="J730" s="7"/>
      <c r="K730" s="7"/>
      <c r="L730" s="7"/>
      <c r="M730" s="7"/>
      <c r="N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5" customHeight="1">
      <c r="A731" s="7"/>
      <c r="B731" s="7"/>
      <c r="C731" s="11"/>
      <c r="D731" s="11"/>
      <c r="E731" s="11"/>
      <c r="F731" s="11"/>
      <c r="G731" s="12"/>
      <c r="H731" s="7"/>
      <c r="I731" s="7"/>
      <c r="J731" s="7"/>
      <c r="K731" s="7"/>
      <c r="L731" s="7"/>
      <c r="M731" s="7"/>
      <c r="N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5" customHeight="1">
      <c r="A732" s="7"/>
      <c r="B732" s="7"/>
      <c r="C732" s="11"/>
      <c r="D732" s="11"/>
      <c r="E732" s="11"/>
      <c r="F732" s="11"/>
      <c r="G732" s="12"/>
      <c r="H732" s="7"/>
      <c r="I732" s="7"/>
      <c r="J732" s="7"/>
      <c r="K732" s="7"/>
      <c r="L732" s="7"/>
      <c r="M732" s="7"/>
      <c r="N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5" customHeight="1">
      <c r="A733" s="7"/>
      <c r="B733" s="7"/>
      <c r="C733" s="11"/>
      <c r="D733" s="11"/>
      <c r="E733" s="11"/>
      <c r="F733" s="11"/>
      <c r="G733" s="12"/>
      <c r="H733" s="7"/>
      <c r="I733" s="7"/>
      <c r="J733" s="7"/>
      <c r="K733" s="7"/>
      <c r="L733" s="7"/>
      <c r="M733" s="7"/>
      <c r="N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5" customHeight="1">
      <c r="A734" s="7"/>
      <c r="B734" s="7"/>
      <c r="C734" s="11"/>
      <c r="D734" s="11"/>
      <c r="E734" s="11"/>
      <c r="F734" s="11"/>
      <c r="G734" s="12"/>
      <c r="H734" s="7"/>
      <c r="I734" s="7"/>
      <c r="J734" s="7"/>
      <c r="K734" s="7"/>
      <c r="L734" s="7"/>
      <c r="M734" s="7"/>
      <c r="N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5" customHeight="1">
      <c r="A735" s="7"/>
      <c r="B735" s="7"/>
      <c r="C735" s="11"/>
      <c r="D735" s="11"/>
      <c r="E735" s="11"/>
      <c r="F735" s="11"/>
      <c r="G735" s="12"/>
      <c r="H735" s="7"/>
      <c r="I735" s="7"/>
      <c r="J735" s="7"/>
      <c r="K735" s="7"/>
      <c r="L735" s="7"/>
      <c r="M735" s="7"/>
      <c r="N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5" customHeight="1">
      <c r="A736" s="7"/>
      <c r="B736" s="7"/>
      <c r="C736" s="11"/>
      <c r="D736" s="11"/>
      <c r="E736" s="11"/>
      <c r="F736" s="11"/>
      <c r="G736" s="12"/>
      <c r="H736" s="7"/>
      <c r="I736" s="7"/>
      <c r="J736" s="7"/>
      <c r="K736" s="7"/>
      <c r="L736" s="7"/>
      <c r="M736" s="7"/>
      <c r="N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5" customHeight="1">
      <c r="A737" s="7"/>
      <c r="B737" s="7"/>
      <c r="C737" s="11"/>
      <c r="D737" s="11"/>
      <c r="E737" s="11"/>
      <c r="F737" s="11"/>
      <c r="G737" s="12"/>
      <c r="H737" s="7"/>
      <c r="I737" s="7"/>
      <c r="J737" s="7"/>
      <c r="K737" s="7"/>
      <c r="L737" s="7"/>
      <c r="M737" s="7"/>
      <c r="N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5" customHeight="1">
      <c r="A738" s="7"/>
      <c r="B738" s="7"/>
      <c r="C738" s="11"/>
      <c r="D738" s="11"/>
      <c r="E738" s="11"/>
      <c r="F738" s="11"/>
      <c r="G738" s="12"/>
      <c r="H738" s="7"/>
      <c r="I738" s="7"/>
      <c r="J738" s="7"/>
      <c r="K738" s="7"/>
      <c r="L738" s="7"/>
      <c r="M738" s="7"/>
      <c r="N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5" customHeight="1">
      <c r="A739" s="7"/>
      <c r="B739" s="7"/>
      <c r="C739" s="11"/>
      <c r="D739" s="11"/>
      <c r="E739" s="11"/>
      <c r="F739" s="11"/>
      <c r="G739" s="12"/>
      <c r="H739" s="7"/>
      <c r="I739" s="7"/>
      <c r="J739" s="7"/>
      <c r="K739" s="7"/>
      <c r="L739" s="7"/>
      <c r="M739" s="7"/>
      <c r="N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5" customHeight="1">
      <c r="A740" s="7"/>
      <c r="B740" s="7"/>
      <c r="C740" s="11"/>
      <c r="D740" s="11"/>
      <c r="E740" s="11"/>
      <c r="F740" s="11"/>
      <c r="G740" s="12"/>
      <c r="H740" s="7"/>
      <c r="I740" s="7"/>
      <c r="J740" s="7"/>
      <c r="K740" s="7"/>
      <c r="L740" s="7"/>
      <c r="M740" s="7"/>
      <c r="N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5" customHeight="1">
      <c r="A741" s="7"/>
      <c r="B741" s="7"/>
      <c r="C741" s="11"/>
      <c r="D741" s="11"/>
      <c r="E741" s="11"/>
      <c r="F741" s="11"/>
      <c r="G741" s="12"/>
      <c r="H741" s="7"/>
      <c r="I741" s="7"/>
      <c r="J741" s="7"/>
      <c r="K741" s="7"/>
      <c r="L741" s="7"/>
      <c r="M741" s="7"/>
      <c r="N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5" customHeight="1">
      <c r="A742" s="7"/>
      <c r="B742" s="7"/>
      <c r="C742" s="11"/>
      <c r="D742" s="11"/>
      <c r="E742" s="11"/>
      <c r="F742" s="11"/>
      <c r="G742" s="12"/>
      <c r="H742" s="7"/>
      <c r="I742" s="7"/>
      <c r="J742" s="7"/>
      <c r="K742" s="7"/>
      <c r="L742" s="7"/>
      <c r="M742" s="7"/>
      <c r="N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5" customHeight="1">
      <c r="A743" s="7"/>
      <c r="B743" s="7"/>
      <c r="C743" s="11"/>
      <c r="D743" s="11"/>
      <c r="E743" s="11"/>
      <c r="F743" s="11"/>
      <c r="G743" s="12"/>
      <c r="H743" s="7"/>
      <c r="I743" s="7"/>
      <c r="J743" s="7"/>
      <c r="K743" s="7"/>
      <c r="L743" s="7"/>
      <c r="M743" s="7"/>
      <c r="N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5" customHeight="1">
      <c r="A744" s="7"/>
      <c r="B744" s="7"/>
      <c r="C744" s="11"/>
      <c r="D744" s="11"/>
      <c r="E744" s="11"/>
      <c r="F744" s="11"/>
      <c r="G744" s="12"/>
      <c r="H744" s="7"/>
      <c r="I744" s="7"/>
      <c r="J744" s="7"/>
      <c r="K744" s="7"/>
      <c r="L744" s="7"/>
      <c r="M744" s="7"/>
      <c r="N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5" customHeight="1">
      <c r="A745" s="7"/>
      <c r="B745" s="7"/>
      <c r="C745" s="11"/>
      <c r="D745" s="11"/>
      <c r="E745" s="11"/>
      <c r="F745" s="11"/>
      <c r="G745" s="12"/>
      <c r="H745" s="7"/>
      <c r="I745" s="7"/>
      <c r="J745" s="7"/>
      <c r="K745" s="7"/>
      <c r="L745" s="7"/>
      <c r="M745" s="7"/>
      <c r="N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5" customHeight="1">
      <c r="A746" s="7"/>
      <c r="B746" s="7"/>
      <c r="C746" s="11"/>
      <c r="D746" s="11"/>
      <c r="E746" s="11"/>
      <c r="F746" s="11"/>
      <c r="G746" s="12"/>
      <c r="H746" s="7"/>
      <c r="I746" s="7"/>
      <c r="J746" s="7"/>
      <c r="K746" s="7"/>
      <c r="L746" s="7"/>
      <c r="M746" s="7"/>
      <c r="N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5" customHeight="1">
      <c r="A747" s="7"/>
      <c r="B747" s="7"/>
      <c r="C747" s="11"/>
      <c r="D747" s="11"/>
      <c r="E747" s="11"/>
      <c r="F747" s="11"/>
      <c r="G747" s="12"/>
      <c r="H747" s="7"/>
      <c r="I747" s="7"/>
      <c r="J747" s="7"/>
      <c r="K747" s="7"/>
      <c r="L747" s="7"/>
      <c r="M747" s="7"/>
      <c r="N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5" customHeight="1">
      <c r="A748" s="7"/>
      <c r="B748" s="7"/>
      <c r="C748" s="11"/>
      <c r="D748" s="11"/>
      <c r="E748" s="11"/>
      <c r="F748" s="11"/>
      <c r="G748" s="12"/>
      <c r="H748" s="7"/>
      <c r="I748" s="7"/>
      <c r="J748" s="7"/>
      <c r="K748" s="7"/>
      <c r="L748" s="7"/>
      <c r="M748" s="7"/>
      <c r="N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5" customHeight="1">
      <c r="A749" s="7"/>
      <c r="B749" s="7"/>
      <c r="C749" s="11"/>
      <c r="D749" s="11"/>
      <c r="E749" s="11"/>
      <c r="F749" s="11"/>
      <c r="G749" s="12"/>
      <c r="H749" s="7"/>
      <c r="I749" s="7"/>
      <c r="J749" s="7"/>
      <c r="K749" s="7"/>
      <c r="L749" s="7"/>
      <c r="M749" s="7"/>
      <c r="N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5" customHeight="1">
      <c r="A750" s="7"/>
      <c r="B750" s="7"/>
      <c r="C750" s="11"/>
      <c r="D750" s="11"/>
      <c r="E750" s="11"/>
      <c r="F750" s="11"/>
      <c r="G750" s="12"/>
      <c r="H750" s="7"/>
      <c r="I750" s="7"/>
      <c r="J750" s="7"/>
      <c r="K750" s="7"/>
      <c r="L750" s="7"/>
      <c r="M750" s="7"/>
      <c r="N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5" customHeight="1">
      <c r="A751" s="7"/>
      <c r="B751" s="7"/>
      <c r="C751" s="11"/>
      <c r="D751" s="11"/>
      <c r="E751" s="11"/>
      <c r="F751" s="11"/>
      <c r="G751" s="12"/>
      <c r="H751" s="7"/>
      <c r="I751" s="7"/>
      <c r="J751" s="7"/>
      <c r="K751" s="7"/>
      <c r="L751" s="7"/>
      <c r="M751" s="7"/>
      <c r="N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5" customHeight="1">
      <c r="A752" s="7"/>
      <c r="B752" s="7"/>
      <c r="C752" s="11"/>
      <c r="D752" s="11"/>
      <c r="E752" s="11"/>
      <c r="F752" s="11"/>
      <c r="G752" s="12"/>
      <c r="H752" s="7"/>
      <c r="I752" s="7"/>
      <c r="J752" s="7"/>
      <c r="K752" s="7"/>
      <c r="L752" s="7"/>
      <c r="M752" s="7"/>
      <c r="N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5" customHeight="1">
      <c r="A753" s="7"/>
      <c r="B753" s="7"/>
      <c r="C753" s="11"/>
      <c r="D753" s="11"/>
      <c r="E753" s="11"/>
      <c r="F753" s="11"/>
      <c r="G753" s="12"/>
      <c r="H753" s="7"/>
      <c r="I753" s="7"/>
      <c r="J753" s="7"/>
      <c r="K753" s="7"/>
      <c r="L753" s="7"/>
      <c r="M753" s="7"/>
      <c r="N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5" customHeight="1">
      <c r="A754" s="7"/>
      <c r="B754" s="7"/>
      <c r="C754" s="11"/>
      <c r="D754" s="11"/>
      <c r="E754" s="11"/>
      <c r="F754" s="11"/>
      <c r="G754" s="12"/>
      <c r="H754" s="7"/>
      <c r="I754" s="7"/>
      <c r="J754" s="7"/>
      <c r="K754" s="7"/>
      <c r="L754" s="7"/>
      <c r="M754" s="7"/>
      <c r="N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5" customHeight="1">
      <c r="A755" s="7"/>
      <c r="B755" s="7"/>
      <c r="C755" s="11"/>
      <c r="D755" s="11"/>
      <c r="E755" s="11"/>
      <c r="F755" s="11"/>
      <c r="G755" s="12"/>
      <c r="H755" s="7"/>
      <c r="I755" s="7"/>
      <c r="J755" s="7"/>
      <c r="K755" s="7"/>
      <c r="L755" s="7"/>
      <c r="M755" s="7"/>
      <c r="N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5" customHeight="1">
      <c r="A756" s="7"/>
      <c r="B756" s="7"/>
      <c r="C756" s="11"/>
      <c r="D756" s="11"/>
      <c r="E756" s="11"/>
      <c r="F756" s="11"/>
      <c r="G756" s="12"/>
      <c r="H756" s="7"/>
      <c r="I756" s="7"/>
      <c r="J756" s="7"/>
      <c r="K756" s="7"/>
      <c r="L756" s="7"/>
      <c r="M756" s="7"/>
      <c r="N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5" customHeight="1">
      <c r="A757" s="7"/>
      <c r="B757" s="7"/>
      <c r="C757" s="11"/>
      <c r="D757" s="11"/>
      <c r="E757" s="11"/>
      <c r="F757" s="11"/>
      <c r="G757" s="12"/>
      <c r="H757" s="7"/>
      <c r="I757" s="7"/>
      <c r="J757" s="7"/>
      <c r="K757" s="7"/>
      <c r="L757" s="7"/>
      <c r="M757" s="7"/>
      <c r="N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5" customHeight="1">
      <c r="A758" s="7"/>
      <c r="B758" s="7"/>
      <c r="C758" s="11"/>
      <c r="D758" s="11"/>
      <c r="E758" s="11"/>
      <c r="F758" s="11"/>
      <c r="G758" s="12"/>
      <c r="H758" s="7"/>
      <c r="I758" s="7"/>
      <c r="J758" s="7"/>
      <c r="K758" s="7"/>
      <c r="L758" s="7"/>
      <c r="M758" s="7"/>
      <c r="N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5" customHeight="1">
      <c r="A759" s="7"/>
      <c r="B759" s="7"/>
      <c r="C759" s="11"/>
      <c r="D759" s="11"/>
      <c r="E759" s="11"/>
      <c r="F759" s="11"/>
      <c r="G759" s="12"/>
      <c r="H759" s="7"/>
      <c r="I759" s="7"/>
      <c r="J759" s="7"/>
      <c r="K759" s="7"/>
      <c r="L759" s="7"/>
      <c r="M759" s="7"/>
      <c r="N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5" customHeight="1">
      <c r="A760" s="7"/>
      <c r="B760" s="7"/>
      <c r="C760" s="11"/>
      <c r="D760" s="11"/>
      <c r="E760" s="11"/>
      <c r="F760" s="11"/>
      <c r="G760" s="12"/>
      <c r="H760" s="7"/>
      <c r="I760" s="7"/>
      <c r="J760" s="7"/>
      <c r="K760" s="7"/>
      <c r="L760" s="7"/>
      <c r="M760" s="7"/>
      <c r="N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5" customHeight="1">
      <c r="A761" s="7"/>
      <c r="B761" s="7"/>
      <c r="C761" s="11"/>
      <c r="D761" s="11"/>
      <c r="E761" s="11"/>
      <c r="F761" s="11"/>
      <c r="G761" s="12"/>
      <c r="H761" s="7"/>
      <c r="I761" s="7"/>
      <c r="J761" s="7"/>
      <c r="K761" s="7"/>
      <c r="L761" s="7"/>
      <c r="M761" s="7"/>
      <c r="N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5" customHeight="1">
      <c r="A762" s="7"/>
      <c r="B762" s="7"/>
      <c r="C762" s="11"/>
      <c r="D762" s="11"/>
      <c r="E762" s="11"/>
      <c r="F762" s="11"/>
      <c r="G762" s="12"/>
      <c r="H762" s="7"/>
      <c r="I762" s="7"/>
      <c r="J762" s="7"/>
      <c r="K762" s="7"/>
      <c r="L762" s="7"/>
      <c r="M762" s="7"/>
      <c r="N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5" customHeight="1">
      <c r="A763" s="7"/>
      <c r="B763" s="7"/>
      <c r="C763" s="11"/>
      <c r="D763" s="11"/>
      <c r="E763" s="11"/>
      <c r="F763" s="11"/>
      <c r="G763" s="12"/>
      <c r="H763" s="7"/>
      <c r="I763" s="7"/>
      <c r="J763" s="7"/>
      <c r="K763" s="7"/>
      <c r="L763" s="7"/>
      <c r="M763" s="7"/>
      <c r="N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5" customHeight="1">
      <c r="A764" s="7"/>
      <c r="B764" s="7"/>
      <c r="C764" s="11"/>
      <c r="D764" s="11"/>
      <c r="E764" s="11"/>
      <c r="F764" s="11"/>
      <c r="G764" s="12"/>
      <c r="H764" s="7"/>
      <c r="I764" s="7"/>
      <c r="J764" s="7"/>
      <c r="K764" s="7"/>
      <c r="L764" s="7"/>
      <c r="M764" s="7"/>
      <c r="N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5" customHeight="1">
      <c r="A765" s="7"/>
      <c r="B765" s="7"/>
      <c r="C765" s="11"/>
      <c r="D765" s="11"/>
      <c r="E765" s="11"/>
      <c r="F765" s="11"/>
      <c r="G765" s="12"/>
      <c r="H765" s="7"/>
      <c r="I765" s="7"/>
      <c r="J765" s="7"/>
      <c r="K765" s="7"/>
      <c r="L765" s="7"/>
      <c r="M765" s="7"/>
      <c r="N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5" customHeight="1">
      <c r="A766" s="7"/>
      <c r="B766" s="7"/>
      <c r="C766" s="11"/>
      <c r="D766" s="11"/>
      <c r="E766" s="11"/>
      <c r="F766" s="11"/>
      <c r="G766" s="12"/>
      <c r="H766" s="7"/>
      <c r="I766" s="7"/>
      <c r="J766" s="7"/>
      <c r="K766" s="7"/>
      <c r="L766" s="7"/>
      <c r="M766" s="7"/>
      <c r="N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5" customHeight="1">
      <c r="A767" s="7"/>
      <c r="B767" s="7"/>
      <c r="C767" s="11"/>
      <c r="D767" s="11"/>
      <c r="E767" s="11"/>
      <c r="F767" s="11"/>
      <c r="G767" s="12"/>
      <c r="H767" s="7"/>
      <c r="I767" s="7"/>
      <c r="J767" s="7"/>
      <c r="K767" s="7"/>
      <c r="L767" s="7"/>
      <c r="M767" s="7"/>
      <c r="N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5" customHeight="1">
      <c r="A768" s="7"/>
      <c r="B768" s="7"/>
      <c r="C768" s="11"/>
      <c r="D768" s="11"/>
      <c r="E768" s="11"/>
      <c r="F768" s="11"/>
      <c r="G768" s="12"/>
      <c r="H768" s="7"/>
      <c r="I768" s="7"/>
      <c r="J768" s="7"/>
      <c r="K768" s="7"/>
      <c r="L768" s="7"/>
      <c r="M768" s="7"/>
      <c r="N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5" customHeight="1">
      <c r="A769" s="7"/>
      <c r="B769" s="7"/>
      <c r="C769" s="11"/>
      <c r="D769" s="11"/>
      <c r="E769" s="11"/>
      <c r="F769" s="11"/>
      <c r="G769" s="12"/>
      <c r="H769" s="7"/>
      <c r="I769" s="7"/>
      <c r="J769" s="7"/>
      <c r="K769" s="7"/>
      <c r="L769" s="7"/>
      <c r="M769" s="7"/>
      <c r="N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5" customHeight="1">
      <c r="A770" s="7"/>
      <c r="B770" s="7"/>
      <c r="C770" s="11"/>
      <c r="D770" s="11"/>
      <c r="E770" s="11"/>
      <c r="F770" s="11"/>
      <c r="G770" s="12"/>
      <c r="H770" s="7"/>
      <c r="I770" s="7"/>
      <c r="J770" s="7"/>
      <c r="K770" s="7"/>
      <c r="L770" s="7"/>
      <c r="M770" s="7"/>
      <c r="N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5" customHeight="1">
      <c r="A771" s="7"/>
      <c r="B771" s="7"/>
      <c r="C771" s="11"/>
      <c r="D771" s="11"/>
      <c r="E771" s="11"/>
      <c r="F771" s="11"/>
      <c r="G771" s="12"/>
      <c r="H771" s="7"/>
      <c r="I771" s="7"/>
      <c r="J771" s="7"/>
      <c r="K771" s="7"/>
      <c r="L771" s="7"/>
      <c r="M771" s="7"/>
      <c r="N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5" customHeight="1">
      <c r="A772" s="7"/>
      <c r="B772" s="7"/>
      <c r="C772" s="11"/>
      <c r="D772" s="11"/>
      <c r="E772" s="11"/>
      <c r="F772" s="11"/>
      <c r="G772" s="12"/>
      <c r="H772" s="7"/>
      <c r="I772" s="7"/>
      <c r="J772" s="7"/>
      <c r="K772" s="7"/>
      <c r="L772" s="7"/>
      <c r="M772" s="7"/>
      <c r="N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5" customHeight="1">
      <c r="A773" s="7"/>
      <c r="B773" s="7"/>
      <c r="C773" s="11"/>
      <c r="D773" s="11"/>
      <c r="E773" s="11"/>
      <c r="F773" s="11"/>
      <c r="G773" s="12"/>
      <c r="H773" s="7"/>
      <c r="I773" s="7"/>
      <c r="J773" s="7"/>
      <c r="K773" s="7"/>
      <c r="L773" s="7"/>
      <c r="M773" s="7"/>
      <c r="N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5" customHeight="1">
      <c r="A774" s="7"/>
      <c r="B774" s="7"/>
      <c r="C774" s="11"/>
      <c r="D774" s="11"/>
      <c r="E774" s="11"/>
      <c r="F774" s="11"/>
      <c r="G774" s="12"/>
      <c r="H774" s="7"/>
      <c r="I774" s="7"/>
      <c r="J774" s="7"/>
      <c r="K774" s="7"/>
      <c r="L774" s="7"/>
      <c r="M774" s="7"/>
      <c r="N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5" customHeight="1">
      <c r="A775" s="7"/>
      <c r="B775" s="7"/>
      <c r="C775" s="11"/>
      <c r="D775" s="11"/>
      <c r="E775" s="11"/>
      <c r="F775" s="11"/>
      <c r="G775" s="12"/>
      <c r="H775" s="7"/>
      <c r="I775" s="7"/>
      <c r="J775" s="7"/>
      <c r="K775" s="7"/>
      <c r="L775" s="7"/>
      <c r="M775" s="7"/>
      <c r="N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5" customHeight="1">
      <c r="A776" s="7"/>
      <c r="B776" s="7"/>
      <c r="C776" s="11"/>
      <c r="D776" s="11"/>
      <c r="E776" s="11"/>
      <c r="F776" s="11"/>
      <c r="G776" s="12"/>
      <c r="H776" s="7"/>
      <c r="I776" s="7"/>
      <c r="J776" s="7"/>
      <c r="K776" s="7"/>
      <c r="L776" s="7"/>
      <c r="M776" s="7"/>
      <c r="N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5" customHeight="1">
      <c r="A777" s="7"/>
      <c r="B777" s="7"/>
      <c r="C777" s="11"/>
      <c r="D777" s="11"/>
      <c r="E777" s="11"/>
      <c r="F777" s="11"/>
      <c r="G777" s="12"/>
      <c r="H777" s="7"/>
      <c r="I777" s="7"/>
      <c r="J777" s="7"/>
      <c r="K777" s="7"/>
      <c r="L777" s="7"/>
      <c r="M777" s="7"/>
      <c r="N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5" customHeight="1">
      <c r="A778" s="7"/>
      <c r="B778" s="7"/>
      <c r="C778" s="11"/>
      <c r="D778" s="11"/>
      <c r="E778" s="11"/>
      <c r="F778" s="11"/>
      <c r="G778" s="12"/>
      <c r="H778" s="7"/>
      <c r="I778" s="7"/>
      <c r="J778" s="7"/>
      <c r="K778" s="7"/>
      <c r="L778" s="7"/>
      <c r="M778" s="7"/>
      <c r="N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5" customHeight="1">
      <c r="A779" s="7"/>
      <c r="B779" s="7"/>
      <c r="C779" s="11"/>
      <c r="D779" s="11"/>
      <c r="E779" s="11"/>
      <c r="F779" s="11"/>
      <c r="G779" s="12"/>
      <c r="H779" s="7"/>
      <c r="I779" s="7"/>
      <c r="J779" s="7"/>
      <c r="K779" s="7"/>
      <c r="L779" s="7"/>
      <c r="M779" s="7"/>
      <c r="N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5" customHeight="1">
      <c r="A780" s="7"/>
      <c r="B780" s="7"/>
      <c r="C780" s="11"/>
      <c r="D780" s="11"/>
      <c r="E780" s="11"/>
      <c r="F780" s="11"/>
      <c r="G780" s="12"/>
      <c r="H780" s="7"/>
      <c r="I780" s="7"/>
      <c r="J780" s="7"/>
      <c r="K780" s="7"/>
      <c r="L780" s="7"/>
      <c r="M780" s="7"/>
      <c r="N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5" customHeight="1">
      <c r="A781" s="7"/>
      <c r="B781" s="7"/>
      <c r="C781" s="11"/>
      <c r="D781" s="11"/>
      <c r="E781" s="11"/>
      <c r="F781" s="11"/>
      <c r="G781" s="12"/>
      <c r="H781" s="7"/>
      <c r="I781" s="7"/>
      <c r="J781" s="7"/>
      <c r="K781" s="7"/>
      <c r="L781" s="7"/>
      <c r="M781" s="7"/>
      <c r="N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5" customHeight="1">
      <c r="A782" s="7"/>
      <c r="B782" s="7"/>
      <c r="C782" s="11"/>
      <c r="D782" s="11"/>
      <c r="E782" s="11"/>
      <c r="F782" s="11"/>
      <c r="G782" s="12"/>
      <c r="H782" s="7"/>
      <c r="I782" s="7"/>
      <c r="J782" s="7"/>
      <c r="K782" s="7"/>
      <c r="L782" s="7"/>
      <c r="M782" s="7"/>
      <c r="N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5" customHeight="1">
      <c r="A783" s="7"/>
      <c r="B783" s="7"/>
      <c r="C783" s="11"/>
      <c r="D783" s="11"/>
      <c r="E783" s="11"/>
      <c r="F783" s="11"/>
      <c r="G783" s="12"/>
      <c r="H783" s="7"/>
      <c r="I783" s="7"/>
      <c r="J783" s="7"/>
      <c r="K783" s="7"/>
      <c r="L783" s="7"/>
      <c r="M783" s="7"/>
      <c r="N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5" customHeight="1">
      <c r="A784" s="7"/>
      <c r="B784" s="7"/>
      <c r="C784" s="11"/>
      <c r="D784" s="11"/>
      <c r="E784" s="11"/>
      <c r="F784" s="11"/>
      <c r="G784" s="12"/>
      <c r="H784" s="7"/>
      <c r="I784" s="7"/>
      <c r="J784" s="7"/>
      <c r="K784" s="7"/>
      <c r="L784" s="7"/>
      <c r="M784" s="7"/>
      <c r="N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5" customHeight="1">
      <c r="A785" s="7"/>
      <c r="B785" s="7"/>
      <c r="C785" s="11"/>
      <c r="D785" s="11"/>
      <c r="E785" s="11"/>
      <c r="F785" s="11"/>
      <c r="G785" s="12"/>
      <c r="H785" s="7"/>
      <c r="I785" s="7"/>
      <c r="J785" s="7"/>
      <c r="K785" s="7"/>
      <c r="L785" s="7"/>
      <c r="M785" s="7"/>
      <c r="N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5" customHeight="1">
      <c r="A786" s="7"/>
      <c r="B786" s="7"/>
      <c r="C786" s="11"/>
      <c r="D786" s="11"/>
      <c r="E786" s="11"/>
      <c r="F786" s="11"/>
      <c r="G786" s="12"/>
      <c r="H786" s="7"/>
      <c r="I786" s="7"/>
      <c r="J786" s="7"/>
      <c r="K786" s="7"/>
      <c r="L786" s="7"/>
      <c r="M786" s="7"/>
      <c r="N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5" customHeight="1">
      <c r="A787" s="7"/>
      <c r="B787" s="7"/>
      <c r="C787" s="11"/>
      <c r="D787" s="11"/>
      <c r="E787" s="11"/>
      <c r="F787" s="11"/>
      <c r="G787" s="12"/>
      <c r="H787" s="7"/>
      <c r="I787" s="7"/>
      <c r="J787" s="7"/>
      <c r="K787" s="7"/>
      <c r="L787" s="7"/>
      <c r="M787" s="7"/>
      <c r="N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5" customHeight="1">
      <c r="A788" s="7"/>
      <c r="B788" s="7"/>
      <c r="C788" s="11"/>
      <c r="D788" s="11"/>
      <c r="E788" s="11"/>
      <c r="F788" s="11"/>
      <c r="G788" s="12"/>
      <c r="H788" s="7"/>
      <c r="I788" s="7"/>
      <c r="J788" s="7"/>
      <c r="K788" s="7"/>
      <c r="L788" s="7"/>
      <c r="M788" s="7"/>
      <c r="N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5" customHeight="1">
      <c r="A789" s="7"/>
      <c r="B789" s="7"/>
      <c r="C789" s="11"/>
      <c r="D789" s="11"/>
      <c r="E789" s="11"/>
      <c r="F789" s="11"/>
      <c r="G789" s="12"/>
      <c r="H789" s="7"/>
      <c r="I789" s="7"/>
      <c r="J789" s="7"/>
      <c r="K789" s="7"/>
      <c r="L789" s="7"/>
      <c r="M789" s="7"/>
      <c r="N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5" customHeight="1">
      <c r="A790" s="7"/>
      <c r="B790" s="7"/>
      <c r="C790" s="11"/>
      <c r="D790" s="11"/>
      <c r="E790" s="11"/>
      <c r="F790" s="11"/>
      <c r="G790" s="12"/>
      <c r="H790" s="7"/>
      <c r="I790" s="7"/>
      <c r="J790" s="7"/>
      <c r="K790" s="7"/>
      <c r="L790" s="7"/>
      <c r="M790" s="7"/>
      <c r="N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5" customHeight="1">
      <c r="A791" s="7"/>
      <c r="B791" s="7"/>
      <c r="C791" s="11"/>
      <c r="D791" s="11"/>
      <c r="E791" s="11"/>
      <c r="F791" s="11"/>
      <c r="G791" s="12"/>
      <c r="H791" s="7"/>
      <c r="I791" s="7"/>
      <c r="J791" s="7"/>
      <c r="K791" s="7"/>
      <c r="L791" s="7"/>
      <c r="M791" s="7"/>
      <c r="N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5" customHeight="1">
      <c r="A792" s="7"/>
      <c r="B792" s="7"/>
      <c r="C792" s="11"/>
      <c r="D792" s="11"/>
      <c r="E792" s="11"/>
      <c r="F792" s="11"/>
      <c r="G792" s="12"/>
      <c r="H792" s="7"/>
      <c r="I792" s="7"/>
      <c r="J792" s="7"/>
      <c r="K792" s="7"/>
      <c r="L792" s="7"/>
      <c r="M792" s="7"/>
      <c r="N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5" customHeight="1">
      <c r="A793" s="7"/>
      <c r="B793" s="7"/>
      <c r="C793" s="11"/>
      <c r="D793" s="11"/>
      <c r="E793" s="11"/>
      <c r="F793" s="11"/>
      <c r="G793" s="12"/>
      <c r="H793" s="7"/>
      <c r="I793" s="7"/>
      <c r="J793" s="7"/>
      <c r="K793" s="7"/>
      <c r="L793" s="7"/>
      <c r="M793" s="7"/>
      <c r="N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5" customHeight="1">
      <c r="A794" s="7"/>
      <c r="B794" s="7"/>
      <c r="C794" s="11"/>
      <c r="D794" s="11"/>
      <c r="E794" s="11"/>
      <c r="F794" s="11"/>
      <c r="G794" s="12"/>
      <c r="H794" s="7"/>
      <c r="I794" s="7"/>
      <c r="J794" s="7"/>
      <c r="K794" s="7"/>
      <c r="L794" s="7"/>
      <c r="M794" s="7"/>
      <c r="N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5" customHeight="1">
      <c r="A795" s="7"/>
      <c r="B795" s="7"/>
      <c r="C795" s="11"/>
      <c r="D795" s="11"/>
      <c r="E795" s="11"/>
      <c r="F795" s="11"/>
      <c r="G795" s="12"/>
      <c r="H795" s="7"/>
      <c r="I795" s="7"/>
      <c r="J795" s="7"/>
      <c r="K795" s="7"/>
      <c r="L795" s="7"/>
      <c r="M795" s="7"/>
      <c r="N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5" customHeight="1">
      <c r="A796" s="7"/>
      <c r="B796" s="7"/>
      <c r="C796" s="11"/>
      <c r="D796" s="11"/>
      <c r="E796" s="11"/>
      <c r="F796" s="11"/>
      <c r="G796" s="12"/>
      <c r="H796" s="7"/>
      <c r="I796" s="7"/>
      <c r="J796" s="7"/>
      <c r="K796" s="7"/>
      <c r="L796" s="7"/>
      <c r="M796" s="7"/>
      <c r="N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5" customHeight="1">
      <c r="A797" s="7"/>
      <c r="B797" s="7"/>
      <c r="C797" s="11"/>
      <c r="D797" s="11"/>
      <c r="E797" s="11"/>
      <c r="F797" s="11"/>
      <c r="G797" s="12"/>
      <c r="H797" s="7"/>
      <c r="I797" s="7"/>
      <c r="J797" s="7"/>
      <c r="K797" s="7"/>
      <c r="L797" s="7"/>
      <c r="M797" s="7"/>
      <c r="N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5" customHeight="1">
      <c r="A798" s="7"/>
      <c r="B798" s="7"/>
      <c r="C798" s="11"/>
      <c r="D798" s="11"/>
      <c r="E798" s="11"/>
      <c r="F798" s="11"/>
      <c r="G798" s="12"/>
      <c r="H798" s="7"/>
      <c r="I798" s="7"/>
      <c r="J798" s="7"/>
      <c r="K798" s="7"/>
      <c r="L798" s="7"/>
      <c r="M798" s="7"/>
      <c r="N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5" customHeight="1">
      <c r="A799" s="7"/>
      <c r="B799" s="7"/>
      <c r="C799" s="11"/>
      <c r="D799" s="11"/>
      <c r="E799" s="11"/>
      <c r="F799" s="11"/>
      <c r="G799" s="12"/>
      <c r="H799" s="7"/>
      <c r="I799" s="7"/>
      <c r="J799" s="7"/>
      <c r="K799" s="7"/>
      <c r="L799" s="7"/>
      <c r="M799" s="7"/>
      <c r="N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5" customHeight="1">
      <c r="A800" s="7"/>
      <c r="B800" s="7"/>
      <c r="C800" s="11"/>
      <c r="D800" s="11"/>
      <c r="E800" s="11"/>
      <c r="F800" s="11"/>
      <c r="G800" s="12"/>
      <c r="H800" s="7"/>
      <c r="I800" s="7"/>
      <c r="J800" s="7"/>
      <c r="K800" s="7"/>
      <c r="L800" s="7"/>
      <c r="M800" s="7"/>
      <c r="N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5" customHeight="1">
      <c r="A801" s="7"/>
      <c r="B801" s="7"/>
      <c r="C801" s="11"/>
      <c r="D801" s="11"/>
      <c r="E801" s="11"/>
      <c r="F801" s="11"/>
      <c r="G801" s="12"/>
      <c r="H801" s="7"/>
      <c r="I801" s="7"/>
      <c r="J801" s="7"/>
      <c r="K801" s="7"/>
      <c r="L801" s="7"/>
      <c r="M801" s="7"/>
      <c r="N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5" customHeight="1">
      <c r="A802" s="7"/>
      <c r="B802" s="7"/>
      <c r="C802" s="11"/>
      <c r="D802" s="11"/>
      <c r="E802" s="11"/>
      <c r="F802" s="11"/>
      <c r="G802" s="12"/>
      <c r="H802" s="7"/>
      <c r="I802" s="7"/>
      <c r="J802" s="7"/>
      <c r="K802" s="7"/>
      <c r="L802" s="7"/>
      <c r="M802" s="7"/>
      <c r="N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5" customHeight="1">
      <c r="A803" s="7"/>
      <c r="B803" s="7"/>
      <c r="C803" s="11"/>
      <c r="D803" s="11"/>
      <c r="E803" s="11"/>
      <c r="F803" s="11"/>
      <c r="G803" s="12"/>
      <c r="H803" s="7"/>
      <c r="I803" s="7"/>
      <c r="J803" s="7"/>
      <c r="K803" s="7"/>
      <c r="L803" s="7"/>
      <c r="M803" s="7"/>
      <c r="N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5" customHeight="1">
      <c r="A804" s="7"/>
      <c r="B804" s="7"/>
      <c r="C804" s="11"/>
      <c r="D804" s="11"/>
      <c r="E804" s="11"/>
      <c r="F804" s="11"/>
      <c r="G804" s="12"/>
      <c r="H804" s="7"/>
      <c r="I804" s="7"/>
      <c r="J804" s="7"/>
      <c r="K804" s="7"/>
      <c r="L804" s="7"/>
      <c r="M804" s="7"/>
      <c r="N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5" customHeight="1">
      <c r="A805" s="7"/>
      <c r="B805" s="7"/>
      <c r="C805" s="11"/>
      <c r="D805" s="11"/>
      <c r="E805" s="11"/>
      <c r="F805" s="11"/>
      <c r="G805" s="12"/>
      <c r="H805" s="7"/>
      <c r="I805" s="7"/>
      <c r="J805" s="7"/>
      <c r="K805" s="7"/>
      <c r="L805" s="7"/>
      <c r="M805" s="7"/>
      <c r="N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5" customHeight="1">
      <c r="A806" s="7"/>
      <c r="B806" s="7"/>
      <c r="C806" s="11"/>
      <c r="D806" s="11"/>
      <c r="E806" s="11"/>
      <c r="F806" s="11"/>
      <c r="G806" s="12"/>
      <c r="H806" s="7"/>
      <c r="I806" s="7"/>
      <c r="J806" s="7"/>
      <c r="K806" s="7"/>
      <c r="L806" s="7"/>
      <c r="M806" s="7"/>
      <c r="N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5" customHeight="1">
      <c r="A807" s="7"/>
      <c r="B807" s="7"/>
      <c r="C807" s="11"/>
      <c r="D807" s="11"/>
      <c r="E807" s="11"/>
      <c r="F807" s="11"/>
      <c r="G807" s="12"/>
      <c r="H807" s="7"/>
      <c r="I807" s="7"/>
      <c r="J807" s="7"/>
      <c r="K807" s="7"/>
      <c r="L807" s="7"/>
      <c r="M807" s="7"/>
      <c r="N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5" customHeight="1">
      <c r="A808" s="7"/>
      <c r="B808" s="7"/>
      <c r="C808" s="11"/>
      <c r="D808" s="11"/>
      <c r="E808" s="11"/>
      <c r="F808" s="11"/>
      <c r="G808" s="12"/>
      <c r="H808" s="7"/>
      <c r="I808" s="7"/>
      <c r="J808" s="7"/>
      <c r="K808" s="7"/>
      <c r="L808" s="7"/>
      <c r="M808" s="7"/>
      <c r="N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5" customHeight="1">
      <c r="A809" s="7"/>
      <c r="B809" s="7"/>
      <c r="C809" s="11"/>
      <c r="D809" s="11"/>
      <c r="E809" s="11"/>
      <c r="F809" s="11"/>
      <c r="G809" s="12"/>
      <c r="H809" s="7"/>
      <c r="I809" s="7"/>
      <c r="J809" s="7"/>
      <c r="K809" s="7"/>
      <c r="L809" s="7"/>
      <c r="M809" s="7"/>
      <c r="N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5" customHeight="1">
      <c r="A810" s="7"/>
      <c r="B810" s="7"/>
      <c r="C810" s="11"/>
      <c r="D810" s="11"/>
      <c r="E810" s="11"/>
      <c r="F810" s="11"/>
      <c r="G810" s="12"/>
      <c r="H810" s="7"/>
      <c r="I810" s="7"/>
      <c r="J810" s="7"/>
      <c r="K810" s="7"/>
      <c r="L810" s="7"/>
      <c r="M810" s="7"/>
      <c r="N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5" customHeight="1">
      <c r="A811" s="7"/>
      <c r="B811" s="7"/>
      <c r="C811" s="11"/>
      <c r="D811" s="11"/>
      <c r="E811" s="11"/>
      <c r="F811" s="11"/>
      <c r="G811" s="12"/>
      <c r="H811" s="7"/>
      <c r="I811" s="7"/>
      <c r="J811" s="7"/>
      <c r="K811" s="7"/>
      <c r="L811" s="7"/>
      <c r="M811" s="7"/>
      <c r="N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5" customHeight="1">
      <c r="A812" s="7"/>
      <c r="B812" s="7"/>
      <c r="C812" s="11"/>
      <c r="D812" s="11"/>
      <c r="E812" s="11"/>
      <c r="F812" s="11"/>
      <c r="G812" s="12"/>
      <c r="H812" s="7"/>
      <c r="I812" s="7"/>
      <c r="J812" s="7"/>
      <c r="K812" s="7"/>
      <c r="L812" s="7"/>
      <c r="M812" s="7"/>
      <c r="N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5" customHeight="1">
      <c r="A813" s="7"/>
      <c r="B813" s="7"/>
      <c r="C813" s="11"/>
      <c r="D813" s="11"/>
      <c r="E813" s="11"/>
      <c r="F813" s="11"/>
      <c r="G813" s="12"/>
      <c r="H813" s="7"/>
      <c r="I813" s="7"/>
      <c r="J813" s="7"/>
      <c r="K813" s="7"/>
      <c r="L813" s="7"/>
      <c r="M813" s="7"/>
      <c r="N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5" customHeight="1">
      <c r="A814" s="7"/>
      <c r="B814" s="7"/>
      <c r="C814" s="11"/>
      <c r="D814" s="11"/>
      <c r="E814" s="11"/>
      <c r="F814" s="11"/>
      <c r="G814" s="12"/>
      <c r="H814" s="7"/>
      <c r="I814" s="7"/>
      <c r="J814" s="7"/>
      <c r="K814" s="7"/>
      <c r="L814" s="7"/>
      <c r="M814" s="7"/>
      <c r="N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5" customHeight="1">
      <c r="A815" s="7"/>
      <c r="B815" s="7"/>
      <c r="C815" s="11"/>
      <c r="D815" s="11"/>
      <c r="E815" s="11"/>
      <c r="F815" s="11"/>
      <c r="G815" s="12"/>
      <c r="H815" s="7"/>
      <c r="I815" s="7"/>
      <c r="J815" s="7"/>
      <c r="K815" s="7"/>
      <c r="L815" s="7"/>
      <c r="M815" s="7"/>
      <c r="N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5" customHeight="1">
      <c r="A816" s="7"/>
      <c r="B816" s="7"/>
      <c r="C816" s="11"/>
      <c r="D816" s="11"/>
      <c r="E816" s="11"/>
      <c r="F816" s="11"/>
      <c r="G816" s="12"/>
      <c r="H816" s="7"/>
      <c r="I816" s="7"/>
      <c r="J816" s="7"/>
      <c r="K816" s="7"/>
      <c r="L816" s="7"/>
      <c r="M816" s="7"/>
      <c r="N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5" customHeight="1">
      <c r="A817" s="7"/>
      <c r="B817" s="7"/>
      <c r="C817" s="11"/>
      <c r="D817" s="11"/>
      <c r="E817" s="11"/>
      <c r="F817" s="11"/>
      <c r="G817" s="12"/>
      <c r="H817" s="7"/>
      <c r="I817" s="7"/>
      <c r="J817" s="7"/>
      <c r="K817" s="7"/>
      <c r="L817" s="7"/>
      <c r="M817" s="7"/>
      <c r="N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5" customHeight="1">
      <c r="A818" s="7"/>
      <c r="B818" s="7"/>
      <c r="C818" s="11"/>
      <c r="D818" s="11"/>
      <c r="E818" s="11"/>
      <c r="F818" s="11"/>
      <c r="G818" s="12"/>
      <c r="H818" s="7"/>
      <c r="I818" s="7"/>
      <c r="J818" s="7"/>
      <c r="K818" s="7"/>
      <c r="L818" s="7"/>
      <c r="M818" s="7"/>
      <c r="N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5" customHeight="1">
      <c r="A819" s="7"/>
      <c r="B819" s="7"/>
      <c r="C819" s="11"/>
      <c r="D819" s="11"/>
      <c r="E819" s="11"/>
      <c r="F819" s="11"/>
      <c r="G819" s="12"/>
      <c r="H819" s="7"/>
      <c r="I819" s="7"/>
      <c r="J819" s="7"/>
      <c r="K819" s="7"/>
      <c r="L819" s="7"/>
      <c r="M819" s="7"/>
      <c r="N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5" customHeight="1">
      <c r="A820" s="7"/>
      <c r="B820" s="7"/>
      <c r="C820" s="11"/>
      <c r="D820" s="11"/>
      <c r="E820" s="11"/>
      <c r="F820" s="11"/>
      <c r="G820" s="12"/>
      <c r="H820" s="7"/>
      <c r="I820" s="7"/>
      <c r="J820" s="7"/>
      <c r="K820" s="7"/>
      <c r="L820" s="7"/>
      <c r="M820" s="7"/>
      <c r="N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5" customHeight="1">
      <c r="A821" s="7"/>
      <c r="B821" s="7"/>
      <c r="C821" s="11"/>
      <c r="D821" s="11"/>
      <c r="E821" s="11"/>
      <c r="F821" s="11"/>
      <c r="G821" s="12"/>
      <c r="H821" s="7"/>
      <c r="I821" s="7"/>
      <c r="J821" s="7"/>
      <c r="K821" s="7"/>
      <c r="L821" s="7"/>
      <c r="M821" s="7"/>
      <c r="N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5" customHeight="1">
      <c r="A822" s="7"/>
      <c r="B822" s="7"/>
      <c r="C822" s="11"/>
      <c r="D822" s="11"/>
      <c r="E822" s="11"/>
      <c r="F822" s="11"/>
      <c r="G822" s="12"/>
      <c r="H822" s="7"/>
      <c r="I822" s="7"/>
      <c r="J822" s="7"/>
      <c r="K822" s="7"/>
      <c r="L822" s="7"/>
      <c r="M822" s="7"/>
      <c r="N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5" customHeight="1">
      <c r="A823" s="7"/>
      <c r="B823" s="7"/>
      <c r="C823" s="11"/>
      <c r="D823" s="11"/>
      <c r="E823" s="11"/>
      <c r="F823" s="11"/>
      <c r="G823" s="12"/>
      <c r="H823" s="7"/>
      <c r="I823" s="7"/>
      <c r="J823" s="7"/>
      <c r="K823" s="7"/>
      <c r="L823" s="7"/>
      <c r="M823" s="7"/>
      <c r="N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5" customHeight="1">
      <c r="A824" s="7"/>
      <c r="B824" s="7"/>
      <c r="C824" s="11"/>
      <c r="D824" s="11"/>
      <c r="E824" s="11"/>
      <c r="F824" s="11"/>
      <c r="G824" s="12"/>
      <c r="H824" s="7"/>
      <c r="I824" s="7"/>
      <c r="J824" s="7"/>
      <c r="K824" s="7"/>
      <c r="L824" s="7"/>
      <c r="M824" s="7"/>
      <c r="N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5" customHeight="1">
      <c r="A825" s="7"/>
      <c r="B825" s="7"/>
      <c r="C825" s="11"/>
      <c r="D825" s="11"/>
      <c r="E825" s="11"/>
      <c r="F825" s="11"/>
      <c r="G825" s="12"/>
      <c r="H825" s="7"/>
      <c r="I825" s="7"/>
      <c r="J825" s="7"/>
      <c r="K825" s="7"/>
      <c r="L825" s="7"/>
      <c r="M825" s="7"/>
      <c r="N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5" customHeight="1">
      <c r="A826" s="7"/>
      <c r="B826" s="7"/>
      <c r="C826" s="11"/>
      <c r="D826" s="11"/>
      <c r="E826" s="11"/>
      <c r="F826" s="11"/>
      <c r="G826" s="12"/>
      <c r="H826" s="7"/>
      <c r="I826" s="7"/>
      <c r="J826" s="7"/>
      <c r="K826" s="7"/>
      <c r="L826" s="7"/>
      <c r="M826" s="7"/>
      <c r="N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5" customHeight="1">
      <c r="A827" s="7"/>
      <c r="B827" s="7"/>
      <c r="C827" s="11"/>
      <c r="D827" s="11"/>
      <c r="E827" s="11"/>
      <c r="F827" s="11"/>
      <c r="G827" s="12"/>
      <c r="H827" s="7"/>
      <c r="I827" s="7"/>
      <c r="J827" s="7"/>
      <c r="K827" s="7"/>
      <c r="L827" s="7"/>
      <c r="M827" s="7"/>
      <c r="N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5" customHeight="1">
      <c r="A828" s="7"/>
      <c r="B828" s="7"/>
      <c r="C828" s="11"/>
      <c r="D828" s="11"/>
      <c r="E828" s="11"/>
      <c r="F828" s="11"/>
      <c r="G828" s="12"/>
      <c r="H828" s="7"/>
      <c r="I828" s="7"/>
      <c r="J828" s="7"/>
      <c r="K828" s="7"/>
      <c r="L828" s="7"/>
      <c r="M828" s="7"/>
      <c r="N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5" customHeight="1">
      <c r="A829" s="7"/>
      <c r="B829" s="7"/>
      <c r="C829" s="11"/>
      <c r="D829" s="11"/>
      <c r="E829" s="11"/>
      <c r="F829" s="11"/>
      <c r="G829" s="12"/>
      <c r="H829" s="7"/>
      <c r="I829" s="7"/>
      <c r="J829" s="7"/>
      <c r="K829" s="7"/>
      <c r="L829" s="7"/>
      <c r="M829" s="7"/>
      <c r="N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5" customHeight="1">
      <c r="A830" s="7"/>
      <c r="B830" s="7"/>
      <c r="C830" s="11"/>
      <c r="D830" s="11"/>
      <c r="E830" s="11"/>
      <c r="F830" s="11"/>
      <c r="G830" s="12"/>
      <c r="H830" s="7"/>
      <c r="I830" s="7"/>
      <c r="J830" s="7"/>
      <c r="K830" s="7"/>
      <c r="L830" s="7"/>
      <c r="M830" s="7"/>
      <c r="N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5" customHeight="1">
      <c r="A831" s="7"/>
      <c r="B831" s="7"/>
      <c r="C831" s="11"/>
      <c r="D831" s="11"/>
      <c r="E831" s="11"/>
      <c r="F831" s="11"/>
      <c r="G831" s="12"/>
      <c r="H831" s="7"/>
      <c r="I831" s="7"/>
      <c r="J831" s="7"/>
      <c r="K831" s="7"/>
      <c r="L831" s="7"/>
      <c r="M831" s="7"/>
      <c r="N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5" customHeight="1">
      <c r="A832" s="7"/>
      <c r="B832" s="7"/>
      <c r="C832" s="11"/>
      <c r="D832" s="11"/>
      <c r="E832" s="11"/>
      <c r="F832" s="11"/>
      <c r="G832" s="12"/>
      <c r="H832" s="7"/>
      <c r="I832" s="7"/>
      <c r="J832" s="7"/>
      <c r="K832" s="7"/>
      <c r="L832" s="7"/>
      <c r="M832" s="7"/>
      <c r="N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5" customHeight="1">
      <c r="A833" s="7"/>
      <c r="B833" s="7"/>
      <c r="C833" s="11"/>
      <c r="D833" s="11"/>
      <c r="E833" s="11"/>
      <c r="F833" s="11"/>
      <c r="G833" s="12"/>
      <c r="H833" s="7"/>
      <c r="I833" s="7"/>
      <c r="J833" s="7"/>
      <c r="K833" s="7"/>
      <c r="L833" s="7"/>
      <c r="M833" s="7"/>
      <c r="N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5" customHeight="1">
      <c r="A834" s="7"/>
      <c r="B834" s="7"/>
      <c r="C834" s="11"/>
      <c r="D834" s="11"/>
      <c r="E834" s="11"/>
      <c r="F834" s="11"/>
      <c r="G834" s="12"/>
      <c r="H834" s="7"/>
      <c r="I834" s="7"/>
      <c r="J834" s="7"/>
      <c r="K834" s="7"/>
      <c r="L834" s="7"/>
      <c r="M834" s="7"/>
      <c r="N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5" customHeight="1">
      <c r="A835" s="7"/>
      <c r="B835" s="7"/>
      <c r="C835" s="11"/>
      <c r="D835" s="11"/>
      <c r="E835" s="11"/>
      <c r="F835" s="11"/>
      <c r="G835" s="12"/>
      <c r="H835" s="7"/>
      <c r="I835" s="7"/>
      <c r="J835" s="7"/>
      <c r="K835" s="7"/>
      <c r="L835" s="7"/>
      <c r="M835" s="7"/>
      <c r="N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5" customHeight="1">
      <c r="A836" s="7"/>
      <c r="B836" s="7"/>
      <c r="C836" s="11"/>
      <c r="D836" s="11"/>
      <c r="E836" s="11"/>
      <c r="F836" s="11"/>
      <c r="G836" s="12"/>
      <c r="H836" s="7"/>
      <c r="I836" s="7"/>
      <c r="J836" s="7"/>
      <c r="K836" s="7"/>
      <c r="L836" s="7"/>
      <c r="M836" s="7"/>
      <c r="N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5" customHeight="1">
      <c r="A837" s="7"/>
      <c r="B837" s="7"/>
      <c r="C837" s="11"/>
      <c r="D837" s="11"/>
      <c r="E837" s="11"/>
      <c r="F837" s="11"/>
      <c r="G837" s="12"/>
      <c r="H837" s="7"/>
      <c r="I837" s="7"/>
      <c r="J837" s="7"/>
      <c r="K837" s="7"/>
      <c r="L837" s="7"/>
      <c r="M837" s="7"/>
      <c r="N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5" customHeight="1">
      <c r="A838" s="7"/>
      <c r="B838" s="7"/>
      <c r="C838" s="11"/>
      <c r="D838" s="11"/>
      <c r="E838" s="11"/>
      <c r="F838" s="11"/>
      <c r="G838" s="12"/>
      <c r="H838" s="7"/>
      <c r="I838" s="7"/>
      <c r="J838" s="7"/>
      <c r="K838" s="7"/>
      <c r="L838" s="7"/>
      <c r="M838" s="7"/>
      <c r="N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5" customHeight="1">
      <c r="A839" s="7"/>
      <c r="B839" s="7"/>
      <c r="C839" s="11"/>
      <c r="D839" s="11"/>
      <c r="E839" s="11"/>
      <c r="F839" s="11"/>
      <c r="G839" s="12"/>
      <c r="H839" s="7"/>
      <c r="I839" s="7"/>
      <c r="J839" s="7"/>
      <c r="K839" s="7"/>
      <c r="L839" s="7"/>
      <c r="M839" s="7"/>
      <c r="N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5" customHeight="1">
      <c r="A840" s="7"/>
      <c r="B840" s="7"/>
      <c r="C840" s="11"/>
      <c r="D840" s="11"/>
      <c r="E840" s="11"/>
      <c r="F840" s="11"/>
      <c r="G840" s="12"/>
      <c r="H840" s="7"/>
      <c r="I840" s="7"/>
      <c r="J840" s="7"/>
      <c r="K840" s="7"/>
      <c r="L840" s="7"/>
      <c r="M840" s="7"/>
      <c r="N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5" customHeight="1">
      <c r="A841" s="7"/>
      <c r="B841" s="7"/>
      <c r="C841" s="11"/>
      <c r="D841" s="11"/>
      <c r="E841" s="11"/>
      <c r="F841" s="11"/>
      <c r="G841" s="12"/>
      <c r="H841" s="7"/>
      <c r="I841" s="7"/>
      <c r="J841" s="7"/>
      <c r="K841" s="7"/>
      <c r="L841" s="7"/>
      <c r="M841" s="7"/>
      <c r="N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5" customHeight="1">
      <c r="A842" s="7"/>
      <c r="B842" s="7"/>
      <c r="C842" s="11"/>
      <c r="D842" s="11"/>
      <c r="E842" s="11"/>
      <c r="F842" s="11"/>
      <c r="G842" s="12"/>
      <c r="H842" s="7"/>
      <c r="I842" s="7"/>
      <c r="J842" s="7"/>
      <c r="K842" s="7"/>
      <c r="L842" s="7"/>
      <c r="M842" s="7"/>
      <c r="N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5" customHeight="1">
      <c r="A843" s="7"/>
      <c r="B843" s="7"/>
      <c r="C843" s="11"/>
      <c r="D843" s="11"/>
      <c r="E843" s="11"/>
      <c r="F843" s="11"/>
      <c r="G843" s="12"/>
      <c r="H843" s="7"/>
      <c r="I843" s="7"/>
      <c r="J843" s="7"/>
      <c r="K843" s="7"/>
      <c r="L843" s="7"/>
      <c r="M843" s="7"/>
      <c r="N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5" customHeight="1">
      <c r="A844" s="7"/>
      <c r="B844" s="7"/>
      <c r="C844" s="11"/>
      <c r="D844" s="11"/>
      <c r="E844" s="11"/>
      <c r="F844" s="11"/>
      <c r="G844" s="12"/>
      <c r="H844" s="7"/>
      <c r="I844" s="7"/>
      <c r="J844" s="7"/>
      <c r="K844" s="7"/>
      <c r="L844" s="7"/>
      <c r="M844" s="7"/>
      <c r="N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5" customHeight="1">
      <c r="A845" s="7"/>
      <c r="B845" s="7"/>
      <c r="C845" s="11"/>
      <c r="D845" s="11"/>
      <c r="E845" s="11"/>
      <c r="F845" s="11"/>
      <c r="G845" s="12"/>
      <c r="H845" s="7"/>
      <c r="I845" s="7"/>
      <c r="J845" s="7"/>
      <c r="K845" s="7"/>
      <c r="L845" s="7"/>
      <c r="M845" s="7"/>
      <c r="N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5" customHeight="1">
      <c r="A846" s="7"/>
      <c r="B846" s="7"/>
      <c r="C846" s="11"/>
      <c r="D846" s="11"/>
      <c r="E846" s="11"/>
      <c r="F846" s="11"/>
      <c r="G846" s="12"/>
      <c r="H846" s="7"/>
      <c r="I846" s="7"/>
      <c r="J846" s="7"/>
      <c r="K846" s="7"/>
      <c r="L846" s="7"/>
      <c r="M846" s="7"/>
      <c r="N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5" customHeight="1">
      <c r="A847" s="7"/>
      <c r="B847" s="7"/>
      <c r="C847" s="11"/>
      <c r="D847" s="11"/>
      <c r="E847" s="11"/>
      <c r="F847" s="11"/>
      <c r="G847" s="12"/>
      <c r="H847" s="7"/>
      <c r="I847" s="7"/>
      <c r="J847" s="7"/>
      <c r="K847" s="7"/>
      <c r="L847" s="7"/>
      <c r="M847" s="7"/>
      <c r="N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5" customHeight="1">
      <c r="A848" s="7"/>
      <c r="B848" s="7"/>
      <c r="C848" s="11"/>
      <c r="D848" s="11"/>
      <c r="E848" s="11"/>
      <c r="F848" s="11"/>
      <c r="G848" s="12"/>
      <c r="H848" s="7"/>
      <c r="I848" s="7"/>
      <c r="J848" s="7"/>
      <c r="K848" s="7"/>
      <c r="L848" s="7"/>
      <c r="M848" s="7"/>
      <c r="N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5" customHeight="1">
      <c r="A849" s="7"/>
      <c r="B849" s="7"/>
      <c r="C849" s="11"/>
      <c r="D849" s="11"/>
      <c r="E849" s="11"/>
      <c r="F849" s="11"/>
      <c r="G849" s="12"/>
      <c r="H849" s="7"/>
      <c r="I849" s="7"/>
      <c r="J849" s="7"/>
      <c r="K849" s="7"/>
      <c r="L849" s="7"/>
      <c r="M849" s="7"/>
      <c r="N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5" customHeight="1">
      <c r="A850" s="7"/>
      <c r="B850" s="7"/>
      <c r="C850" s="11"/>
      <c r="D850" s="11"/>
      <c r="E850" s="11"/>
      <c r="F850" s="11"/>
      <c r="G850" s="12"/>
      <c r="H850" s="7"/>
      <c r="I850" s="7"/>
      <c r="J850" s="7"/>
      <c r="K850" s="7"/>
      <c r="L850" s="7"/>
      <c r="M850" s="7"/>
      <c r="N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5" customHeight="1">
      <c r="A851" s="7"/>
      <c r="B851" s="7"/>
      <c r="C851" s="11"/>
      <c r="D851" s="11"/>
      <c r="E851" s="11"/>
      <c r="F851" s="11"/>
      <c r="G851" s="12"/>
      <c r="H851" s="7"/>
      <c r="I851" s="7"/>
      <c r="J851" s="7"/>
      <c r="K851" s="7"/>
      <c r="L851" s="7"/>
      <c r="M851" s="7"/>
      <c r="N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5" customHeight="1">
      <c r="A852" s="7"/>
      <c r="B852" s="7"/>
      <c r="C852" s="11"/>
      <c r="D852" s="11"/>
      <c r="E852" s="11"/>
      <c r="F852" s="11"/>
      <c r="G852" s="12"/>
      <c r="H852" s="7"/>
      <c r="I852" s="7"/>
      <c r="J852" s="7"/>
      <c r="K852" s="7"/>
      <c r="L852" s="7"/>
      <c r="M852" s="7"/>
      <c r="N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5" customHeight="1">
      <c r="A853" s="7"/>
      <c r="B853" s="7"/>
      <c r="C853" s="11"/>
      <c r="D853" s="11"/>
      <c r="E853" s="11"/>
      <c r="F853" s="11"/>
      <c r="G853" s="12"/>
      <c r="H853" s="7"/>
      <c r="I853" s="7"/>
      <c r="J853" s="7"/>
      <c r="K853" s="7"/>
      <c r="L853" s="7"/>
      <c r="M853" s="7"/>
      <c r="N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5" customHeight="1">
      <c r="A854" s="7"/>
      <c r="B854" s="7"/>
      <c r="C854" s="11"/>
      <c r="D854" s="11"/>
      <c r="E854" s="11"/>
      <c r="F854" s="11"/>
      <c r="G854" s="12"/>
      <c r="H854" s="7"/>
      <c r="I854" s="7"/>
      <c r="J854" s="7"/>
      <c r="K854" s="7"/>
      <c r="L854" s="7"/>
      <c r="M854" s="7"/>
      <c r="N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5" customHeight="1">
      <c r="A855" s="7"/>
      <c r="B855" s="7"/>
      <c r="C855" s="11"/>
      <c r="D855" s="11"/>
      <c r="E855" s="11"/>
      <c r="F855" s="11"/>
      <c r="G855" s="12"/>
      <c r="H855" s="7"/>
      <c r="I855" s="7"/>
      <c r="J855" s="7"/>
      <c r="K855" s="7"/>
      <c r="L855" s="7"/>
      <c r="M855" s="7"/>
      <c r="N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5" customHeight="1">
      <c r="A856" s="7"/>
      <c r="B856" s="7"/>
      <c r="C856" s="11"/>
      <c r="D856" s="11"/>
      <c r="E856" s="11"/>
      <c r="F856" s="11"/>
      <c r="G856" s="12"/>
      <c r="H856" s="7"/>
      <c r="I856" s="7"/>
      <c r="J856" s="7"/>
      <c r="K856" s="7"/>
      <c r="L856" s="7"/>
      <c r="M856" s="7"/>
      <c r="N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5" customHeight="1">
      <c r="A857" s="7"/>
      <c r="B857" s="7"/>
      <c r="C857" s="11"/>
      <c r="D857" s="11"/>
      <c r="E857" s="11"/>
      <c r="F857" s="11"/>
      <c r="G857" s="12"/>
      <c r="H857" s="7"/>
      <c r="I857" s="7"/>
      <c r="J857" s="7"/>
      <c r="K857" s="7"/>
      <c r="L857" s="7"/>
      <c r="M857" s="7"/>
      <c r="N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5" customHeight="1">
      <c r="A858" s="7"/>
      <c r="B858" s="7"/>
      <c r="C858" s="11"/>
      <c r="D858" s="11"/>
      <c r="E858" s="11"/>
      <c r="F858" s="11"/>
      <c r="G858" s="12"/>
      <c r="H858" s="7"/>
      <c r="I858" s="7"/>
      <c r="J858" s="7"/>
      <c r="K858" s="7"/>
      <c r="L858" s="7"/>
      <c r="M858" s="7"/>
      <c r="N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5" customHeight="1">
      <c r="A859" s="7"/>
      <c r="B859" s="7"/>
      <c r="C859" s="11"/>
      <c r="D859" s="11"/>
      <c r="E859" s="11"/>
      <c r="F859" s="11"/>
      <c r="G859" s="12"/>
      <c r="H859" s="7"/>
      <c r="I859" s="7"/>
      <c r="J859" s="7"/>
      <c r="K859" s="7"/>
      <c r="L859" s="7"/>
      <c r="M859" s="7"/>
      <c r="N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5" customHeight="1">
      <c r="A860" s="7"/>
      <c r="B860" s="7"/>
      <c r="C860" s="11"/>
      <c r="D860" s="11"/>
      <c r="E860" s="11"/>
      <c r="F860" s="11"/>
      <c r="G860" s="12"/>
      <c r="H860" s="7"/>
      <c r="I860" s="7"/>
      <c r="J860" s="7"/>
      <c r="K860" s="7"/>
      <c r="L860" s="7"/>
      <c r="M860" s="7"/>
      <c r="N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5" customHeight="1">
      <c r="A861" s="7"/>
      <c r="B861" s="7"/>
      <c r="C861" s="11"/>
      <c r="D861" s="11"/>
      <c r="E861" s="11"/>
      <c r="F861" s="11"/>
      <c r="G861" s="12"/>
      <c r="H861" s="7"/>
      <c r="I861" s="7"/>
      <c r="J861" s="7"/>
      <c r="K861" s="7"/>
      <c r="L861" s="7"/>
      <c r="M861" s="7"/>
      <c r="N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5" customHeight="1">
      <c r="A862" s="7"/>
      <c r="B862" s="7"/>
      <c r="C862" s="11"/>
      <c r="D862" s="11"/>
      <c r="E862" s="11"/>
      <c r="F862" s="11"/>
      <c r="G862" s="12"/>
      <c r="H862" s="7"/>
      <c r="I862" s="7"/>
      <c r="J862" s="7"/>
      <c r="K862" s="7"/>
      <c r="L862" s="7"/>
      <c r="M862" s="7"/>
      <c r="N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5" customHeight="1">
      <c r="A863" s="7"/>
      <c r="B863" s="7"/>
      <c r="C863" s="11"/>
      <c r="D863" s="11"/>
      <c r="E863" s="11"/>
      <c r="F863" s="11"/>
      <c r="G863" s="12"/>
      <c r="H863" s="7"/>
      <c r="I863" s="7"/>
      <c r="J863" s="7"/>
      <c r="K863" s="7"/>
      <c r="L863" s="7"/>
      <c r="M863" s="7"/>
      <c r="N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5" customHeight="1">
      <c r="A864" s="7"/>
      <c r="B864" s="7"/>
      <c r="C864" s="11"/>
      <c r="D864" s="11"/>
      <c r="E864" s="11"/>
      <c r="F864" s="11"/>
      <c r="G864" s="12"/>
      <c r="H864" s="7"/>
      <c r="I864" s="7"/>
      <c r="J864" s="7"/>
      <c r="K864" s="7"/>
      <c r="L864" s="7"/>
      <c r="M864" s="7"/>
      <c r="N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5" customHeight="1">
      <c r="A865" s="7"/>
      <c r="B865" s="7"/>
      <c r="C865" s="11"/>
      <c r="D865" s="11"/>
      <c r="E865" s="11"/>
      <c r="F865" s="11"/>
      <c r="G865" s="12"/>
      <c r="H865" s="7"/>
      <c r="I865" s="7"/>
      <c r="J865" s="7"/>
      <c r="K865" s="7"/>
      <c r="L865" s="7"/>
      <c r="M865" s="7"/>
      <c r="N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5" customHeight="1">
      <c r="A866" s="7"/>
      <c r="B866" s="7"/>
      <c r="C866" s="11"/>
      <c r="D866" s="11"/>
      <c r="E866" s="11"/>
      <c r="F866" s="11"/>
      <c r="G866" s="12"/>
      <c r="H866" s="7"/>
      <c r="I866" s="7"/>
      <c r="J866" s="7"/>
      <c r="K866" s="7"/>
      <c r="L866" s="7"/>
      <c r="M866" s="7"/>
      <c r="N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5" customHeight="1">
      <c r="A867" s="7"/>
      <c r="B867" s="7"/>
      <c r="C867" s="11"/>
      <c r="D867" s="11"/>
      <c r="E867" s="11"/>
      <c r="F867" s="11"/>
      <c r="G867" s="12"/>
      <c r="H867" s="7"/>
      <c r="I867" s="7"/>
      <c r="J867" s="7"/>
      <c r="K867" s="7"/>
      <c r="L867" s="7"/>
      <c r="M867" s="7"/>
      <c r="N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5" customHeight="1">
      <c r="A868" s="7"/>
      <c r="B868" s="7"/>
      <c r="C868" s="11"/>
      <c r="D868" s="11"/>
      <c r="E868" s="11"/>
      <c r="F868" s="11"/>
      <c r="G868" s="12"/>
      <c r="H868" s="7"/>
      <c r="I868" s="7"/>
      <c r="J868" s="7"/>
      <c r="K868" s="7"/>
      <c r="L868" s="7"/>
      <c r="M868" s="7"/>
      <c r="N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5" customHeight="1">
      <c r="A869" s="7"/>
      <c r="B869" s="7"/>
      <c r="C869" s="11"/>
      <c r="D869" s="11"/>
      <c r="E869" s="11"/>
      <c r="F869" s="11"/>
      <c r="G869" s="12"/>
      <c r="H869" s="7"/>
      <c r="I869" s="7"/>
      <c r="J869" s="7"/>
      <c r="K869" s="7"/>
      <c r="L869" s="7"/>
      <c r="M869" s="7"/>
      <c r="N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5" customHeight="1">
      <c r="A870" s="7"/>
      <c r="B870" s="7"/>
      <c r="C870" s="11"/>
      <c r="D870" s="11"/>
      <c r="E870" s="11"/>
      <c r="F870" s="11"/>
      <c r="G870" s="12"/>
      <c r="H870" s="7"/>
      <c r="I870" s="7"/>
      <c r="J870" s="7"/>
      <c r="K870" s="7"/>
      <c r="L870" s="7"/>
      <c r="M870" s="7"/>
      <c r="N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5" customHeight="1">
      <c r="A871" s="7"/>
      <c r="B871" s="7"/>
      <c r="C871" s="11"/>
      <c r="D871" s="11"/>
      <c r="E871" s="11"/>
      <c r="F871" s="11"/>
      <c r="G871" s="12"/>
      <c r="H871" s="7"/>
      <c r="I871" s="7"/>
      <c r="J871" s="7"/>
      <c r="K871" s="7"/>
      <c r="L871" s="7"/>
      <c r="M871" s="7"/>
      <c r="N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5" customHeight="1">
      <c r="A872" s="7"/>
      <c r="B872" s="7"/>
      <c r="C872" s="11"/>
      <c r="D872" s="11"/>
      <c r="E872" s="11"/>
      <c r="F872" s="11"/>
      <c r="G872" s="12"/>
      <c r="H872" s="7"/>
      <c r="I872" s="7"/>
      <c r="J872" s="7"/>
      <c r="K872" s="7"/>
      <c r="L872" s="7"/>
      <c r="M872" s="7"/>
      <c r="N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5" customHeight="1">
      <c r="A873" s="7"/>
      <c r="B873" s="7"/>
      <c r="C873" s="11"/>
      <c r="D873" s="11"/>
      <c r="E873" s="11"/>
      <c r="F873" s="11"/>
      <c r="G873" s="12"/>
      <c r="H873" s="7"/>
      <c r="I873" s="7"/>
      <c r="J873" s="7"/>
      <c r="K873" s="7"/>
      <c r="L873" s="7"/>
      <c r="M873" s="7"/>
      <c r="N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5" customHeight="1">
      <c r="A874" s="7"/>
      <c r="B874" s="7"/>
      <c r="C874" s="11"/>
      <c r="D874" s="11"/>
      <c r="E874" s="11"/>
      <c r="F874" s="11"/>
      <c r="G874" s="12"/>
      <c r="H874" s="7"/>
      <c r="I874" s="7"/>
      <c r="J874" s="7"/>
      <c r="K874" s="7"/>
      <c r="L874" s="7"/>
      <c r="M874" s="7"/>
      <c r="N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5" customHeight="1">
      <c r="A875" s="7"/>
      <c r="B875" s="7"/>
      <c r="C875" s="11"/>
      <c r="D875" s="11"/>
      <c r="E875" s="11"/>
      <c r="F875" s="11"/>
      <c r="G875" s="12"/>
      <c r="H875" s="7"/>
      <c r="I875" s="7"/>
      <c r="J875" s="7"/>
      <c r="K875" s="7"/>
      <c r="L875" s="7"/>
      <c r="M875" s="7"/>
      <c r="N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5" customHeight="1">
      <c r="A876" s="7"/>
      <c r="B876" s="7"/>
      <c r="C876" s="11"/>
      <c r="D876" s="11"/>
      <c r="E876" s="11"/>
      <c r="F876" s="11"/>
      <c r="G876" s="12"/>
      <c r="H876" s="7"/>
      <c r="I876" s="7"/>
      <c r="J876" s="7"/>
      <c r="K876" s="7"/>
      <c r="L876" s="7"/>
      <c r="M876" s="7"/>
      <c r="N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5" customHeight="1">
      <c r="A877" s="7"/>
      <c r="B877" s="7"/>
      <c r="C877" s="11"/>
      <c r="D877" s="11"/>
      <c r="E877" s="11"/>
      <c r="F877" s="11"/>
      <c r="G877" s="12"/>
      <c r="H877" s="7"/>
      <c r="I877" s="7"/>
      <c r="J877" s="7"/>
      <c r="K877" s="7"/>
      <c r="L877" s="7"/>
      <c r="M877" s="7"/>
      <c r="N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5" customHeight="1">
      <c r="A878" s="7"/>
      <c r="B878" s="7"/>
      <c r="C878" s="11"/>
      <c r="D878" s="11"/>
      <c r="E878" s="11"/>
      <c r="F878" s="11"/>
      <c r="G878" s="12"/>
      <c r="H878" s="7"/>
      <c r="I878" s="7"/>
      <c r="J878" s="7"/>
      <c r="K878" s="7"/>
      <c r="L878" s="7"/>
      <c r="M878" s="7"/>
      <c r="N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5" customHeight="1">
      <c r="A879" s="7"/>
      <c r="B879" s="7"/>
      <c r="C879" s="11"/>
      <c r="D879" s="11"/>
      <c r="E879" s="11"/>
      <c r="F879" s="11"/>
      <c r="G879" s="12"/>
      <c r="H879" s="7"/>
      <c r="I879" s="7"/>
      <c r="J879" s="7"/>
      <c r="K879" s="7"/>
      <c r="L879" s="7"/>
      <c r="M879" s="7"/>
      <c r="N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5" customHeight="1">
      <c r="A880" s="7"/>
      <c r="B880" s="7"/>
      <c r="C880" s="11"/>
      <c r="D880" s="11"/>
      <c r="E880" s="11"/>
      <c r="F880" s="11"/>
      <c r="G880" s="12"/>
      <c r="H880" s="7"/>
      <c r="I880" s="7"/>
      <c r="J880" s="7"/>
      <c r="K880" s="7"/>
      <c r="L880" s="7"/>
      <c r="M880" s="7"/>
      <c r="N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5" customHeight="1">
      <c r="A881" s="7"/>
      <c r="B881" s="7"/>
      <c r="C881" s="11"/>
      <c r="D881" s="11"/>
      <c r="E881" s="11"/>
      <c r="F881" s="11"/>
      <c r="G881" s="12"/>
      <c r="H881" s="7"/>
      <c r="I881" s="7"/>
      <c r="J881" s="7"/>
      <c r="K881" s="7"/>
      <c r="L881" s="7"/>
      <c r="M881" s="7"/>
      <c r="N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5" customHeight="1">
      <c r="A882" s="7"/>
      <c r="B882" s="7"/>
      <c r="C882" s="11"/>
      <c r="D882" s="11"/>
      <c r="E882" s="11"/>
      <c r="F882" s="11"/>
      <c r="G882" s="12"/>
      <c r="H882" s="7"/>
      <c r="I882" s="7"/>
      <c r="J882" s="7"/>
      <c r="K882" s="7"/>
      <c r="L882" s="7"/>
      <c r="M882" s="7"/>
      <c r="N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5" customHeight="1">
      <c r="A883" s="7"/>
      <c r="B883" s="7"/>
      <c r="C883" s="11"/>
      <c r="D883" s="11"/>
      <c r="E883" s="11"/>
      <c r="F883" s="11"/>
      <c r="G883" s="12"/>
      <c r="H883" s="7"/>
      <c r="I883" s="7"/>
      <c r="J883" s="7"/>
      <c r="K883" s="7"/>
      <c r="L883" s="7"/>
      <c r="M883" s="7"/>
      <c r="N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5" customHeight="1">
      <c r="A884" s="7"/>
      <c r="B884" s="7"/>
      <c r="C884" s="11"/>
      <c r="D884" s="11"/>
      <c r="E884" s="11"/>
      <c r="F884" s="11"/>
      <c r="G884" s="12"/>
      <c r="H884" s="7"/>
      <c r="I884" s="7"/>
      <c r="J884" s="7"/>
      <c r="K884" s="7"/>
      <c r="L884" s="7"/>
      <c r="M884" s="7"/>
      <c r="N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5" customHeight="1">
      <c r="A885" s="7"/>
      <c r="B885" s="7"/>
      <c r="C885" s="11"/>
      <c r="D885" s="11"/>
      <c r="E885" s="11"/>
      <c r="F885" s="11"/>
      <c r="G885" s="12"/>
      <c r="H885" s="7"/>
      <c r="I885" s="7"/>
      <c r="J885" s="7"/>
      <c r="K885" s="7"/>
      <c r="L885" s="7"/>
      <c r="M885" s="7"/>
      <c r="N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5" customHeight="1">
      <c r="A886" s="7"/>
      <c r="B886" s="7"/>
      <c r="C886" s="11"/>
      <c r="D886" s="11"/>
      <c r="E886" s="11"/>
      <c r="F886" s="11"/>
      <c r="G886" s="12"/>
      <c r="H886" s="7"/>
      <c r="I886" s="7"/>
      <c r="J886" s="7"/>
      <c r="K886" s="7"/>
      <c r="L886" s="7"/>
      <c r="M886" s="7"/>
      <c r="N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5" customHeight="1">
      <c r="A887" s="7"/>
      <c r="B887" s="7"/>
      <c r="C887" s="11"/>
      <c r="D887" s="11"/>
      <c r="E887" s="11"/>
      <c r="F887" s="11"/>
      <c r="G887" s="12"/>
      <c r="H887" s="7"/>
      <c r="I887" s="7"/>
      <c r="J887" s="7"/>
      <c r="K887" s="7"/>
      <c r="L887" s="7"/>
      <c r="M887" s="7"/>
      <c r="N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5" customHeight="1">
      <c r="A888" s="7"/>
      <c r="B888" s="7"/>
      <c r="C888" s="11"/>
      <c r="D888" s="11"/>
      <c r="E888" s="11"/>
      <c r="F888" s="11"/>
      <c r="G888" s="12"/>
      <c r="H888" s="7"/>
      <c r="I888" s="7"/>
      <c r="J888" s="7"/>
      <c r="K888" s="7"/>
      <c r="L888" s="7"/>
      <c r="M888" s="7"/>
      <c r="N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5" customHeight="1">
      <c r="A889" s="7"/>
      <c r="B889" s="7"/>
      <c r="C889" s="11"/>
      <c r="D889" s="11"/>
      <c r="E889" s="11"/>
      <c r="F889" s="11"/>
      <c r="G889" s="12"/>
      <c r="H889" s="7"/>
      <c r="I889" s="7"/>
      <c r="J889" s="7"/>
      <c r="K889" s="7"/>
      <c r="L889" s="7"/>
      <c r="M889" s="7"/>
      <c r="N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5" customHeight="1">
      <c r="A890" s="7"/>
      <c r="B890" s="7"/>
      <c r="C890" s="11"/>
      <c r="D890" s="11"/>
      <c r="E890" s="11"/>
      <c r="F890" s="11"/>
      <c r="G890" s="12"/>
      <c r="H890" s="7"/>
      <c r="I890" s="7"/>
      <c r="J890" s="7"/>
      <c r="K890" s="7"/>
      <c r="L890" s="7"/>
      <c r="M890" s="7"/>
      <c r="N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5" customHeight="1">
      <c r="A891" s="7"/>
      <c r="B891" s="7"/>
      <c r="C891" s="11"/>
      <c r="D891" s="11"/>
      <c r="E891" s="11"/>
      <c r="F891" s="11"/>
      <c r="G891" s="12"/>
      <c r="H891" s="7"/>
      <c r="I891" s="7"/>
      <c r="J891" s="7"/>
      <c r="K891" s="7"/>
      <c r="L891" s="7"/>
      <c r="M891" s="7"/>
      <c r="N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5" customHeight="1">
      <c r="A892" s="7"/>
      <c r="B892" s="7"/>
      <c r="C892" s="11"/>
      <c r="D892" s="11"/>
      <c r="E892" s="11"/>
      <c r="F892" s="11"/>
      <c r="G892" s="12"/>
      <c r="H892" s="7"/>
      <c r="I892" s="7"/>
      <c r="J892" s="7"/>
      <c r="K892" s="7"/>
      <c r="L892" s="7"/>
      <c r="M892" s="7"/>
      <c r="N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5" customHeight="1">
      <c r="A893" s="7"/>
      <c r="B893" s="7"/>
      <c r="C893" s="11"/>
      <c r="D893" s="11"/>
      <c r="E893" s="11"/>
      <c r="F893" s="11"/>
      <c r="G893" s="12"/>
      <c r="H893" s="7"/>
      <c r="I893" s="7"/>
      <c r="J893" s="7"/>
      <c r="K893" s="7"/>
      <c r="L893" s="7"/>
      <c r="M893" s="7"/>
      <c r="N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5" customHeight="1">
      <c r="A894" s="7"/>
      <c r="B894" s="7"/>
      <c r="C894" s="11"/>
      <c r="D894" s="11"/>
      <c r="E894" s="11"/>
      <c r="F894" s="11"/>
      <c r="G894" s="12"/>
      <c r="H894" s="7"/>
      <c r="I894" s="7"/>
      <c r="J894" s="7"/>
      <c r="K894" s="7"/>
      <c r="L894" s="7"/>
      <c r="M894" s="7"/>
      <c r="N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5" customHeight="1">
      <c r="A895" s="7"/>
      <c r="B895" s="7"/>
      <c r="C895" s="11"/>
      <c r="D895" s="11"/>
      <c r="E895" s="11"/>
      <c r="F895" s="11"/>
      <c r="G895" s="12"/>
      <c r="H895" s="7"/>
      <c r="I895" s="7"/>
      <c r="J895" s="7"/>
      <c r="K895" s="7"/>
      <c r="L895" s="7"/>
      <c r="M895" s="7"/>
      <c r="N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5" customHeight="1">
      <c r="A896" s="7"/>
      <c r="B896" s="7"/>
      <c r="C896" s="11"/>
      <c r="D896" s="11"/>
      <c r="E896" s="11"/>
      <c r="F896" s="11"/>
      <c r="G896" s="12"/>
      <c r="H896" s="7"/>
      <c r="I896" s="7"/>
      <c r="J896" s="7"/>
      <c r="K896" s="7"/>
      <c r="L896" s="7"/>
      <c r="M896" s="7"/>
      <c r="N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5" customHeight="1">
      <c r="A897" s="7"/>
      <c r="B897" s="7"/>
      <c r="C897" s="11"/>
      <c r="D897" s="11"/>
      <c r="E897" s="11"/>
      <c r="F897" s="11"/>
      <c r="G897" s="12"/>
      <c r="H897" s="7"/>
      <c r="I897" s="7"/>
      <c r="J897" s="7"/>
      <c r="K897" s="7"/>
      <c r="L897" s="7"/>
      <c r="M897" s="7"/>
      <c r="N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5" customHeight="1">
      <c r="A898" s="7"/>
      <c r="B898" s="7"/>
      <c r="C898" s="11"/>
      <c r="D898" s="11"/>
      <c r="E898" s="11"/>
      <c r="F898" s="11"/>
      <c r="G898" s="12"/>
      <c r="H898" s="7"/>
      <c r="I898" s="7"/>
      <c r="J898" s="7"/>
      <c r="K898" s="7"/>
      <c r="L898" s="7"/>
      <c r="M898" s="7"/>
      <c r="N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5" customHeight="1">
      <c r="A899" s="7"/>
      <c r="B899" s="7"/>
      <c r="C899" s="11"/>
      <c r="D899" s="11"/>
      <c r="E899" s="11"/>
      <c r="F899" s="11"/>
      <c r="G899" s="12"/>
      <c r="H899" s="7"/>
      <c r="I899" s="7"/>
      <c r="J899" s="7"/>
      <c r="K899" s="7"/>
      <c r="L899" s="7"/>
      <c r="M899" s="7"/>
      <c r="N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5" customHeight="1">
      <c r="A900" s="7"/>
      <c r="B900" s="7"/>
      <c r="C900" s="11"/>
      <c r="D900" s="11"/>
      <c r="E900" s="11"/>
      <c r="F900" s="11"/>
      <c r="G900" s="12"/>
      <c r="H900" s="7"/>
      <c r="I900" s="7"/>
      <c r="J900" s="7"/>
      <c r="K900" s="7"/>
      <c r="L900" s="7"/>
      <c r="M900" s="7"/>
      <c r="N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5" customHeight="1">
      <c r="A901" s="7"/>
      <c r="B901" s="7"/>
      <c r="C901" s="11"/>
      <c r="D901" s="11"/>
      <c r="E901" s="11"/>
      <c r="F901" s="11"/>
      <c r="G901" s="12"/>
      <c r="H901" s="7"/>
      <c r="I901" s="7"/>
      <c r="J901" s="7"/>
      <c r="K901" s="7"/>
      <c r="L901" s="7"/>
      <c r="M901" s="7"/>
      <c r="N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5" customHeight="1">
      <c r="A902" s="7"/>
      <c r="B902" s="7"/>
      <c r="C902" s="11"/>
      <c r="D902" s="11"/>
      <c r="E902" s="11"/>
      <c r="F902" s="11"/>
      <c r="G902" s="12"/>
      <c r="H902" s="7"/>
      <c r="I902" s="7"/>
      <c r="J902" s="7"/>
      <c r="K902" s="7"/>
      <c r="L902" s="7"/>
      <c r="M902" s="7"/>
      <c r="N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5" customHeight="1">
      <c r="A903" s="7"/>
      <c r="B903" s="7"/>
      <c r="C903" s="11"/>
      <c r="D903" s="11"/>
      <c r="E903" s="11"/>
      <c r="F903" s="11"/>
      <c r="G903" s="12"/>
      <c r="H903" s="7"/>
      <c r="I903" s="7"/>
      <c r="J903" s="7"/>
      <c r="K903" s="7"/>
      <c r="L903" s="7"/>
      <c r="M903" s="7"/>
      <c r="N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5" customHeight="1">
      <c r="A904" s="7"/>
      <c r="B904" s="7"/>
      <c r="C904" s="11"/>
      <c r="D904" s="11"/>
      <c r="E904" s="11"/>
      <c r="F904" s="11"/>
      <c r="G904" s="12"/>
      <c r="H904" s="7"/>
      <c r="I904" s="7"/>
      <c r="J904" s="7"/>
      <c r="K904" s="7"/>
      <c r="L904" s="7"/>
      <c r="M904" s="7"/>
      <c r="N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5" customHeight="1">
      <c r="A905" s="7"/>
      <c r="B905" s="7"/>
      <c r="C905" s="11"/>
      <c r="D905" s="11"/>
      <c r="E905" s="11"/>
      <c r="F905" s="11"/>
      <c r="G905" s="12"/>
      <c r="H905" s="7"/>
      <c r="I905" s="7"/>
      <c r="J905" s="7"/>
      <c r="K905" s="7"/>
      <c r="L905" s="7"/>
      <c r="M905" s="7"/>
      <c r="N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5" customHeight="1">
      <c r="A906" s="7"/>
      <c r="B906" s="7"/>
      <c r="C906" s="11"/>
      <c r="D906" s="11"/>
      <c r="E906" s="11"/>
      <c r="F906" s="11"/>
      <c r="G906" s="12"/>
      <c r="H906" s="7"/>
      <c r="I906" s="7"/>
      <c r="J906" s="7"/>
      <c r="K906" s="7"/>
      <c r="L906" s="7"/>
      <c r="M906" s="7"/>
      <c r="N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5" customHeight="1">
      <c r="A907" s="7"/>
      <c r="B907" s="7"/>
      <c r="C907" s="11"/>
      <c r="D907" s="11"/>
      <c r="E907" s="11"/>
      <c r="F907" s="11"/>
      <c r="G907" s="12"/>
      <c r="H907" s="7"/>
      <c r="I907" s="7"/>
      <c r="J907" s="7"/>
      <c r="K907" s="7"/>
      <c r="L907" s="7"/>
      <c r="M907" s="7"/>
      <c r="N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5" customHeight="1">
      <c r="A908" s="7"/>
      <c r="B908" s="7"/>
      <c r="C908" s="11"/>
      <c r="D908" s="11"/>
      <c r="E908" s="11"/>
      <c r="F908" s="11"/>
      <c r="G908" s="12"/>
      <c r="H908" s="7"/>
      <c r="I908" s="7"/>
      <c r="J908" s="7"/>
      <c r="K908" s="7"/>
      <c r="L908" s="7"/>
      <c r="M908" s="7"/>
      <c r="N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5" customHeight="1">
      <c r="A909" s="7"/>
      <c r="B909" s="7"/>
      <c r="C909" s="11"/>
      <c r="D909" s="11"/>
      <c r="E909" s="11"/>
      <c r="F909" s="11"/>
      <c r="G909" s="12"/>
      <c r="H909" s="7"/>
      <c r="I909" s="7"/>
      <c r="J909" s="7"/>
      <c r="K909" s="7"/>
      <c r="L909" s="7"/>
      <c r="M909" s="7"/>
      <c r="N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5" customHeight="1">
      <c r="A910" s="7"/>
      <c r="B910" s="7"/>
      <c r="C910" s="11"/>
      <c r="D910" s="11"/>
      <c r="E910" s="11"/>
      <c r="F910" s="11"/>
      <c r="G910" s="12"/>
      <c r="H910" s="7"/>
      <c r="I910" s="7"/>
      <c r="J910" s="7"/>
      <c r="K910" s="7"/>
      <c r="L910" s="7"/>
      <c r="M910" s="7"/>
      <c r="N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5" customHeight="1">
      <c r="A911" s="7"/>
      <c r="B911" s="7"/>
      <c r="C911" s="11"/>
      <c r="D911" s="11"/>
      <c r="E911" s="11"/>
      <c r="F911" s="11"/>
      <c r="G911" s="12"/>
      <c r="H911" s="7"/>
      <c r="I911" s="7"/>
      <c r="J911" s="7"/>
      <c r="K911" s="7"/>
      <c r="L911" s="7"/>
      <c r="M911" s="7"/>
      <c r="N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5" customHeight="1">
      <c r="A912" s="7"/>
      <c r="B912" s="7"/>
      <c r="C912" s="11"/>
      <c r="D912" s="11"/>
      <c r="E912" s="11"/>
      <c r="F912" s="11"/>
      <c r="G912" s="12"/>
      <c r="H912" s="7"/>
      <c r="I912" s="7"/>
      <c r="J912" s="7"/>
      <c r="K912" s="7"/>
      <c r="L912" s="7"/>
      <c r="M912" s="7"/>
      <c r="N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5" customHeight="1">
      <c r="A913" s="7"/>
      <c r="B913" s="7"/>
      <c r="C913" s="11"/>
      <c r="D913" s="11"/>
      <c r="E913" s="11"/>
      <c r="F913" s="11"/>
      <c r="G913" s="12"/>
      <c r="H913" s="7"/>
      <c r="I913" s="7"/>
      <c r="J913" s="7"/>
      <c r="K913" s="7"/>
      <c r="L913" s="7"/>
      <c r="M913" s="7"/>
      <c r="N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5" customHeight="1">
      <c r="A914" s="7"/>
      <c r="B914" s="7"/>
      <c r="C914" s="11"/>
      <c r="D914" s="11"/>
      <c r="E914" s="11"/>
      <c r="F914" s="11"/>
      <c r="G914" s="12"/>
      <c r="H914" s="7"/>
      <c r="I914" s="7"/>
      <c r="J914" s="7"/>
      <c r="K914" s="7"/>
      <c r="L914" s="7"/>
      <c r="M914" s="7"/>
      <c r="N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5" customHeight="1">
      <c r="A915" s="7"/>
      <c r="B915" s="7"/>
      <c r="C915" s="11"/>
      <c r="D915" s="11"/>
      <c r="E915" s="11"/>
      <c r="F915" s="11"/>
      <c r="G915" s="12"/>
      <c r="H915" s="7"/>
      <c r="I915" s="7"/>
      <c r="J915" s="7"/>
      <c r="K915" s="7"/>
      <c r="L915" s="7"/>
      <c r="M915" s="7"/>
      <c r="N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5" customHeight="1">
      <c r="A916" s="7"/>
      <c r="B916" s="7"/>
      <c r="C916" s="11"/>
      <c r="D916" s="11"/>
      <c r="E916" s="11"/>
      <c r="F916" s="11"/>
      <c r="G916" s="12"/>
      <c r="H916" s="7"/>
      <c r="I916" s="7"/>
      <c r="J916" s="7"/>
      <c r="K916" s="7"/>
      <c r="L916" s="7"/>
      <c r="M916" s="7"/>
      <c r="N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5" customHeight="1">
      <c r="A917" s="7"/>
      <c r="B917" s="7"/>
      <c r="C917" s="11"/>
      <c r="D917" s="11"/>
      <c r="E917" s="11"/>
      <c r="F917" s="11"/>
      <c r="G917" s="12"/>
      <c r="H917" s="7"/>
      <c r="I917" s="7"/>
      <c r="J917" s="7"/>
      <c r="K917" s="7"/>
      <c r="L917" s="7"/>
      <c r="M917" s="7"/>
      <c r="N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5" customHeight="1">
      <c r="A918" s="7"/>
      <c r="B918" s="7"/>
      <c r="C918" s="11"/>
      <c r="D918" s="11"/>
      <c r="E918" s="11"/>
      <c r="F918" s="11"/>
      <c r="G918" s="12"/>
      <c r="H918" s="7"/>
      <c r="I918" s="7"/>
      <c r="J918" s="7"/>
      <c r="K918" s="7"/>
      <c r="L918" s="7"/>
      <c r="M918" s="7"/>
      <c r="N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5" customHeight="1">
      <c r="A919" s="7"/>
      <c r="B919" s="7"/>
      <c r="C919" s="11"/>
      <c r="D919" s="11"/>
      <c r="E919" s="11"/>
      <c r="F919" s="11"/>
      <c r="G919" s="12"/>
      <c r="H919" s="7"/>
      <c r="I919" s="7"/>
      <c r="J919" s="7"/>
      <c r="K919" s="7"/>
      <c r="L919" s="7"/>
      <c r="M919" s="7"/>
      <c r="N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5" customHeight="1">
      <c r="A920" s="7"/>
      <c r="B920" s="7"/>
      <c r="C920" s="11"/>
      <c r="D920" s="11"/>
      <c r="E920" s="11"/>
      <c r="F920" s="11"/>
      <c r="G920" s="12"/>
      <c r="H920" s="7"/>
      <c r="I920" s="7"/>
      <c r="J920" s="7"/>
      <c r="K920" s="7"/>
      <c r="L920" s="7"/>
      <c r="M920" s="7"/>
      <c r="N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5" customHeight="1">
      <c r="A921" s="7"/>
      <c r="B921" s="7"/>
      <c r="C921" s="11"/>
      <c r="D921" s="11"/>
      <c r="E921" s="11"/>
      <c r="F921" s="11"/>
      <c r="G921" s="12"/>
      <c r="H921" s="7"/>
      <c r="I921" s="7"/>
      <c r="J921" s="7"/>
      <c r="K921" s="7"/>
      <c r="L921" s="7"/>
      <c r="M921" s="7"/>
      <c r="N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5" customHeight="1">
      <c r="A922" s="7"/>
      <c r="B922" s="7"/>
      <c r="C922" s="11"/>
      <c r="D922" s="11"/>
      <c r="E922" s="11"/>
      <c r="F922" s="11"/>
      <c r="G922" s="12"/>
      <c r="H922" s="7"/>
      <c r="I922" s="7"/>
      <c r="J922" s="7"/>
      <c r="K922" s="7"/>
      <c r="L922" s="7"/>
      <c r="M922" s="7"/>
      <c r="N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5" customHeight="1">
      <c r="A923" s="7"/>
      <c r="B923" s="7"/>
      <c r="C923" s="11"/>
      <c r="D923" s="11"/>
      <c r="E923" s="11"/>
      <c r="F923" s="11"/>
      <c r="G923" s="12"/>
      <c r="H923" s="7"/>
      <c r="I923" s="7"/>
      <c r="J923" s="7"/>
      <c r="K923" s="7"/>
      <c r="L923" s="7"/>
      <c r="M923" s="7"/>
      <c r="N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5" customHeight="1">
      <c r="A924" s="7"/>
      <c r="B924" s="7"/>
      <c r="C924" s="11"/>
      <c r="D924" s="11"/>
      <c r="E924" s="11"/>
      <c r="F924" s="11"/>
      <c r="G924" s="12"/>
      <c r="H924" s="7"/>
      <c r="I924" s="7"/>
      <c r="J924" s="7"/>
      <c r="K924" s="7"/>
      <c r="L924" s="7"/>
      <c r="M924" s="7"/>
      <c r="N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5" customHeight="1">
      <c r="A925" s="7"/>
      <c r="B925" s="7"/>
      <c r="C925" s="11"/>
      <c r="D925" s="11"/>
      <c r="E925" s="11"/>
      <c r="F925" s="11"/>
      <c r="G925" s="12"/>
      <c r="H925" s="7"/>
      <c r="I925" s="7"/>
      <c r="J925" s="7"/>
      <c r="K925" s="7"/>
      <c r="L925" s="7"/>
      <c r="M925" s="7"/>
      <c r="N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5" customHeight="1">
      <c r="A926" s="7"/>
      <c r="B926" s="7"/>
      <c r="C926" s="11"/>
      <c r="D926" s="11"/>
      <c r="E926" s="11"/>
      <c r="F926" s="11"/>
      <c r="G926" s="12"/>
      <c r="H926" s="7"/>
      <c r="I926" s="7"/>
      <c r="J926" s="7"/>
      <c r="K926" s="7"/>
      <c r="L926" s="7"/>
      <c r="M926" s="7"/>
      <c r="N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5" customHeight="1">
      <c r="A927" s="7"/>
      <c r="B927" s="7"/>
      <c r="C927" s="11"/>
      <c r="D927" s="11"/>
      <c r="E927" s="11"/>
      <c r="F927" s="11"/>
      <c r="G927" s="12"/>
      <c r="H927" s="7"/>
      <c r="I927" s="7"/>
      <c r="J927" s="7"/>
      <c r="K927" s="7"/>
      <c r="L927" s="7"/>
      <c r="M927" s="7"/>
      <c r="N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5" customHeight="1">
      <c r="A928" s="7"/>
      <c r="B928" s="7"/>
      <c r="C928" s="11"/>
      <c r="D928" s="11"/>
      <c r="E928" s="11"/>
      <c r="F928" s="11"/>
      <c r="G928" s="12"/>
      <c r="H928" s="7"/>
      <c r="I928" s="7"/>
      <c r="J928" s="7"/>
      <c r="K928" s="7"/>
      <c r="L928" s="7"/>
      <c r="M928" s="7"/>
      <c r="N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5" customHeight="1">
      <c r="A929" s="7"/>
      <c r="B929" s="7"/>
      <c r="C929" s="11"/>
      <c r="D929" s="11"/>
      <c r="E929" s="11"/>
      <c r="F929" s="11"/>
      <c r="G929" s="12"/>
      <c r="H929" s="7"/>
      <c r="I929" s="7"/>
      <c r="J929" s="7"/>
      <c r="K929" s="7"/>
      <c r="L929" s="7"/>
      <c r="M929" s="7"/>
      <c r="N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5" customHeight="1">
      <c r="A930" s="7"/>
      <c r="B930" s="7"/>
      <c r="C930" s="11"/>
      <c r="D930" s="11"/>
      <c r="E930" s="11"/>
      <c r="F930" s="11"/>
      <c r="G930" s="12"/>
      <c r="H930" s="7"/>
      <c r="I930" s="7"/>
      <c r="J930" s="7"/>
      <c r="K930" s="7"/>
      <c r="L930" s="7"/>
      <c r="M930" s="7"/>
      <c r="N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5" customHeight="1">
      <c r="A931" s="7"/>
      <c r="B931" s="7"/>
      <c r="C931" s="11"/>
      <c r="D931" s="11"/>
      <c r="E931" s="11"/>
      <c r="F931" s="11"/>
      <c r="G931" s="12"/>
      <c r="H931" s="7"/>
      <c r="I931" s="7"/>
      <c r="J931" s="7"/>
      <c r="K931" s="7"/>
      <c r="L931" s="7"/>
      <c r="M931" s="7"/>
      <c r="N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5" customHeight="1">
      <c r="A932" s="7"/>
      <c r="B932" s="7"/>
      <c r="C932" s="11"/>
      <c r="D932" s="11"/>
      <c r="E932" s="11"/>
      <c r="F932" s="11"/>
      <c r="G932" s="12"/>
      <c r="H932" s="7"/>
      <c r="I932" s="7"/>
      <c r="J932" s="7"/>
      <c r="K932" s="7"/>
      <c r="L932" s="7"/>
      <c r="M932" s="7"/>
      <c r="N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5" customHeight="1">
      <c r="A933" s="7"/>
      <c r="B933" s="7"/>
      <c r="C933" s="11"/>
      <c r="D933" s="11"/>
      <c r="E933" s="11"/>
      <c r="F933" s="11"/>
      <c r="G933" s="12"/>
      <c r="H933" s="7"/>
      <c r="I933" s="7"/>
      <c r="J933" s="7"/>
      <c r="K933" s="7"/>
      <c r="L933" s="7"/>
      <c r="M933" s="7"/>
      <c r="N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5" customHeight="1">
      <c r="A934" s="7"/>
      <c r="B934" s="7"/>
      <c r="C934" s="11"/>
      <c r="D934" s="11"/>
      <c r="E934" s="11"/>
      <c r="F934" s="11"/>
      <c r="G934" s="12"/>
      <c r="H934" s="7"/>
      <c r="I934" s="7"/>
      <c r="J934" s="7"/>
      <c r="K934" s="7"/>
      <c r="L934" s="7"/>
      <c r="M934" s="7"/>
      <c r="N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5" customHeight="1">
      <c r="A935" s="7"/>
      <c r="B935" s="7"/>
      <c r="C935" s="11"/>
      <c r="D935" s="11"/>
      <c r="E935" s="11"/>
      <c r="F935" s="11"/>
      <c r="G935" s="12"/>
      <c r="H935" s="7"/>
      <c r="I935" s="7"/>
      <c r="J935" s="7"/>
      <c r="K935" s="7"/>
      <c r="L935" s="7"/>
      <c r="M935" s="7"/>
      <c r="N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5" customHeight="1">
      <c r="A936" s="7"/>
      <c r="B936" s="7"/>
      <c r="C936" s="11"/>
      <c r="D936" s="11"/>
      <c r="E936" s="11"/>
      <c r="F936" s="11"/>
      <c r="G936" s="12"/>
      <c r="H936" s="7"/>
      <c r="I936" s="7"/>
      <c r="J936" s="7"/>
      <c r="K936" s="7"/>
      <c r="L936" s="7"/>
      <c r="M936" s="7"/>
      <c r="N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5" customHeight="1">
      <c r="A937" s="7"/>
      <c r="B937" s="7"/>
      <c r="C937" s="11"/>
      <c r="D937" s="11"/>
      <c r="E937" s="11"/>
      <c r="F937" s="11"/>
      <c r="G937" s="12"/>
      <c r="H937" s="7"/>
      <c r="I937" s="7"/>
      <c r="J937" s="7"/>
      <c r="K937" s="7"/>
      <c r="L937" s="7"/>
      <c r="M937" s="7"/>
      <c r="N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5" customHeight="1">
      <c r="A938" s="7"/>
      <c r="B938" s="7"/>
      <c r="C938" s="11"/>
      <c r="D938" s="11"/>
      <c r="E938" s="11"/>
      <c r="F938" s="11"/>
      <c r="G938" s="12"/>
      <c r="H938" s="7"/>
      <c r="I938" s="7"/>
      <c r="J938" s="7"/>
      <c r="K938" s="7"/>
      <c r="L938" s="7"/>
      <c r="M938" s="7"/>
      <c r="N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5" customHeight="1">
      <c r="A939" s="7"/>
      <c r="B939" s="7"/>
      <c r="C939" s="11"/>
      <c r="D939" s="11"/>
      <c r="E939" s="11"/>
      <c r="F939" s="11"/>
      <c r="G939" s="12"/>
      <c r="H939" s="7"/>
      <c r="I939" s="7"/>
      <c r="J939" s="7"/>
      <c r="K939" s="7"/>
      <c r="L939" s="7"/>
      <c r="M939" s="7"/>
      <c r="N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5" customHeight="1">
      <c r="A940" s="7"/>
      <c r="B940" s="7"/>
      <c r="C940" s="11"/>
      <c r="D940" s="11"/>
      <c r="E940" s="11"/>
      <c r="F940" s="11"/>
      <c r="G940" s="12"/>
      <c r="H940" s="7"/>
      <c r="I940" s="7"/>
      <c r="J940" s="7"/>
      <c r="K940" s="7"/>
      <c r="L940" s="7"/>
      <c r="M940" s="7"/>
      <c r="N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5" customHeight="1">
      <c r="A941" s="7"/>
      <c r="B941" s="7"/>
      <c r="C941" s="11"/>
      <c r="D941" s="11"/>
      <c r="E941" s="11"/>
      <c r="F941" s="11"/>
      <c r="G941" s="12"/>
      <c r="H941" s="7"/>
      <c r="I941" s="7"/>
      <c r="J941" s="7"/>
      <c r="K941" s="7"/>
      <c r="L941" s="7"/>
      <c r="M941" s="7"/>
      <c r="N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5" customHeight="1">
      <c r="A942" s="7"/>
      <c r="B942" s="7"/>
      <c r="C942" s="11"/>
      <c r="D942" s="11"/>
      <c r="E942" s="11"/>
      <c r="F942" s="11"/>
      <c r="G942" s="12"/>
      <c r="H942" s="7"/>
      <c r="I942" s="7"/>
      <c r="J942" s="7"/>
      <c r="K942" s="7"/>
      <c r="L942" s="7"/>
      <c r="M942" s="7"/>
      <c r="N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5" customHeight="1">
      <c r="A943" s="7"/>
      <c r="B943" s="7"/>
      <c r="C943" s="11"/>
      <c r="D943" s="11"/>
      <c r="E943" s="11"/>
      <c r="F943" s="11"/>
      <c r="G943" s="12"/>
      <c r="H943" s="7"/>
      <c r="I943" s="7"/>
      <c r="J943" s="7"/>
      <c r="K943" s="7"/>
      <c r="L943" s="7"/>
      <c r="M943" s="7"/>
      <c r="N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5" customHeight="1">
      <c r="A944" s="7"/>
      <c r="B944" s="7"/>
      <c r="C944" s="11"/>
      <c r="D944" s="11"/>
      <c r="E944" s="11"/>
      <c r="F944" s="11"/>
      <c r="G944" s="12"/>
      <c r="H944" s="7"/>
      <c r="I944" s="7"/>
      <c r="J944" s="7"/>
      <c r="K944" s="7"/>
      <c r="L944" s="7"/>
      <c r="M944" s="7"/>
      <c r="N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5" customHeight="1">
      <c r="A945" s="7"/>
      <c r="B945" s="7"/>
      <c r="C945" s="11"/>
      <c r="D945" s="11"/>
      <c r="E945" s="11"/>
      <c r="F945" s="11"/>
      <c r="G945" s="12"/>
      <c r="H945" s="7"/>
      <c r="I945" s="7"/>
      <c r="J945" s="7"/>
      <c r="K945" s="7"/>
      <c r="L945" s="7"/>
      <c r="M945" s="7"/>
      <c r="N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5" customHeight="1">
      <c r="A946" s="7"/>
      <c r="B946" s="7"/>
      <c r="C946" s="11"/>
      <c r="D946" s="11"/>
      <c r="E946" s="11"/>
      <c r="F946" s="11"/>
      <c r="G946" s="12"/>
      <c r="H946" s="7"/>
      <c r="I946" s="7"/>
      <c r="J946" s="7"/>
      <c r="K946" s="7"/>
      <c r="L946" s="7"/>
      <c r="M946" s="7"/>
      <c r="N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5" customHeight="1">
      <c r="A947" s="7"/>
      <c r="B947" s="7"/>
      <c r="C947" s="11"/>
      <c r="D947" s="11"/>
      <c r="E947" s="11"/>
      <c r="F947" s="11"/>
      <c r="G947" s="12"/>
      <c r="H947" s="7"/>
      <c r="I947" s="7"/>
      <c r="J947" s="7"/>
      <c r="K947" s="7"/>
      <c r="L947" s="7"/>
      <c r="M947" s="7"/>
      <c r="N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5" customHeight="1">
      <c r="A948" s="7"/>
      <c r="B948" s="7"/>
      <c r="C948" s="11"/>
      <c r="D948" s="11"/>
      <c r="E948" s="11"/>
      <c r="F948" s="11"/>
      <c r="G948" s="12"/>
      <c r="H948" s="7"/>
      <c r="I948" s="7"/>
      <c r="J948" s="7"/>
      <c r="K948" s="7"/>
      <c r="L948" s="7"/>
      <c r="M948" s="7"/>
      <c r="N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5" customHeight="1">
      <c r="A949" s="7"/>
      <c r="B949" s="7"/>
      <c r="C949" s="11"/>
      <c r="D949" s="11"/>
      <c r="E949" s="11"/>
      <c r="F949" s="11"/>
      <c r="G949" s="12"/>
      <c r="H949" s="7"/>
      <c r="I949" s="7"/>
      <c r="J949" s="7"/>
      <c r="K949" s="7"/>
      <c r="L949" s="7"/>
      <c r="M949" s="7"/>
      <c r="N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5" customHeight="1">
      <c r="A950" s="7"/>
      <c r="B950" s="7"/>
      <c r="C950" s="11"/>
      <c r="D950" s="11"/>
      <c r="E950" s="11"/>
      <c r="F950" s="11"/>
      <c r="G950" s="12"/>
      <c r="H950" s="7"/>
      <c r="I950" s="7"/>
      <c r="J950" s="7"/>
      <c r="K950" s="7"/>
      <c r="L950" s="7"/>
      <c r="M950" s="7"/>
      <c r="N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5" customHeight="1">
      <c r="A951" s="7"/>
      <c r="B951" s="7"/>
      <c r="C951" s="11"/>
      <c r="D951" s="11"/>
      <c r="E951" s="11"/>
      <c r="F951" s="11"/>
      <c r="G951" s="12"/>
      <c r="H951" s="7"/>
      <c r="I951" s="7"/>
      <c r="J951" s="7"/>
      <c r="K951" s="7"/>
      <c r="L951" s="7"/>
      <c r="M951" s="7"/>
      <c r="N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5" customHeight="1">
      <c r="A952" s="7"/>
      <c r="B952" s="7"/>
      <c r="C952" s="11"/>
      <c r="D952" s="11"/>
      <c r="E952" s="11"/>
      <c r="F952" s="11"/>
      <c r="G952" s="12"/>
      <c r="H952" s="7"/>
      <c r="I952" s="7"/>
      <c r="J952" s="7"/>
      <c r="K952" s="7"/>
      <c r="L952" s="7"/>
      <c r="M952" s="7"/>
      <c r="N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5" customHeight="1">
      <c r="A953" s="7"/>
      <c r="B953" s="7"/>
      <c r="C953" s="11"/>
      <c r="D953" s="11"/>
      <c r="E953" s="11"/>
      <c r="F953" s="11"/>
      <c r="G953" s="12"/>
      <c r="H953" s="7"/>
      <c r="I953" s="7"/>
      <c r="J953" s="7"/>
      <c r="K953" s="7"/>
      <c r="L953" s="7"/>
      <c r="M953" s="7"/>
      <c r="N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5" customHeight="1">
      <c r="A954" s="7"/>
      <c r="B954" s="7"/>
      <c r="C954" s="11"/>
      <c r="D954" s="11"/>
      <c r="E954" s="11"/>
      <c r="F954" s="11"/>
      <c r="G954" s="12"/>
      <c r="H954" s="7"/>
      <c r="I954" s="7"/>
      <c r="J954" s="7"/>
      <c r="K954" s="7"/>
      <c r="L954" s="7"/>
      <c r="M954" s="7"/>
      <c r="N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5" customHeight="1">
      <c r="A955" s="7"/>
      <c r="B955" s="7"/>
      <c r="C955" s="11"/>
      <c r="D955" s="11"/>
      <c r="E955" s="11"/>
      <c r="F955" s="11"/>
      <c r="G955" s="12"/>
      <c r="H955" s="7"/>
      <c r="I955" s="7"/>
      <c r="J955" s="7"/>
      <c r="K955" s="7"/>
      <c r="L955" s="7"/>
      <c r="M955" s="7"/>
      <c r="N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5" customHeight="1">
      <c r="A956" s="7"/>
      <c r="B956" s="7"/>
      <c r="C956" s="11"/>
      <c r="D956" s="11"/>
      <c r="E956" s="11"/>
      <c r="F956" s="11"/>
      <c r="G956" s="12"/>
      <c r="H956" s="7"/>
      <c r="I956" s="7"/>
      <c r="J956" s="7"/>
      <c r="K956" s="7"/>
      <c r="L956" s="7"/>
      <c r="M956" s="7"/>
      <c r="N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5" customHeight="1">
      <c r="A957" s="7"/>
      <c r="B957" s="7"/>
      <c r="C957" s="11"/>
      <c r="D957" s="11"/>
      <c r="E957" s="11"/>
      <c r="F957" s="11"/>
      <c r="G957" s="12"/>
      <c r="H957" s="7"/>
      <c r="I957" s="7"/>
      <c r="J957" s="7"/>
      <c r="K957" s="7"/>
      <c r="L957" s="7"/>
      <c r="M957" s="7"/>
      <c r="N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5" customHeight="1">
      <c r="A958" s="7"/>
      <c r="B958" s="7"/>
      <c r="C958" s="11"/>
      <c r="D958" s="11"/>
      <c r="E958" s="11"/>
      <c r="F958" s="11"/>
      <c r="G958" s="12"/>
      <c r="H958" s="7"/>
      <c r="I958" s="7"/>
      <c r="J958" s="7"/>
      <c r="K958" s="7"/>
      <c r="L958" s="7"/>
      <c r="M958" s="7"/>
      <c r="N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5" customHeight="1">
      <c r="A959" s="7"/>
      <c r="B959" s="7"/>
      <c r="C959" s="11"/>
      <c r="D959" s="11"/>
      <c r="E959" s="11"/>
      <c r="F959" s="11"/>
      <c r="G959" s="12"/>
      <c r="H959" s="7"/>
      <c r="I959" s="7"/>
      <c r="J959" s="7"/>
      <c r="K959" s="7"/>
      <c r="L959" s="7"/>
      <c r="M959" s="7"/>
      <c r="N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5" customHeight="1">
      <c r="A960" s="7"/>
      <c r="B960" s="7"/>
      <c r="C960" s="11"/>
      <c r="D960" s="11"/>
      <c r="E960" s="11"/>
      <c r="F960" s="11"/>
      <c r="G960" s="12"/>
      <c r="H960" s="7"/>
      <c r="I960" s="7"/>
      <c r="J960" s="7"/>
      <c r="K960" s="7"/>
      <c r="L960" s="7"/>
      <c r="M960" s="7"/>
      <c r="N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5" customHeight="1">
      <c r="A961" s="7"/>
      <c r="B961" s="7"/>
      <c r="C961" s="11"/>
      <c r="D961" s="11"/>
      <c r="E961" s="11"/>
      <c r="F961" s="11"/>
      <c r="G961" s="12"/>
      <c r="H961" s="7"/>
      <c r="I961" s="7"/>
      <c r="J961" s="7"/>
      <c r="K961" s="7"/>
      <c r="L961" s="7"/>
      <c r="M961" s="7"/>
      <c r="N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5" customHeight="1">
      <c r="A962" s="7"/>
      <c r="B962" s="7"/>
      <c r="C962" s="11"/>
      <c r="D962" s="11"/>
      <c r="E962" s="11"/>
      <c r="F962" s="11"/>
      <c r="G962" s="12"/>
      <c r="H962" s="7"/>
      <c r="I962" s="7"/>
      <c r="J962" s="7"/>
      <c r="K962" s="7"/>
      <c r="L962" s="7"/>
      <c r="M962" s="7"/>
      <c r="N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5" customHeight="1">
      <c r="A963" s="7"/>
      <c r="B963" s="7"/>
      <c r="C963" s="11"/>
      <c r="D963" s="11"/>
      <c r="E963" s="11"/>
      <c r="F963" s="11"/>
      <c r="G963" s="12"/>
      <c r="H963" s="7"/>
      <c r="I963" s="7"/>
      <c r="J963" s="7"/>
      <c r="K963" s="7"/>
      <c r="L963" s="7"/>
      <c r="M963" s="7"/>
      <c r="N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5" customHeight="1">
      <c r="A964" s="7"/>
      <c r="B964" s="7"/>
      <c r="C964" s="11"/>
      <c r="D964" s="11"/>
      <c r="E964" s="11"/>
      <c r="F964" s="11"/>
      <c r="G964" s="12"/>
      <c r="H964" s="7"/>
      <c r="I964" s="7"/>
      <c r="J964" s="7"/>
      <c r="K964" s="7"/>
      <c r="L964" s="7"/>
      <c r="M964" s="7"/>
      <c r="N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5" customHeight="1">
      <c r="A965" s="7"/>
      <c r="B965" s="7"/>
      <c r="C965" s="11"/>
      <c r="D965" s="11"/>
      <c r="E965" s="11"/>
      <c r="F965" s="11"/>
      <c r="G965" s="12"/>
      <c r="H965" s="7"/>
      <c r="I965" s="7"/>
      <c r="J965" s="7"/>
      <c r="K965" s="7"/>
      <c r="L965" s="7"/>
      <c r="M965" s="7"/>
      <c r="N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5" customHeight="1">
      <c r="A966" s="7"/>
      <c r="B966" s="7"/>
      <c r="C966" s="11"/>
      <c r="D966" s="11"/>
      <c r="E966" s="11"/>
      <c r="F966" s="11"/>
      <c r="G966" s="12"/>
      <c r="H966" s="7"/>
      <c r="I966" s="7"/>
      <c r="J966" s="7"/>
      <c r="K966" s="7"/>
      <c r="L966" s="7"/>
      <c r="M966" s="7"/>
      <c r="N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5" customHeight="1">
      <c r="A967" s="7"/>
      <c r="B967" s="7"/>
      <c r="C967" s="11"/>
      <c r="D967" s="11"/>
      <c r="E967" s="11"/>
      <c r="F967" s="11"/>
      <c r="G967" s="12"/>
      <c r="H967" s="7"/>
      <c r="I967" s="7"/>
      <c r="J967" s="7"/>
      <c r="K967" s="7"/>
      <c r="L967" s="7"/>
      <c r="M967" s="7"/>
      <c r="N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5" customHeight="1">
      <c r="A968" s="7"/>
      <c r="B968" s="7"/>
      <c r="C968" s="11"/>
      <c r="D968" s="11"/>
      <c r="E968" s="11"/>
      <c r="F968" s="11"/>
      <c r="G968" s="12"/>
      <c r="H968" s="7"/>
      <c r="I968" s="7"/>
      <c r="J968" s="7"/>
      <c r="K968" s="7"/>
      <c r="L968" s="7"/>
      <c r="M968" s="7"/>
      <c r="N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5" customHeight="1">
      <c r="A969" s="7"/>
      <c r="B969" s="7"/>
      <c r="C969" s="11"/>
      <c r="D969" s="11"/>
      <c r="E969" s="11"/>
      <c r="F969" s="11"/>
      <c r="G969" s="12"/>
      <c r="H969" s="7"/>
      <c r="I969" s="7"/>
      <c r="J969" s="7"/>
      <c r="K969" s="7"/>
      <c r="L969" s="7"/>
      <c r="M969" s="7"/>
      <c r="N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5" customHeight="1">
      <c r="A970" s="7"/>
      <c r="B970" s="7"/>
      <c r="C970" s="11"/>
      <c r="D970" s="11"/>
      <c r="E970" s="11"/>
      <c r="F970" s="11"/>
      <c r="G970" s="12"/>
      <c r="H970" s="7"/>
      <c r="I970" s="7"/>
      <c r="J970" s="7"/>
      <c r="K970" s="7"/>
      <c r="L970" s="7"/>
      <c r="M970" s="7"/>
      <c r="N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5" customHeight="1">
      <c r="A971" s="7"/>
      <c r="B971" s="7"/>
      <c r="C971" s="11"/>
      <c r="D971" s="11"/>
      <c r="E971" s="11"/>
      <c r="F971" s="11"/>
      <c r="G971" s="12"/>
      <c r="H971" s="7"/>
      <c r="I971" s="7"/>
      <c r="J971" s="7"/>
      <c r="K971" s="7"/>
      <c r="L971" s="7"/>
      <c r="M971" s="7"/>
      <c r="N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5" customHeight="1">
      <c r="A972" s="7"/>
      <c r="B972" s="7"/>
      <c r="C972" s="11"/>
      <c r="D972" s="11"/>
      <c r="E972" s="11"/>
      <c r="F972" s="11"/>
      <c r="G972" s="12"/>
      <c r="H972" s="7"/>
      <c r="I972" s="7"/>
      <c r="J972" s="7"/>
      <c r="K972" s="7"/>
      <c r="L972" s="7"/>
      <c r="M972" s="7"/>
      <c r="N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5" customHeight="1">
      <c r="A973" s="7"/>
      <c r="B973" s="7"/>
      <c r="C973" s="11"/>
      <c r="D973" s="11"/>
      <c r="E973" s="11"/>
      <c r="F973" s="11"/>
      <c r="G973" s="12"/>
      <c r="H973" s="7"/>
      <c r="I973" s="7"/>
      <c r="J973" s="7"/>
      <c r="K973" s="7"/>
      <c r="L973" s="7"/>
      <c r="M973" s="7"/>
      <c r="N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5" customHeight="1">
      <c r="A974" s="7"/>
      <c r="B974" s="7"/>
      <c r="C974" s="11"/>
      <c r="D974" s="11"/>
      <c r="E974" s="11"/>
      <c r="F974" s="11"/>
      <c r="G974" s="12"/>
      <c r="H974" s="7"/>
      <c r="I974" s="7"/>
      <c r="J974" s="7"/>
      <c r="K974" s="7"/>
      <c r="L974" s="7"/>
      <c r="M974" s="7"/>
      <c r="N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5" customHeight="1">
      <c r="A975" s="7"/>
      <c r="B975" s="7"/>
      <c r="C975" s="11"/>
      <c r="D975" s="11"/>
      <c r="E975" s="11"/>
      <c r="F975" s="11"/>
      <c r="G975" s="12"/>
      <c r="H975" s="7"/>
      <c r="I975" s="7"/>
      <c r="J975" s="7"/>
      <c r="K975" s="7"/>
      <c r="L975" s="7"/>
      <c r="M975" s="7"/>
      <c r="N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5" customHeight="1">
      <c r="A976" s="7"/>
      <c r="B976" s="7"/>
      <c r="C976" s="11"/>
      <c r="D976" s="11"/>
      <c r="E976" s="11"/>
      <c r="F976" s="11"/>
      <c r="G976" s="12"/>
      <c r="H976" s="7"/>
      <c r="I976" s="7"/>
      <c r="J976" s="7"/>
      <c r="K976" s="7"/>
      <c r="L976" s="7"/>
      <c r="M976" s="7"/>
      <c r="N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5" customHeight="1">
      <c r="A977" s="7"/>
      <c r="B977" s="7"/>
      <c r="C977" s="11"/>
      <c r="D977" s="11"/>
      <c r="E977" s="11"/>
      <c r="F977" s="11"/>
      <c r="G977" s="12"/>
      <c r="H977" s="7"/>
      <c r="I977" s="7"/>
      <c r="J977" s="7"/>
      <c r="K977" s="7"/>
      <c r="L977" s="7"/>
      <c r="M977" s="7"/>
      <c r="N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5" customHeight="1">
      <c r="A978" s="7"/>
      <c r="B978" s="7"/>
      <c r="C978" s="11"/>
      <c r="D978" s="11"/>
      <c r="E978" s="11"/>
      <c r="F978" s="11"/>
      <c r="G978" s="12"/>
      <c r="H978" s="7"/>
      <c r="I978" s="7"/>
      <c r="J978" s="7"/>
      <c r="K978" s="7"/>
      <c r="L978" s="7"/>
      <c r="M978" s="7"/>
      <c r="N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5" customHeight="1">
      <c r="A979" s="7"/>
      <c r="B979" s="7"/>
      <c r="C979" s="11"/>
      <c r="D979" s="11"/>
      <c r="E979" s="11"/>
      <c r="F979" s="11"/>
      <c r="G979" s="12"/>
      <c r="H979" s="7"/>
      <c r="I979" s="7"/>
      <c r="J979" s="7"/>
      <c r="K979" s="7"/>
      <c r="L979" s="7"/>
      <c r="M979" s="7"/>
      <c r="N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5" customHeight="1">
      <c r="A980" s="7"/>
      <c r="B980" s="7"/>
      <c r="C980" s="11"/>
      <c r="D980" s="11"/>
      <c r="E980" s="11"/>
      <c r="F980" s="11"/>
      <c r="G980" s="12"/>
      <c r="H980" s="7"/>
      <c r="I980" s="7"/>
      <c r="J980" s="7"/>
      <c r="K980" s="7"/>
      <c r="L980" s="7"/>
      <c r="M980" s="7"/>
      <c r="N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5" customHeight="1">
      <c r="A981" s="7"/>
      <c r="B981" s="7"/>
      <c r="C981" s="11"/>
      <c r="D981" s="11"/>
      <c r="E981" s="11"/>
      <c r="F981" s="11"/>
      <c r="G981" s="12"/>
      <c r="H981" s="7"/>
      <c r="I981" s="7"/>
      <c r="J981" s="7"/>
      <c r="K981" s="7"/>
      <c r="L981" s="7"/>
      <c r="M981" s="7"/>
      <c r="N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5" customHeight="1">
      <c r="A982" s="7"/>
      <c r="B982" s="7"/>
      <c r="C982" s="11"/>
      <c r="D982" s="11"/>
      <c r="E982" s="11"/>
      <c r="F982" s="11"/>
      <c r="G982" s="12"/>
      <c r="H982" s="7"/>
      <c r="I982" s="7"/>
      <c r="J982" s="7"/>
      <c r="K982" s="7"/>
      <c r="L982" s="7"/>
      <c r="M982" s="7"/>
      <c r="N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5" customHeight="1">
      <c r="A983" s="7"/>
      <c r="B983" s="7"/>
      <c r="C983" s="11"/>
      <c r="D983" s="11"/>
      <c r="E983" s="11"/>
      <c r="F983" s="11"/>
      <c r="G983" s="12"/>
      <c r="H983" s="7"/>
      <c r="I983" s="7"/>
      <c r="J983" s="7"/>
      <c r="K983" s="7"/>
      <c r="L983" s="7"/>
      <c r="M983" s="7"/>
      <c r="N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5" customHeight="1">
      <c r="A984" s="7"/>
      <c r="B984" s="7"/>
      <c r="C984" s="11"/>
      <c r="D984" s="11"/>
      <c r="E984" s="11"/>
      <c r="F984" s="11"/>
      <c r="G984" s="12"/>
      <c r="H984" s="7"/>
      <c r="I984" s="7"/>
      <c r="J984" s="7"/>
      <c r="K984" s="7"/>
      <c r="L984" s="7"/>
      <c r="M984" s="7"/>
      <c r="N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5" customHeight="1">
      <c r="A985" s="7"/>
      <c r="B985" s="7"/>
      <c r="C985" s="11"/>
      <c r="D985" s="11"/>
      <c r="E985" s="11"/>
      <c r="F985" s="11"/>
      <c r="G985" s="12"/>
      <c r="H985" s="7"/>
      <c r="I985" s="7"/>
      <c r="J985" s="7"/>
      <c r="K985" s="7"/>
      <c r="L985" s="7"/>
      <c r="M985" s="7"/>
      <c r="N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5" customHeight="1">
      <c r="A986" s="7"/>
      <c r="B986" s="7"/>
      <c r="C986" s="11"/>
      <c r="D986" s="11"/>
      <c r="E986" s="11"/>
      <c r="F986" s="11"/>
      <c r="G986" s="12"/>
      <c r="H986" s="7"/>
      <c r="I986" s="7"/>
      <c r="J986" s="7"/>
      <c r="K986" s="7"/>
      <c r="L986" s="7"/>
      <c r="M986" s="7"/>
      <c r="N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5" customHeight="1">
      <c r="A987" s="7"/>
      <c r="B987" s="7"/>
      <c r="C987" s="11"/>
      <c r="D987" s="11"/>
      <c r="E987" s="11"/>
      <c r="F987" s="11"/>
      <c r="G987" s="12"/>
      <c r="H987" s="7"/>
      <c r="I987" s="7"/>
      <c r="J987" s="7"/>
      <c r="K987" s="7"/>
      <c r="L987" s="7"/>
      <c r="M987" s="7"/>
      <c r="N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5" customHeight="1">
      <c r="A988" s="7"/>
      <c r="B988" s="7"/>
      <c r="C988" s="11"/>
      <c r="D988" s="11"/>
      <c r="E988" s="11"/>
      <c r="F988" s="11"/>
      <c r="G988" s="12"/>
      <c r="H988" s="7"/>
      <c r="I988" s="7"/>
      <c r="J988" s="7"/>
      <c r="K988" s="7"/>
      <c r="L988" s="7"/>
      <c r="M988" s="7"/>
      <c r="N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5" customHeight="1">
      <c r="A989" s="7"/>
      <c r="B989" s="7"/>
      <c r="C989" s="11"/>
      <c r="D989" s="11"/>
      <c r="E989" s="11"/>
      <c r="F989" s="11"/>
      <c r="G989" s="12"/>
      <c r="H989" s="7"/>
      <c r="I989" s="7"/>
      <c r="J989" s="7"/>
      <c r="K989" s="7"/>
      <c r="L989" s="7"/>
      <c r="M989" s="7"/>
      <c r="N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5" customHeight="1">
      <c r="A990" s="7"/>
      <c r="B990" s="7"/>
      <c r="C990" s="11"/>
      <c r="D990" s="11"/>
      <c r="E990" s="11"/>
      <c r="F990" s="11"/>
      <c r="G990" s="12"/>
      <c r="H990" s="7"/>
      <c r="I990" s="7"/>
      <c r="J990" s="7"/>
      <c r="K990" s="7"/>
      <c r="L990" s="7"/>
      <c r="M990" s="7"/>
      <c r="N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5" customHeight="1">
      <c r="A991" s="7"/>
      <c r="B991" s="7"/>
      <c r="C991" s="11"/>
      <c r="D991" s="11"/>
      <c r="E991" s="11"/>
      <c r="F991" s="11"/>
      <c r="G991" s="12"/>
      <c r="H991" s="7"/>
      <c r="I991" s="7"/>
      <c r="J991" s="7"/>
      <c r="K991" s="7"/>
      <c r="L991" s="7"/>
      <c r="M991" s="7"/>
      <c r="N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5" customHeight="1">
      <c r="A992" s="7"/>
      <c r="B992" s="7"/>
      <c r="C992" s="11"/>
      <c r="D992" s="11"/>
      <c r="E992" s="11"/>
      <c r="F992" s="11"/>
      <c r="G992" s="12"/>
      <c r="H992" s="7"/>
      <c r="I992" s="7"/>
      <c r="J992" s="7"/>
      <c r="K992" s="7"/>
      <c r="L992" s="7"/>
      <c r="M992" s="7"/>
      <c r="N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5" customHeight="1">
      <c r="A993" s="7"/>
      <c r="B993" s="7"/>
      <c r="C993" s="11"/>
      <c r="D993" s="11"/>
      <c r="E993" s="11"/>
      <c r="F993" s="11"/>
      <c r="G993" s="12"/>
      <c r="H993" s="7"/>
      <c r="I993" s="7"/>
      <c r="J993" s="7"/>
      <c r="K993" s="7"/>
      <c r="L993" s="7"/>
      <c r="M993" s="7"/>
      <c r="N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5" customHeight="1">
      <c r="A994" s="7"/>
      <c r="B994" s="7"/>
      <c r="C994" s="11"/>
      <c r="D994" s="11"/>
      <c r="E994" s="11"/>
      <c r="F994" s="11"/>
      <c r="G994" s="12"/>
      <c r="H994" s="7"/>
      <c r="I994" s="7"/>
      <c r="J994" s="7"/>
      <c r="K994" s="7"/>
      <c r="L994" s="7"/>
      <c r="M994" s="7"/>
      <c r="N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5" customHeight="1">
      <c r="A995" s="7"/>
      <c r="B995" s="7"/>
      <c r="C995" s="11"/>
      <c r="D995" s="11"/>
      <c r="E995" s="11"/>
      <c r="F995" s="11"/>
      <c r="G995" s="12"/>
      <c r="H995" s="7"/>
      <c r="I995" s="7"/>
      <c r="J995" s="7"/>
      <c r="K995" s="7"/>
      <c r="L995" s="7"/>
      <c r="M995" s="7"/>
      <c r="N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5" customHeight="1">
      <c r="A996" s="7"/>
      <c r="B996" s="7"/>
      <c r="C996" s="11"/>
      <c r="D996" s="11"/>
      <c r="E996" s="11"/>
      <c r="F996" s="11"/>
      <c r="G996" s="12"/>
      <c r="H996" s="7"/>
      <c r="I996" s="7"/>
      <c r="J996" s="7"/>
      <c r="K996" s="7"/>
      <c r="L996" s="7"/>
      <c r="M996" s="7"/>
      <c r="N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5" customHeight="1">
      <c r="A997" s="7"/>
      <c r="B997" s="7"/>
      <c r="C997" s="11"/>
      <c r="D997" s="11"/>
      <c r="E997" s="11"/>
      <c r="F997" s="11"/>
      <c r="G997" s="12"/>
      <c r="H997" s="7"/>
      <c r="I997" s="7"/>
      <c r="J997" s="7"/>
      <c r="K997" s="7"/>
      <c r="L997" s="7"/>
      <c r="M997" s="7"/>
      <c r="N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5" customHeight="1">
      <c r="A998" s="7"/>
      <c r="B998" s="7"/>
      <c r="C998" s="11"/>
      <c r="D998" s="11"/>
      <c r="E998" s="11"/>
      <c r="F998" s="11"/>
      <c r="G998" s="12"/>
      <c r="H998" s="7"/>
      <c r="I998" s="7"/>
      <c r="J998" s="7"/>
      <c r="K998" s="7"/>
      <c r="L998" s="7"/>
      <c r="M998" s="7"/>
      <c r="N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5" customHeight="1">
      <c r="A999" s="7"/>
      <c r="B999" s="7"/>
      <c r="C999" s="11"/>
      <c r="D999" s="11"/>
      <c r="E999" s="11"/>
      <c r="F999" s="11"/>
      <c r="G999" s="12"/>
      <c r="H999" s="7"/>
      <c r="I999" s="7"/>
      <c r="J999" s="7"/>
      <c r="K999" s="7"/>
      <c r="L999" s="7"/>
      <c r="M999" s="7"/>
      <c r="N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5" customHeight="1">
      <c r="A1000" s="7"/>
      <c r="B1000" s="7"/>
      <c r="C1000" s="11"/>
      <c r="D1000" s="11"/>
      <c r="E1000" s="11"/>
      <c r="F1000" s="11"/>
      <c r="G1000" s="12"/>
      <c r="H1000" s="7"/>
      <c r="I1000" s="7"/>
      <c r="J1000" s="7"/>
      <c r="K1000" s="7"/>
      <c r="L1000" s="7"/>
      <c r="M1000" s="7"/>
      <c r="N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sortState xmlns:xlrd2="http://schemas.microsoft.com/office/spreadsheetml/2017/richdata2" ref="A2:Z1001">
    <sortCondition sortBy="fontColor" ref="C2:C1001" dxfId="3"/>
  </sortState>
  <conditionalFormatting sqref="C1:C1048576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D0240-D543-4A8F-A5F2-8D1DA909700D}">
  <dimension ref="A1:Z1000"/>
  <sheetViews>
    <sheetView workbookViewId="0">
      <selection activeCell="B29" sqref="B29"/>
    </sheetView>
  </sheetViews>
  <sheetFormatPr defaultColWidth="12.5546875" defaultRowHeight="14.4"/>
  <cols>
    <col min="1" max="1" width="28.88671875" customWidth="1"/>
    <col min="2" max="2" width="16.6640625" customWidth="1"/>
    <col min="3" max="3" width="41.88671875" customWidth="1"/>
    <col min="4" max="4" width="9.6640625" customWidth="1"/>
    <col min="5" max="5" width="17.44140625" customWidth="1"/>
    <col min="6" max="6" width="13.44140625" customWidth="1"/>
    <col min="7" max="7" width="15.6640625" customWidth="1"/>
    <col min="8" max="8" width="8.5546875" customWidth="1"/>
    <col min="9" max="9" width="8" customWidth="1"/>
    <col min="10" max="10" width="9.88671875" customWidth="1"/>
    <col min="11" max="11" width="8.44140625" customWidth="1"/>
    <col min="12" max="12" width="9.5546875" customWidth="1"/>
    <col min="13" max="13" width="10.33203125" customWidth="1"/>
    <col min="14" max="26" width="8.5546875" customWidth="1"/>
  </cols>
  <sheetData>
    <row r="1" spans="1:26" ht="13.5" customHeight="1">
      <c r="A1" s="15" t="s">
        <v>0</v>
      </c>
      <c r="B1" s="13" t="s">
        <v>4</v>
      </c>
      <c r="C1" s="14" t="s">
        <v>5</v>
      </c>
      <c r="D1" s="16" t="s">
        <v>2</v>
      </c>
      <c r="E1" s="17" t="s">
        <v>6</v>
      </c>
      <c r="F1" s="16" t="s">
        <v>1</v>
      </c>
      <c r="G1" s="18" t="s">
        <v>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5" customHeight="1">
      <c r="A2" s="22">
        <v>753635</v>
      </c>
      <c r="B2" s="20" t="s">
        <v>15</v>
      </c>
      <c r="C2" s="21" t="s">
        <v>16</v>
      </c>
      <c r="D2" s="23">
        <v>1</v>
      </c>
      <c r="E2" s="24"/>
      <c r="F2" s="21" t="s">
        <v>100</v>
      </c>
      <c r="G2" s="25" t="s">
        <v>101</v>
      </c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5" customHeight="1">
      <c r="A3" s="22">
        <v>753857</v>
      </c>
      <c r="B3" s="20" t="s">
        <v>15</v>
      </c>
      <c r="C3" s="21" t="s">
        <v>16</v>
      </c>
      <c r="D3" s="23">
        <v>1</v>
      </c>
      <c r="E3" s="24"/>
      <c r="F3" s="21" t="s">
        <v>102</v>
      </c>
      <c r="G3" s="25" t="s">
        <v>103</v>
      </c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5" customHeight="1">
      <c r="A4" s="22">
        <v>754009</v>
      </c>
      <c r="B4" s="20" t="s">
        <v>15</v>
      </c>
      <c r="C4" s="21" t="s">
        <v>16</v>
      </c>
      <c r="D4" s="23">
        <v>1</v>
      </c>
      <c r="E4" s="24"/>
      <c r="F4" s="21" t="s">
        <v>104</v>
      </c>
      <c r="G4" s="25" t="s">
        <v>105</v>
      </c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5" customHeight="1">
      <c r="A5" s="22">
        <v>754008</v>
      </c>
      <c r="B5" s="20" t="s">
        <v>15</v>
      </c>
      <c r="C5" s="21" t="s">
        <v>16</v>
      </c>
      <c r="D5" s="23">
        <v>1</v>
      </c>
      <c r="E5" s="24"/>
      <c r="F5" s="21" t="s">
        <v>69</v>
      </c>
      <c r="G5" s="25" t="s">
        <v>106</v>
      </c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" customHeight="1">
      <c r="A6" s="22">
        <v>754005</v>
      </c>
      <c r="B6" s="20" t="s">
        <v>15</v>
      </c>
      <c r="C6" s="21" t="s">
        <v>16</v>
      </c>
      <c r="D6" s="23">
        <v>1</v>
      </c>
      <c r="E6" s="24"/>
      <c r="F6" s="21" t="s">
        <v>71</v>
      </c>
      <c r="G6" s="25" t="s">
        <v>107</v>
      </c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5" customHeight="1">
      <c r="A7" s="22">
        <v>753636</v>
      </c>
      <c r="B7" s="20" t="s">
        <v>15</v>
      </c>
      <c r="C7" s="21" t="s">
        <v>16</v>
      </c>
      <c r="D7" s="23">
        <v>1</v>
      </c>
      <c r="E7" s="24"/>
      <c r="F7" s="21" t="s">
        <v>73</v>
      </c>
      <c r="G7" s="25" t="s">
        <v>108</v>
      </c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5" customHeight="1">
      <c r="A8" s="22">
        <v>753856</v>
      </c>
      <c r="B8" s="20" t="s">
        <v>15</v>
      </c>
      <c r="C8" s="21" t="s">
        <v>16</v>
      </c>
      <c r="D8" s="23">
        <v>1</v>
      </c>
      <c r="E8" s="24"/>
      <c r="F8" s="21" t="s">
        <v>75</v>
      </c>
      <c r="G8" s="25" t="s">
        <v>109</v>
      </c>
      <c r="H8" s="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5" customHeight="1">
      <c r="A9" s="22">
        <v>754011</v>
      </c>
      <c r="B9" s="20" t="s">
        <v>15</v>
      </c>
      <c r="C9" s="21" t="s">
        <v>16</v>
      </c>
      <c r="D9" s="23">
        <v>1</v>
      </c>
      <c r="E9" s="24"/>
      <c r="F9" s="21" t="s">
        <v>77</v>
      </c>
      <c r="G9" s="25" t="s">
        <v>110</v>
      </c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>
      <c r="A10" s="22">
        <v>754007</v>
      </c>
      <c r="B10" s="20" t="s">
        <v>15</v>
      </c>
      <c r="C10" s="21" t="s">
        <v>16</v>
      </c>
      <c r="D10" s="23">
        <v>1</v>
      </c>
      <c r="E10" s="24"/>
      <c r="F10" s="21" t="s">
        <v>79</v>
      </c>
      <c r="G10" s="25" t="s">
        <v>111</v>
      </c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5" customHeight="1">
      <c r="A11" s="22">
        <v>754004</v>
      </c>
      <c r="B11" s="20" t="s">
        <v>15</v>
      </c>
      <c r="C11" s="21" t="s">
        <v>16</v>
      </c>
      <c r="D11" s="23">
        <v>1</v>
      </c>
      <c r="E11" s="24"/>
      <c r="F11" s="21" t="s">
        <v>81</v>
      </c>
      <c r="G11" s="25" t="s">
        <v>112</v>
      </c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5" customHeight="1">
      <c r="A12" s="22">
        <v>753637</v>
      </c>
      <c r="B12" s="20" t="s">
        <v>15</v>
      </c>
      <c r="C12" s="21" t="s">
        <v>16</v>
      </c>
      <c r="D12" s="23">
        <v>1</v>
      </c>
      <c r="E12" s="24"/>
      <c r="F12" s="21" t="s">
        <v>82</v>
      </c>
      <c r="G12" s="25" t="s">
        <v>113</v>
      </c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5" customHeight="1">
      <c r="A13" s="22">
        <v>753855</v>
      </c>
      <c r="B13" s="20" t="s">
        <v>15</v>
      </c>
      <c r="C13" s="21" t="s">
        <v>16</v>
      </c>
      <c r="D13" s="23">
        <v>1</v>
      </c>
      <c r="E13" s="24"/>
      <c r="F13" s="21" t="s">
        <v>83</v>
      </c>
      <c r="G13" s="25" t="s">
        <v>114</v>
      </c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5" customHeight="1">
      <c r="A14" s="22">
        <v>754010</v>
      </c>
      <c r="B14" s="20" t="s">
        <v>15</v>
      </c>
      <c r="C14" s="21" t="s">
        <v>16</v>
      </c>
      <c r="D14" s="23">
        <v>1</v>
      </c>
      <c r="E14" s="24"/>
      <c r="F14" s="21" t="s">
        <v>84</v>
      </c>
      <c r="G14" s="25" t="s">
        <v>115</v>
      </c>
      <c r="H14" s="6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5" customHeight="1">
      <c r="A15" s="22">
        <v>754006</v>
      </c>
      <c r="B15" s="20" t="s">
        <v>15</v>
      </c>
      <c r="C15" s="21" t="s">
        <v>16</v>
      </c>
      <c r="D15" s="23">
        <v>1</v>
      </c>
      <c r="E15" s="24"/>
      <c r="F15" s="21" t="s">
        <v>85</v>
      </c>
      <c r="G15" s="25" t="s">
        <v>116</v>
      </c>
      <c r="H15" s="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5" customHeight="1">
      <c r="A16" s="22">
        <v>754003</v>
      </c>
      <c r="B16" s="20" t="s">
        <v>15</v>
      </c>
      <c r="C16" s="21" t="s">
        <v>16</v>
      </c>
      <c r="D16" s="23">
        <v>1</v>
      </c>
      <c r="E16" s="24"/>
      <c r="F16" s="21" t="s">
        <v>117</v>
      </c>
      <c r="G16" s="25" t="s">
        <v>118</v>
      </c>
      <c r="H16" s="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5" customHeight="1">
      <c r="A17" s="22">
        <v>753858</v>
      </c>
      <c r="B17" s="20" t="s">
        <v>15</v>
      </c>
      <c r="C17" s="21" t="s">
        <v>16</v>
      </c>
      <c r="D17" s="23">
        <v>1</v>
      </c>
      <c r="E17" s="24"/>
      <c r="F17" s="21" t="s">
        <v>119</v>
      </c>
      <c r="G17" s="25" t="s">
        <v>120</v>
      </c>
      <c r="H17" s="6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5" customHeight="1">
      <c r="A18" s="22">
        <v>754014</v>
      </c>
      <c r="B18" s="20" t="s">
        <v>15</v>
      </c>
      <c r="C18" s="21" t="s">
        <v>16</v>
      </c>
      <c r="D18" s="23">
        <v>1</v>
      </c>
      <c r="E18" s="24"/>
      <c r="F18" s="21" t="s">
        <v>121</v>
      </c>
      <c r="G18" s="25" t="s">
        <v>122</v>
      </c>
      <c r="H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5" customHeight="1">
      <c r="A19" s="22">
        <v>753487</v>
      </c>
      <c r="B19" s="20" t="s">
        <v>15</v>
      </c>
      <c r="C19" s="21" t="s">
        <v>16</v>
      </c>
      <c r="D19" s="23">
        <v>1</v>
      </c>
      <c r="E19" s="24"/>
      <c r="F19" s="21" t="s">
        <v>123</v>
      </c>
      <c r="G19" s="25" t="s">
        <v>124</v>
      </c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5" customHeight="1">
      <c r="A20" s="22">
        <v>753853</v>
      </c>
      <c r="B20" s="20" t="s">
        <v>15</v>
      </c>
      <c r="C20" s="21" t="s">
        <v>16</v>
      </c>
      <c r="D20" s="23">
        <v>1</v>
      </c>
      <c r="E20" s="24"/>
      <c r="F20" s="21" t="s">
        <v>125</v>
      </c>
      <c r="G20" s="25" t="s">
        <v>126</v>
      </c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5" customHeight="1">
      <c r="A21" s="22">
        <v>753633</v>
      </c>
      <c r="B21" s="20" t="s">
        <v>15</v>
      </c>
      <c r="C21" s="21" t="s">
        <v>16</v>
      </c>
      <c r="D21" s="23">
        <v>1</v>
      </c>
      <c r="E21" s="24"/>
      <c r="F21" s="21" t="s">
        <v>86</v>
      </c>
      <c r="G21" s="25" t="s">
        <v>127</v>
      </c>
      <c r="H21" s="6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5" customHeight="1">
      <c r="A22" s="22">
        <v>753486</v>
      </c>
      <c r="B22" s="20" t="s">
        <v>15</v>
      </c>
      <c r="C22" s="21" t="s">
        <v>16</v>
      </c>
      <c r="D22" s="23">
        <v>1</v>
      </c>
      <c r="E22" s="24"/>
      <c r="F22" s="21" t="s">
        <v>87</v>
      </c>
      <c r="G22" s="25" t="s">
        <v>128</v>
      </c>
      <c r="H22" s="6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5" customHeight="1">
      <c r="A23" s="22">
        <v>753852</v>
      </c>
      <c r="B23" s="20" t="s">
        <v>15</v>
      </c>
      <c r="C23" s="21" t="s">
        <v>16</v>
      </c>
      <c r="D23" s="23">
        <v>1</v>
      </c>
      <c r="E23" s="24"/>
      <c r="F23" s="21" t="s">
        <v>88</v>
      </c>
      <c r="G23" s="25" t="s">
        <v>129</v>
      </c>
      <c r="H23" s="6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5" customHeight="1">
      <c r="A24" s="22">
        <v>753632</v>
      </c>
      <c r="B24" s="20" t="s">
        <v>15</v>
      </c>
      <c r="C24" s="21" t="s">
        <v>16</v>
      </c>
      <c r="D24" s="23">
        <v>1</v>
      </c>
      <c r="E24" s="24"/>
      <c r="F24" s="21" t="s">
        <v>89</v>
      </c>
      <c r="G24" s="25" t="s">
        <v>130</v>
      </c>
      <c r="H24" s="6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5" customHeight="1">
      <c r="A25" s="22">
        <v>754013</v>
      </c>
      <c r="B25" s="20" t="s">
        <v>15</v>
      </c>
      <c r="C25" s="21" t="s">
        <v>16</v>
      </c>
      <c r="D25" s="23">
        <v>1</v>
      </c>
      <c r="E25" s="24"/>
      <c r="F25" s="21" t="s">
        <v>90</v>
      </c>
      <c r="G25" s="25" t="s">
        <v>131</v>
      </c>
      <c r="H25" s="6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5" customHeight="1">
      <c r="A26" s="22">
        <v>753859</v>
      </c>
      <c r="B26" s="20" t="s">
        <v>15</v>
      </c>
      <c r="C26" s="21" t="s">
        <v>16</v>
      </c>
      <c r="D26" s="23">
        <v>1</v>
      </c>
      <c r="E26" s="24"/>
      <c r="F26" s="21" t="s">
        <v>132</v>
      </c>
      <c r="G26" s="25" t="s">
        <v>133</v>
      </c>
      <c r="H26" s="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5" customHeight="1">
      <c r="A27" s="22">
        <v>754012</v>
      </c>
      <c r="B27" s="20" t="s">
        <v>15</v>
      </c>
      <c r="C27" s="21" t="s">
        <v>16</v>
      </c>
      <c r="D27" s="23">
        <v>1</v>
      </c>
      <c r="E27" s="24"/>
      <c r="F27" s="21" t="s">
        <v>134</v>
      </c>
      <c r="G27" s="25" t="s">
        <v>135</v>
      </c>
      <c r="H27" s="6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5" customHeight="1">
      <c r="A28" s="22">
        <v>753860</v>
      </c>
      <c r="B28" s="20" t="s">
        <v>15</v>
      </c>
      <c r="C28" s="21" t="s">
        <v>16</v>
      </c>
      <c r="D28" s="23">
        <v>1</v>
      </c>
      <c r="E28" s="24"/>
      <c r="F28" s="21" t="s">
        <v>136</v>
      </c>
      <c r="G28" s="25" t="s">
        <v>137</v>
      </c>
      <c r="H28" s="6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5" customHeight="1">
      <c r="A29" s="22">
        <v>753488</v>
      </c>
      <c r="B29" s="20" t="s">
        <v>15</v>
      </c>
      <c r="C29" s="21" t="s">
        <v>16</v>
      </c>
      <c r="D29" s="23">
        <v>1</v>
      </c>
      <c r="E29" s="24"/>
      <c r="F29" s="21" t="s">
        <v>138</v>
      </c>
      <c r="G29" s="25" t="s">
        <v>139</v>
      </c>
      <c r="H29" s="6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5" customHeight="1">
      <c r="A30" s="22">
        <v>753854</v>
      </c>
      <c r="B30" s="20" t="s">
        <v>15</v>
      </c>
      <c r="C30" s="21" t="s">
        <v>16</v>
      </c>
      <c r="D30" s="23">
        <v>1</v>
      </c>
      <c r="E30" s="24"/>
      <c r="F30" s="21" t="s">
        <v>140</v>
      </c>
      <c r="G30" s="25" t="s">
        <v>141</v>
      </c>
      <c r="H30" s="6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5" customHeight="1">
      <c r="A31" s="22">
        <v>753634</v>
      </c>
      <c r="B31" s="20" t="s">
        <v>15</v>
      </c>
      <c r="C31" s="21" t="s">
        <v>16</v>
      </c>
      <c r="D31" s="23">
        <v>1</v>
      </c>
      <c r="E31" s="24"/>
      <c r="F31" s="21" t="s">
        <v>142</v>
      </c>
      <c r="G31" s="25" t="s">
        <v>143</v>
      </c>
      <c r="H31" s="6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5" customHeight="1">
      <c r="A32" s="22">
        <v>753561</v>
      </c>
      <c r="B32" s="20" t="s">
        <v>15</v>
      </c>
      <c r="C32" s="21" t="s">
        <v>16</v>
      </c>
      <c r="D32" s="23">
        <v>1</v>
      </c>
      <c r="E32" s="24"/>
      <c r="F32" s="21" t="s">
        <v>144</v>
      </c>
      <c r="G32" s="25" t="s">
        <v>145</v>
      </c>
      <c r="H32" s="6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5" customHeight="1">
      <c r="A33" s="22">
        <v>753562</v>
      </c>
      <c r="B33" s="20" t="s">
        <v>15</v>
      </c>
      <c r="C33" s="21" t="s">
        <v>16</v>
      </c>
      <c r="D33" s="23">
        <v>1</v>
      </c>
      <c r="E33" s="24"/>
      <c r="F33" s="21" t="s">
        <v>146</v>
      </c>
      <c r="G33" s="25" t="s">
        <v>147</v>
      </c>
      <c r="H33" s="6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5" customHeight="1">
      <c r="A34" s="22">
        <v>753563</v>
      </c>
      <c r="B34" s="20" t="s">
        <v>15</v>
      </c>
      <c r="C34" s="21" t="s">
        <v>16</v>
      </c>
      <c r="D34" s="23">
        <v>1</v>
      </c>
      <c r="E34" s="24"/>
      <c r="F34" s="21" t="s">
        <v>148</v>
      </c>
      <c r="G34" s="25" t="s">
        <v>149</v>
      </c>
      <c r="H34" s="6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5" customHeight="1">
      <c r="A35" s="22">
        <v>753564</v>
      </c>
      <c r="B35" s="20" t="s">
        <v>15</v>
      </c>
      <c r="C35" s="21" t="s">
        <v>16</v>
      </c>
      <c r="D35" s="23">
        <v>1</v>
      </c>
      <c r="E35" s="24"/>
      <c r="F35" s="21" t="s">
        <v>150</v>
      </c>
      <c r="G35" s="25" t="s">
        <v>151</v>
      </c>
      <c r="H35" s="6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5" customHeight="1">
      <c r="A36" s="22">
        <v>753565</v>
      </c>
      <c r="B36" s="20" t="s">
        <v>15</v>
      </c>
      <c r="C36" s="21" t="s">
        <v>16</v>
      </c>
      <c r="D36" s="23">
        <v>1</v>
      </c>
      <c r="E36" s="24"/>
      <c r="F36" s="21" t="s">
        <v>13</v>
      </c>
      <c r="G36" s="25" t="s">
        <v>14</v>
      </c>
      <c r="H36" s="6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5" customHeight="1">
      <c r="A37" s="22">
        <v>753565</v>
      </c>
      <c r="B37" s="20" t="s">
        <v>15</v>
      </c>
      <c r="C37" s="21" t="s">
        <v>16</v>
      </c>
      <c r="D37" s="23">
        <v>1</v>
      </c>
      <c r="E37" s="24"/>
      <c r="F37" s="21" t="s">
        <v>17</v>
      </c>
      <c r="G37" s="25" t="s">
        <v>18</v>
      </c>
      <c r="H37" s="6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5" customHeight="1">
      <c r="A38" s="22">
        <v>753567</v>
      </c>
      <c r="B38" s="20" t="s">
        <v>15</v>
      </c>
      <c r="C38" s="21" t="s">
        <v>16</v>
      </c>
      <c r="D38" s="23">
        <v>1</v>
      </c>
      <c r="E38" s="24"/>
      <c r="F38" s="21" t="s">
        <v>19</v>
      </c>
      <c r="G38" s="25" t="s">
        <v>20</v>
      </c>
      <c r="H38" s="6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5" customHeight="1">
      <c r="A39" s="22">
        <v>753568</v>
      </c>
      <c r="B39" s="20" t="s">
        <v>15</v>
      </c>
      <c r="C39" s="21" t="s">
        <v>16</v>
      </c>
      <c r="D39" s="23">
        <v>1</v>
      </c>
      <c r="E39" s="24"/>
      <c r="F39" s="21" t="s">
        <v>21</v>
      </c>
      <c r="G39" s="25" t="s">
        <v>22</v>
      </c>
      <c r="H39" s="6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5" customHeight="1">
      <c r="A40" s="22">
        <v>753569</v>
      </c>
      <c r="B40" s="20" t="s">
        <v>15</v>
      </c>
      <c r="C40" s="21" t="s">
        <v>16</v>
      </c>
      <c r="D40" s="23">
        <v>1</v>
      </c>
      <c r="E40" s="24"/>
      <c r="F40" s="21" t="s">
        <v>152</v>
      </c>
      <c r="G40" s="25" t="s">
        <v>153</v>
      </c>
      <c r="H40" s="6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5" customHeight="1">
      <c r="A41" s="22">
        <v>753570</v>
      </c>
      <c r="B41" s="20" t="s">
        <v>15</v>
      </c>
      <c r="C41" s="21" t="s">
        <v>16</v>
      </c>
      <c r="D41" s="23">
        <v>1</v>
      </c>
      <c r="E41" s="24"/>
      <c r="F41" s="21" t="s">
        <v>154</v>
      </c>
      <c r="G41" s="25" t="s">
        <v>155</v>
      </c>
      <c r="H41" s="6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5" customHeight="1">
      <c r="A42" s="22">
        <v>753571</v>
      </c>
      <c r="B42" s="20" t="s">
        <v>15</v>
      </c>
      <c r="C42" s="21" t="s">
        <v>16</v>
      </c>
      <c r="D42" s="23">
        <v>1</v>
      </c>
      <c r="E42" s="24"/>
      <c r="F42" s="21" t="s">
        <v>156</v>
      </c>
      <c r="G42" s="25" t="s">
        <v>157</v>
      </c>
      <c r="H42" s="6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5" customHeight="1">
      <c r="A43" s="22">
        <v>753572</v>
      </c>
      <c r="B43" s="20" t="s">
        <v>15</v>
      </c>
      <c r="C43" s="21" t="s">
        <v>16</v>
      </c>
      <c r="D43" s="23">
        <v>1</v>
      </c>
      <c r="E43" s="24"/>
      <c r="F43" s="21" t="s">
        <v>158</v>
      </c>
      <c r="G43" s="25" t="s">
        <v>159</v>
      </c>
      <c r="H43" s="6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5" customHeight="1">
      <c r="A44" s="22">
        <v>753573</v>
      </c>
      <c r="B44" s="20" t="s">
        <v>15</v>
      </c>
      <c r="C44" s="21" t="s">
        <v>16</v>
      </c>
      <c r="D44" s="23">
        <v>1</v>
      </c>
      <c r="E44" s="24"/>
      <c r="F44" s="21" t="s">
        <v>160</v>
      </c>
      <c r="G44" s="25" t="s">
        <v>161</v>
      </c>
      <c r="H44" s="6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5" customHeight="1">
      <c r="A45" s="22">
        <v>753574</v>
      </c>
      <c r="B45" s="20" t="s">
        <v>15</v>
      </c>
      <c r="C45" s="21" t="s">
        <v>16</v>
      </c>
      <c r="D45" s="23">
        <v>1</v>
      </c>
      <c r="E45" s="24"/>
      <c r="F45" s="21" t="s">
        <v>23</v>
      </c>
      <c r="G45" s="25" t="s">
        <v>24</v>
      </c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5" customHeight="1">
      <c r="A46" s="22">
        <v>753575</v>
      </c>
      <c r="B46" s="20" t="s">
        <v>15</v>
      </c>
      <c r="C46" s="21" t="s">
        <v>16</v>
      </c>
      <c r="D46" s="23">
        <v>1</v>
      </c>
      <c r="E46" s="24"/>
      <c r="F46" s="21" t="s">
        <v>25</v>
      </c>
      <c r="G46" s="25" t="s">
        <v>26</v>
      </c>
      <c r="H46" s="6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5" customHeight="1">
      <c r="A47" s="22">
        <v>753576</v>
      </c>
      <c r="B47" s="20" t="s">
        <v>15</v>
      </c>
      <c r="C47" s="21" t="s">
        <v>16</v>
      </c>
      <c r="D47" s="23">
        <v>1</v>
      </c>
      <c r="E47" s="24"/>
      <c r="F47" s="21" t="s">
        <v>27</v>
      </c>
      <c r="G47" s="25" t="s">
        <v>28</v>
      </c>
      <c r="H47" s="6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5" customHeight="1">
      <c r="A48" s="22">
        <v>753590</v>
      </c>
      <c r="B48" s="20" t="s">
        <v>15</v>
      </c>
      <c r="C48" s="21" t="s">
        <v>16</v>
      </c>
      <c r="D48" s="23">
        <v>1</v>
      </c>
      <c r="E48" s="24"/>
      <c r="F48" s="21" t="s">
        <v>162</v>
      </c>
      <c r="G48" s="25" t="s">
        <v>163</v>
      </c>
      <c r="H48" s="6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5" customHeight="1">
      <c r="A49" s="22">
        <v>753591</v>
      </c>
      <c r="B49" s="20" t="s">
        <v>15</v>
      </c>
      <c r="C49" s="21" t="s">
        <v>16</v>
      </c>
      <c r="D49" s="23">
        <v>1</v>
      </c>
      <c r="E49" s="24"/>
      <c r="F49" s="21" t="s">
        <v>164</v>
      </c>
      <c r="G49" s="25" t="s">
        <v>165</v>
      </c>
      <c r="H49" s="6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5" customHeight="1">
      <c r="A50" s="22">
        <v>753592</v>
      </c>
      <c r="B50" s="20" t="s">
        <v>15</v>
      </c>
      <c r="C50" s="21" t="s">
        <v>16</v>
      </c>
      <c r="D50" s="23">
        <v>1</v>
      </c>
      <c r="E50" s="24"/>
      <c r="F50" s="21" t="s">
        <v>166</v>
      </c>
      <c r="G50" s="25" t="s">
        <v>167</v>
      </c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5" customHeight="1">
      <c r="A51" s="22">
        <v>753584</v>
      </c>
      <c r="B51" s="20" t="s">
        <v>15</v>
      </c>
      <c r="C51" s="21" t="s">
        <v>16</v>
      </c>
      <c r="D51" s="23">
        <v>1</v>
      </c>
      <c r="E51" s="24"/>
      <c r="F51" s="21" t="s">
        <v>168</v>
      </c>
      <c r="G51" s="25" t="s">
        <v>169</v>
      </c>
      <c r="H51" s="6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5" customHeight="1">
      <c r="A52" s="22">
        <v>753583</v>
      </c>
      <c r="B52" s="20" t="s">
        <v>15</v>
      </c>
      <c r="C52" s="21" t="s">
        <v>16</v>
      </c>
      <c r="D52" s="23">
        <v>1</v>
      </c>
      <c r="E52" s="24"/>
      <c r="F52" s="21" t="s">
        <v>43</v>
      </c>
      <c r="G52" s="25" t="s">
        <v>44</v>
      </c>
      <c r="H52" s="6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5" customHeight="1">
      <c r="A53" s="22">
        <v>753582</v>
      </c>
      <c r="B53" s="20" t="s">
        <v>15</v>
      </c>
      <c r="C53" s="21" t="s">
        <v>16</v>
      </c>
      <c r="D53" s="23">
        <v>1</v>
      </c>
      <c r="E53" s="24"/>
      <c r="F53" s="21" t="s">
        <v>45</v>
      </c>
      <c r="G53" s="25" t="s">
        <v>46</v>
      </c>
      <c r="H53" s="6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5" customHeight="1">
      <c r="A54" s="22">
        <v>753566</v>
      </c>
      <c r="B54" s="20" t="s">
        <v>15</v>
      </c>
      <c r="C54" s="21" t="s">
        <v>16</v>
      </c>
      <c r="D54" s="23">
        <v>1</v>
      </c>
      <c r="E54" s="24"/>
      <c r="F54" s="21" t="s">
        <v>170</v>
      </c>
      <c r="G54" s="25" t="s">
        <v>171</v>
      </c>
      <c r="H54" s="6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5" customHeight="1">
      <c r="A55" s="22">
        <v>753567</v>
      </c>
      <c r="B55" s="20" t="s">
        <v>15</v>
      </c>
      <c r="C55" s="21" t="s">
        <v>16</v>
      </c>
      <c r="D55" s="23">
        <v>1</v>
      </c>
      <c r="E55" s="24"/>
      <c r="F55" s="21" t="s">
        <v>29</v>
      </c>
      <c r="G55" s="25" t="s">
        <v>30</v>
      </c>
      <c r="H55" s="6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5" customHeight="1">
      <c r="A56" s="22">
        <v>753568</v>
      </c>
      <c r="B56" s="20" t="s">
        <v>15</v>
      </c>
      <c r="C56" s="21" t="s">
        <v>16</v>
      </c>
      <c r="D56" s="23">
        <v>1</v>
      </c>
      <c r="E56" s="24"/>
      <c r="F56" s="21" t="s">
        <v>31</v>
      </c>
      <c r="G56" s="25" t="s">
        <v>32</v>
      </c>
      <c r="H56" s="6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5" customHeight="1">
      <c r="A57" s="22">
        <v>753574</v>
      </c>
      <c r="B57" s="20" t="s">
        <v>15</v>
      </c>
      <c r="C57" s="21" t="s">
        <v>16</v>
      </c>
      <c r="D57" s="23">
        <v>1</v>
      </c>
      <c r="E57" s="24"/>
      <c r="F57" s="21" t="s">
        <v>33</v>
      </c>
      <c r="G57" s="25" t="s">
        <v>34</v>
      </c>
      <c r="H57" s="6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5" customHeight="1">
      <c r="A58" s="22">
        <v>753575</v>
      </c>
      <c r="B58" s="20" t="s">
        <v>15</v>
      </c>
      <c r="C58" s="21" t="s">
        <v>16</v>
      </c>
      <c r="D58" s="23">
        <v>1</v>
      </c>
      <c r="E58" s="24"/>
      <c r="F58" s="21" t="s">
        <v>35</v>
      </c>
      <c r="G58" s="25" t="s">
        <v>36</v>
      </c>
      <c r="H58" s="6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5" customHeight="1">
      <c r="A59" s="22">
        <v>753576</v>
      </c>
      <c r="B59" s="20" t="s">
        <v>15</v>
      </c>
      <c r="C59" s="21" t="s">
        <v>16</v>
      </c>
      <c r="D59" s="23">
        <v>1</v>
      </c>
      <c r="E59" s="24"/>
      <c r="F59" s="21" t="s">
        <v>37</v>
      </c>
      <c r="G59" s="25" t="s">
        <v>38</v>
      </c>
      <c r="H59" s="6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5" customHeight="1">
      <c r="A60" s="22">
        <v>753577</v>
      </c>
      <c r="B60" s="20" t="s">
        <v>15</v>
      </c>
      <c r="C60" s="21" t="s">
        <v>16</v>
      </c>
      <c r="D60" s="23">
        <v>1</v>
      </c>
      <c r="E60" s="24"/>
      <c r="F60" s="21" t="s">
        <v>172</v>
      </c>
      <c r="G60" s="25" t="s">
        <v>173</v>
      </c>
      <c r="H60" s="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5" customHeight="1">
      <c r="A61" s="22">
        <v>753578</v>
      </c>
      <c r="B61" s="20" t="s">
        <v>15</v>
      </c>
      <c r="C61" s="21" t="s">
        <v>16</v>
      </c>
      <c r="D61" s="23">
        <v>1</v>
      </c>
      <c r="E61" s="24"/>
      <c r="F61" s="21" t="s">
        <v>174</v>
      </c>
      <c r="G61" s="25" t="s">
        <v>175</v>
      </c>
      <c r="H61" s="6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5" customHeight="1">
      <c r="A62" s="22">
        <v>753579</v>
      </c>
      <c r="B62" s="20" t="s">
        <v>15</v>
      </c>
      <c r="C62" s="21" t="s">
        <v>16</v>
      </c>
      <c r="D62" s="23">
        <v>1</v>
      </c>
      <c r="E62" s="24"/>
      <c r="F62" s="21" t="s">
        <v>176</v>
      </c>
      <c r="G62" s="25" t="s">
        <v>177</v>
      </c>
      <c r="H62" s="6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5" customHeight="1">
      <c r="A63" s="22">
        <v>753580</v>
      </c>
      <c r="B63" s="20" t="s">
        <v>15</v>
      </c>
      <c r="C63" s="21" t="s">
        <v>16</v>
      </c>
      <c r="D63" s="23">
        <v>1</v>
      </c>
      <c r="E63" s="24"/>
      <c r="F63" s="21" t="s">
        <v>178</v>
      </c>
      <c r="G63" s="25" t="s">
        <v>179</v>
      </c>
      <c r="H63" s="6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5" customHeight="1">
      <c r="A64" s="22">
        <v>753581</v>
      </c>
      <c r="B64" s="20" t="s">
        <v>15</v>
      </c>
      <c r="C64" s="21" t="s">
        <v>16</v>
      </c>
      <c r="D64" s="23">
        <v>1</v>
      </c>
      <c r="E64" s="24"/>
      <c r="F64" s="21" t="s">
        <v>180</v>
      </c>
      <c r="G64" s="25" t="s">
        <v>181</v>
      </c>
      <c r="H64" s="6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5" customHeight="1">
      <c r="A65" s="22">
        <v>753589</v>
      </c>
      <c r="B65" s="20" t="s">
        <v>15</v>
      </c>
      <c r="C65" s="21" t="s">
        <v>16</v>
      </c>
      <c r="D65" s="23">
        <v>1</v>
      </c>
      <c r="E65" s="24"/>
      <c r="F65" s="21" t="s">
        <v>182</v>
      </c>
      <c r="G65" s="25" t="s">
        <v>183</v>
      </c>
      <c r="H65" s="6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5" customHeight="1">
      <c r="A66" s="22">
        <v>753588</v>
      </c>
      <c r="B66" s="20" t="s">
        <v>15</v>
      </c>
      <c r="C66" s="21" t="s">
        <v>16</v>
      </c>
      <c r="D66" s="23">
        <v>1</v>
      </c>
      <c r="E66" s="24"/>
      <c r="F66" s="21" t="s">
        <v>39</v>
      </c>
      <c r="G66" s="25" t="s">
        <v>40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5" customHeight="1">
      <c r="A67" s="22">
        <v>753588</v>
      </c>
      <c r="B67" s="20" t="s">
        <v>15</v>
      </c>
      <c r="C67" s="21" t="s">
        <v>16</v>
      </c>
      <c r="D67" s="23">
        <v>1</v>
      </c>
      <c r="E67" s="24"/>
      <c r="F67" s="21" t="s">
        <v>41</v>
      </c>
      <c r="G67" s="25" t="s">
        <v>42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5" customHeight="1">
      <c r="A68" s="22">
        <v>753586</v>
      </c>
      <c r="B68" s="20" t="s">
        <v>15</v>
      </c>
      <c r="C68" s="21" t="s">
        <v>16</v>
      </c>
      <c r="D68" s="23">
        <v>1</v>
      </c>
      <c r="E68" s="24"/>
      <c r="F68" s="21" t="s">
        <v>184</v>
      </c>
      <c r="G68" s="25" t="s">
        <v>185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5" customHeight="1">
      <c r="A69" s="22">
        <v>753585</v>
      </c>
      <c r="B69" s="20" t="s">
        <v>15</v>
      </c>
      <c r="C69" s="21" t="s">
        <v>16</v>
      </c>
      <c r="D69" s="23">
        <v>1</v>
      </c>
      <c r="E69" s="24"/>
      <c r="F69" s="21" t="s">
        <v>186</v>
      </c>
      <c r="G69" s="25" t="s">
        <v>187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5" customHeight="1">
      <c r="A70" s="22">
        <v>753593</v>
      </c>
      <c r="B70" s="20" t="s">
        <v>15</v>
      </c>
      <c r="C70" s="21" t="s">
        <v>16</v>
      </c>
      <c r="D70" s="23">
        <v>1</v>
      </c>
      <c r="E70" s="24"/>
      <c r="F70" s="21" t="s">
        <v>188</v>
      </c>
      <c r="G70" s="25" t="s">
        <v>189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5" customHeight="1">
      <c r="A71" s="22">
        <v>753594</v>
      </c>
      <c r="B71" s="20" t="s">
        <v>15</v>
      </c>
      <c r="C71" s="21" t="s">
        <v>16</v>
      </c>
      <c r="D71" s="23">
        <v>1</v>
      </c>
      <c r="E71" s="24"/>
      <c r="F71" s="21" t="s">
        <v>190</v>
      </c>
      <c r="G71" s="25" t="s">
        <v>191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5" customHeight="1">
      <c r="A72" s="22">
        <v>753595</v>
      </c>
      <c r="B72" s="20" t="s">
        <v>15</v>
      </c>
      <c r="C72" s="21" t="s">
        <v>16</v>
      </c>
      <c r="D72" s="23">
        <v>1</v>
      </c>
      <c r="E72" s="24"/>
      <c r="F72" s="21" t="s">
        <v>192</v>
      </c>
      <c r="G72" s="25" t="s">
        <v>193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5" customHeight="1">
      <c r="A73" s="22">
        <v>753596</v>
      </c>
      <c r="B73" s="20" t="s">
        <v>15</v>
      </c>
      <c r="C73" s="21" t="s">
        <v>16</v>
      </c>
      <c r="D73" s="23">
        <v>1</v>
      </c>
      <c r="E73" s="24"/>
      <c r="F73" s="21" t="s">
        <v>194</v>
      </c>
      <c r="G73" s="25" t="s">
        <v>195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5" customHeight="1">
      <c r="A74" s="22">
        <v>753597</v>
      </c>
      <c r="B74" s="20" t="s">
        <v>15</v>
      </c>
      <c r="C74" s="21" t="s">
        <v>16</v>
      </c>
      <c r="D74" s="23">
        <v>1</v>
      </c>
      <c r="E74" s="24"/>
      <c r="F74" s="21" t="s">
        <v>196</v>
      </c>
      <c r="G74" s="25" t="s">
        <v>197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5" customHeight="1">
      <c r="A75" s="22">
        <v>753605</v>
      </c>
      <c r="B75" s="20" t="s">
        <v>15</v>
      </c>
      <c r="C75" s="21" t="s">
        <v>16</v>
      </c>
      <c r="D75" s="23">
        <v>1</v>
      </c>
      <c r="E75" s="24"/>
      <c r="F75" s="21" t="s">
        <v>198</v>
      </c>
      <c r="G75" s="25" t="s">
        <v>199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5" customHeight="1">
      <c r="A76" s="22">
        <v>753604</v>
      </c>
      <c r="B76" s="20" t="s">
        <v>15</v>
      </c>
      <c r="C76" s="21" t="s">
        <v>16</v>
      </c>
      <c r="D76" s="23">
        <v>1</v>
      </c>
      <c r="E76" s="24"/>
      <c r="F76" s="21" t="s">
        <v>200</v>
      </c>
      <c r="G76" s="25" t="s">
        <v>201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5" customHeight="1">
      <c r="A77" s="22">
        <v>753603</v>
      </c>
      <c r="B77" s="20" t="s">
        <v>15</v>
      </c>
      <c r="C77" s="21" t="s">
        <v>16</v>
      </c>
      <c r="D77" s="23">
        <v>1</v>
      </c>
      <c r="E77" s="24"/>
      <c r="F77" s="21" t="s">
        <v>202</v>
      </c>
      <c r="G77" s="25" t="s">
        <v>203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5" customHeight="1">
      <c r="A78" s="22">
        <v>753602</v>
      </c>
      <c r="B78" s="20" t="s">
        <v>15</v>
      </c>
      <c r="C78" s="21" t="s">
        <v>16</v>
      </c>
      <c r="D78" s="23">
        <v>1</v>
      </c>
      <c r="E78" s="24"/>
      <c r="F78" s="21" t="s">
        <v>204</v>
      </c>
      <c r="G78" s="25" t="s">
        <v>205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5" customHeight="1">
      <c r="A79" s="22">
        <v>753601</v>
      </c>
      <c r="B79" s="20" t="s">
        <v>15</v>
      </c>
      <c r="C79" s="21" t="s">
        <v>16</v>
      </c>
      <c r="D79" s="23">
        <v>1</v>
      </c>
      <c r="E79" s="24"/>
      <c r="F79" s="21" t="s">
        <v>206</v>
      </c>
      <c r="G79" s="25" t="s">
        <v>207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5" customHeight="1">
      <c r="A80" s="22">
        <v>753598</v>
      </c>
      <c r="B80" s="20" t="s">
        <v>15</v>
      </c>
      <c r="C80" s="21" t="s">
        <v>16</v>
      </c>
      <c r="D80" s="23">
        <v>1</v>
      </c>
      <c r="E80" s="24"/>
      <c r="F80" s="21" t="s">
        <v>91</v>
      </c>
      <c r="G80" s="25" t="s">
        <v>208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5" customHeight="1">
      <c r="A81" s="22">
        <v>753599</v>
      </c>
      <c r="B81" s="20" t="s">
        <v>15</v>
      </c>
      <c r="C81" s="21" t="s">
        <v>16</v>
      </c>
      <c r="D81" s="23">
        <v>1</v>
      </c>
      <c r="E81" s="24"/>
      <c r="F81" s="21" t="s">
        <v>92</v>
      </c>
      <c r="G81" s="25" t="s">
        <v>209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5" customHeight="1">
      <c r="A82" s="22">
        <v>753600</v>
      </c>
      <c r="B82" s="20" t="s">
        <v>15</v>
      </c>
      <c r="C82" s="21" t="s">
        <v>16</v>
      </c>
      <c r="D82" s="23">
        <v>1</v>
      </c>
      <c r="E82" s="24"/>
      <c r="F82" s="21" t="s">
        <v>93</v>
      </c>
      <c r="G82" s="25" t="s">
        <v>210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5" customHeight="1">
      <c r="A83" s="22">
        <v>753606</v>
      </c>
      <c r="B83" s="20" t="s">
        <v>15</v>
      </c>
      <c r="C83" s="21" t="s">
        <v>16</v>
      </c>
      <c r="D83" s="23">
        <v>1</v>
      </c>
      <c r="E83" s="24"/>
      <c r="F83" s="21" t="s">
        <v>94</v>
      </c>
      <c r="G83" s="25" t="s">
        <v>211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5" customHeight="1">
      <c r="A84" s="22">
        <v>753607</v>
      </c>
      <c r="B84" s="20" t="s">
        <v>15</v>
      </c>
      <c r="C84" s="21" t="s">
        <v>16</v>
      </c>
      <c r="D84" s="23">
        <v>1</v>
      </c>
      <c r="E84" s="24"/>
      <c r="F84" s="21" t="s">
        <v>49</v>
      </c>
      <c r="G84" s="25" t="s">
        <v>50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5" customHeight="1">
      <c r="A85" s="22">
        <v>753608</v>
      </c>
      <c r="B85" s="20" t="s">
        <v>15</v>
      </c>
      <c r="C85" s="21" t="s">
        <v>16</v>
      </c>
      <c r="D85" s="23">
        <v>1</v>
      </c>
      <c r="E85" s="24"/>
      <c r="F85" s="21" t="s">
        <v>51</v>
      </c>
      <c r="G85" s="25" t="s">
        <v>52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5" customHeight="1">
      <c r="A86" s="22">
        <v>753614</v>
      </c>
      <c r="B86" s="20" t="s">
        <v>15</v>
      </c>
      <c r="C86" s="21" t="s">
        <v>16</v>
      </c>
      <c r="D86" s="23">
        <v>1</v>
      </c>
      <c r="E86" s="24"/>
      <c r="F86" s="21" t="s">
        <v>95</v>
      </c>
      <c r="G86" s="25" t="s">
        <v>212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5" customHeight="1">
      <c r="A87" s="22">
        <v>753615</v>
      </c>
      <c r="B87" s="20" t="s">
        <v>15</v>
      </c>
      <c r="C87" s="21" t="s">
        <v>16</v>
      </c>
      <c r="D87" s="23">
        <v>1</v>
      </c>
      <c r="E87" s="24"/>
      <c r="F87" s="21" t="s">
        <v>53</v>
      </c>
      <c r="G87" s="25" t="s">
        <v>54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5" customHeight="1">
      <c r="A88" s="22">
        <v>753616</v>
      </c>
      <c r="B88" s="20" t="s">
        <v>15</v>
      </c>
      <c r="C88" s="21" t="s">
        <v>16</v>
      </c>
      <c r="D88" s="23">
        <v>1</v>
      </c>
      <c r="E88" s="24"/>
      <c r="F88" s="21" t="s">
        <v>55</v>
      </c>
      <c r="G88" s="25" t="s">
        <v>56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5" customHeight="1">
      <c r="A89" s="22">
        <v>753609</v>
      </c>
      <c r="B89" s="20" t="s">
        <v>15</v>
      </c>
      <c r="C89" s="21" t="s">
        <v>16</v>
      </c>
      <c r="D89" s="23">
        <v>1</v>
      </c>
      <c r="E89" s="24"/>
      <c r="F89" s="21" t="s">
        <v>57</v>
      </c>
      <c r="G89" s="25" t="s">
        <v>58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5" customHeight="1">
      <c r="A90" s="22">
        <v>753610</v>
      </c>
      <c r="B90" s="20" t="s">
        <v>15</v>
      </c>
      <c r="C90" s="21" t="s">
        <v>16</v>
      </c>
      <c r="D90" s="23">
        <v>1</v>
      </c>
      <c r="E90" s="24"/>
      <c r="F90" s="21" t="s">
        <v>59</v>
      </c>
      <c r="G90" s="25" t="s">
        <v>60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5" customHeight="1">
      <c r="A91" s="22">
        <v>753611</v>
      </c>
      <c r="B91" s="20" t="s">
        <v>15</v>
      </c>
      <c r="C91" s="21" t="s">
        <v>16</v>
      </c>
      <c r="D91" s="23">
        <v>1</v>
      </c>
      <c r="E91" s="24"/>
      <c r="F91" s="21" t="s">
        <v>61</v>
      </c>
      <c r="G91" s="25" t="s">
        <v>62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5" customHeight="1">
      <c r="A92" s="22">
        <v>753612</v>
      </c>
      <c r="B92" s="20" t="s">
        <v>15</v>
      </c>
      <c r="C92" s="21" t="s">
        <v>16</v>
      </c>
      <c r="D92" s="23">
        <v>1</v>
      </c>
      <c r="E92" s="24"/>
      <c r="F92" s="21" t="s">
        <v>63</v>
      </c>
      <c r="G92" s="25" t="s">
        <v>64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5" customHeight="1">
      <c r="A93" s="22">
        <v>753613</v>
      </c>
      <c r="B93" s="20" t="s">
        <v>15</v>
      </c>
      <c r="C93" s="21" t="s">
        <v>16</v>
      </c>
      <c r="D93" s="23">
        <v>1</v>
      </c>
      <c r="E93" s="24"/>
      <c r="F93" s="21" t="s">
        <v>65</v>
      </c>
      <c r="G93" s="25" t="s">
        <v>66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5" customHeight="1">
      <c r="A94" s="22">
        <v>753622</v>
      </c>
      <c r="B94" s="20" t="s">
        <v>15</v>
      </c>
      <c r="C94" s="21" t="s">
        <v>16</v>
      </c>
      <c r="D94" s="23">
        <v>1</v>
      </c>
      <c r="E94" s="24"/>
      <c r="F94" s="21" t="s">
        <v>67</v>
      </c>
      <c r="G94" s="25" t="s">
        <v>68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5" customHeight="1">
      <c r="A95" s="22">
        <v>753623</v>
      </c>
      <c r="B95" s="20" t="s">
        <v>15</v>
      </c>
      <c r="C95" s="21" t="s">
        <v>16</v>
      </c>
      <c r="D95" s="23">
        <v>1</v>
      </c>
      <c r="E95" s="24"/>
      <c r="F95" s="21" t="s">
        <v>96</v>
      </c>
      <c r="G95" s="25" t="s">
        <v>213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5" customHeight="1">
      <c r="A96" s="22">
        <v>753624</v>
      </c>
      <c r="B96" s="20" t="s">
        <v>15</v>
      </c>
      <c r="C96" s="21" t="s">
        <v>16</v>
      </c>
      <c r="D96" s="23">
        <v>1</v>
      </c>
      <c r="E96" s="24"/>
      <c r="F96" s="21" t="s">
        <v>97</v>
      </c>
      <c r="G96" s="25" t="s">
        <v>214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5" customHeight="1">
      <c r="A97" s="22">
        <v>753630</v>
      </c>
      <c r="B97" s="20" t="s">
        <v>15</v>
      </c>
      <c r="C97" s="21" t="s">
        <v>16</v>
      </c>
      <c r="D97" s="23">
        <v>1</v>
      </c>
      <c r="E97" s="24"/>
      <c r="F97" s="21" t="s">
        <v>47</v>
      </c>
      <c r="G97" s="25" t="s">
        <v>48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5" customHeight="1">
      <c r="A98" s="22">
        <v>753631</v>
      </c>
      <c r="B98" s="20" t="s">
        <v>15</v>
      </c>
      <c r="C98" s="21" t="s">
        <v>16</v>
      </c>
      <c r="D98" s="23">
        <v>2</v>
      </c>
      <c r="E98" s="24"/>
      <c r="F98" s="21" t="s">
        <v>100</v>
      </c>
      <c r="G98" s="25" t="s">
        <v>101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5" customHeight="1">
      <c r="A99" s="22">
        <v>753625</v>
      </c>
      <c r="B99" s="20" t="s">
        <v>15</v>
      </c>
      <c r="C99" s="21" t="s">
        <v>16</v>
      </c>
      <c r="D99" s="23">
        <v>2</v>
      </c>
      <c r="E99" s="24"/>
      <c r="F99" s="21" t="s">
        <v>102</v>
      </c>
      <c r="G99" s="25" t="s">
        <v>103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5" customHeight="1">
      <c r="A100" s="22">
        <v>753626</v>
      </c>
      <c r="B100" s="20" t="s">
        <v>15</v>
      </c>
      <c r="C100" s="21" t="s">
        <v>16</v>
      </c>
      <c r="D100" s="23">
        <v>2</v>
      </c>
      <c r="E100" s="24"/>
      <c r="F100" s="21" t="s">
        <v>104</v>
      </c>
      <c r="G100" s="25" t="s">
        <v>105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5" customHeight="1">
      <c r="A101" s="22">
        <v>753628</v>
      </c>
      <c r="B101" s="20" t="s">
        <v>15</v>
      </c>
      <c r="C101" s="21" t="s">
        <v>16</v>
      </c>
      <c r="D101" s="23">
        <v>2</v>
      </c>
      <c r="E101" s="24"/>
      <c r="F101" s="21" t="s">
        <v>69</v>
      </c>
      <c r="G101" s="25" t="s">
        <v>106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5" customHeight="1">
      <c r="A102" s="22">
        <v>753629</v>
      </c>
      <c r="B102" s="20" t="s">
        <v>15</v>
      </c>
      <c r="C102" s="21" t="s">
        <v>16</v>
      </c>
      <c r="D102" s="23">
        <v>2</v>
      </c>
      <c r="E102" s="24"/>
      <c r="F102" s="21" t="s">
        <v>71</v>
      </c>
      <c r="G102" s="25" t="s">
        <v>107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5" customHeight="1">
      <c r="A103" s="22">
        <v>753638</v>
      </c>
      <c r="B103" s="20" t="s">
        <v>15</v>
      </c>
      <c r="C103" s="21" t="s">
        <v>16</v>
      </c>
      <c r="D103" s="23">
        <v>2</v>
      </c>
      <c r="E103" s="24"/>
      <c r="F103" s="21" t="s">
        <v>73</v>
      </c>
      <c r="G103" s="25" t="s">
        <v>108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5" customHeight="1">
      <c r="A104" s="22">
        <v>753639</v>
      </c>
      <c r="B104" s="20" t="s">
        <v>15</v>
      </c>
      <c r="C104" s="21" t="s">
        <v>16</v>
      </c>
      <c r="D104" s="23">
        <v>2</v>
      </c>
      <c r="E104" s="24"/>
      <c r="F104" s="21" t="s">
        <v>75</v>
      </c>
      <c r="G104" s="25" t="s">
        <v>109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5" customHeight="1">
      <c r="A105" s="22">
        <v>753640</v>
      </c>
      <c r="B105" s="20" t="s">
        <v>15</v>
      </c>
      <c r="C105" s="21" t="s">
        <v>16</v>
      </c>
      <c r="D105" s="23">
        <v>2</v>
      </c>
      <c r="E105" s="24"/>
      <c r="F105" s="21" t="s">
        <v>77</v>
      </c>
      <c r="G105" s="25" t="s">
        <v>110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5" customHeight="1">
      <c r="A106" s="22">
        <v>753641</v>
      </c>
      <c r="B106" s="20" t="s">
        <v>15</v>
      </c>
      <c r="C106" s="21" t="s">
        <v>16</v>
      </c>
      <c r="D106" s="23">
        <v>2</v>
      </c>
      <c r="E106" s="24"/>
      <c r="F106" s="21" t="s">
        <v>79</v>
      </c>
      <c r="G106" s="25" t="s">
        <v>111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5" customHeight="1">
      <c r="A107" s="22">
        <v>753642</v>
      </c>
      <c r="B107" s="20" t="s">
        <v>15</v>
      </c>
      <c r="C107" s="21" t="s">
        <v>16</v>
      </c>
      <c r="D107" s="23">
        <v>2</v>
      </c>
      <c r="E107" s="24"/>
      <c r="F107" s="21" t="s">
        <v>81</v>
      </c>
      <c r="G107" s="25" t="s">
        <v>112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5" customHeight="1">
      <c r="A108" s="22">
        <v>753646</v>
      </c>
      <c r="B108" s="20" t="s">
        <v>15</v>
      </c>
      <c r="C108" s="21" t="s">
        <v>16</v>
      </c>
      <c r="D108" s="23">
        <v>2</v>
      </c>
      <c r="E108" s="24"/>
      <c r="F108" s="21" t="s">
        <v>82</v>
      </c>
      <c r="G108" s="25" t="s">
        <v>113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5" customHeight="1">
      <c r="A109" s="22">
        <v>753647</v>
      </c>
      <c r="B109" s="20" t="s">
        <v>15</v>
      </c>
      <c r="C109" s="21" t="s">
        <v>16</v>
      </c>
      <c r="D109" s="23">
        <v>2</v>
      </c>
      <c r="E109" s="24"/>
      <c r="F109" s="21" t="s">
        <v>83</v>
      </c>
      <c r="G109" s="25" t="s">
        <v>114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5" customHeight="1">
      <c r="A110" s="22">
        <v>753648</v>
      </c>
      <c r="B110" s="20" t="s">
        <v>15</v>
      </c>
      <c r="C110" s="21" t="s">
        <v>16</v>
      </c>
      <c r="D110" s="23">
        <v>2</v>
      </c>
      <c r="E110" s="24"/>
      <c r="F110" s="21" t="s">
        <v>84</v>
      </c>
      <c r="G110" s="25" t="s">
        <v>115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5" customHeight="1">
      <c r="A111" s="22">
        <v>753649</v>
      </c>
      <c r="B111" s="20" t="s">
        <v>15</v>
      </c>
      <c r="C111" s="21" t="s">
        <v>16</v>
      </c>
      <c r="D111" s="23">
        <v>2</v>
      </c>
      <c r="E111" s="24"/>
      <c r="F111" s="21" t="s">
        <v>85</v>
      </c>
      <c r="G111" s="25" t="s">
        <v>116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5" customHeight="1">
      <c r="A112" s="22">
        <v>753650</v>
      </c>
      <c r="B112" s="20" t="s">
        <v>15</v>
      </c>
      <c r="C112" s="21" t="s">
        <v>16</v>
      </c>
      <c r="D112" s="23">
        <v>2</v>
      </c>
      <c r="E112" s="24"/>
      <c r="F112" s="21" t="s">
        <v>117</v>
      </c>
      <c r="G112" s="25" t="s">
        <v>118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5" customHeight="1">
      <c r="A113" s="22">
        <v>753643</v>
      </c>
      <c r="B113" s="20" t="s">
        <v>15</v>
      </c>
      <c r="C113" s="21" t="s">
        <v>16</v>
      </c>
      <c r="D113" s="23">
        <v>2</v>
      </c>
      <c r="E113" s="24"/>
      <c r="F113" s="21" t="s">
        <v>119</v>
      </c>
      <c r="G113" s="25" t="s">
        <v>120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5" customHeight="1">
      <c r="A114" s="22">
        <v>753644</v>
      </c>
      <c r="B114" s="20" t="s">
        <v>15</v>
      </c>
      <c r="C114" s="21" t="s">
        <v>16</v>
      </c>
      <c r="D114" s="23">
        <v>2</v>
      </c>
      <c r="E114" s="24"/>
      <c r="F114" s="21" t="s">
        <v>121</v>
      </c>
      <c r="G114" s="25" t="s">
        <v>122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5" customHeight="1">
      <c r="A115" s="22">
        <v>753645</v>
      </c>
      <c r="B115" s="20" t="s">
        <v>15</v>
      </c>
      <c r="C115" s="21" t="s">
        <v>16</v>
      </c>
      <c r="D115" s="23">
        <v>2</v>
      </c>
      <c r="E115" s="24"/>
      <c r="F115" s="21" t="s">
        <v>123</v>
      </c>
      <c r="G115" s="25" t="s">
        <v>124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5" customHeight="1">
      <c r="A116" s="22">
        <v>753651</v>
      </c>
      <c r="B116" s="20" t="s">
        <v>15</v>
      </c>
      <c r="C116" s="21" t="s">
        <v>16</v>
      </c>
      <c r="D116" s="23">
        <v>2</v>
      </c>
      <c r="E116" s="24"/>
      <c r="F116" s="21" t="s">
        <v>125</v>
      </c>
      <c r="G116" s="25" t="s">
        <v>126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5" customHeight="1">
      <c r="A117" s="22">
        <v>753652</v>
      </c>
      <c r="B117" s="20" t="s">
        <v>15</v>
      </c>
      <c r="C117" s="21" t="s">
        <v>16</v>
      </c>
      <c r="D117" s="23">
        <v>2</v>
      </c>
      <c r="E117" s="24"/>
      <c r="F117" s="21" t="s">
        <v>86</v>
      </c>
      <c r="G117" s="25" t="s">
        <v>127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5" customHeight="1">
      <c r="A118" s="22">
        <v>753653</v>
      </c>
      <c r="B118" s="20" t="s">
        <v>15</v>
      </c>
      <c r="C118" s="21" t="s">
        <v>16</v>
      </c>
      <c r="D118" s="23">
        <v>2</v>
      </c>
      <c r="E118" s="24"/>
      <c r="F118" s="21" t="s">
        <v>87</v>
      </c>
      <c r="G118" s="25" t="s">
        <v>128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5" customHeight="1">
      <c r="A119" s="22">
        <v>753669</v>
      </c>
      <c r="B119" s="20" t="s">
        <v>15</v>
      </c>
      <c r="C119" s="21" t="s">
        <v>16</v>
      </c>
      <c r="D119" s="23">
        <v>2</v>
      </c>
      <c r="E119" s="24"/>
      <c r="F119" s="21" t="s">
        <v>88</v>
      </c>
      <c r="G119" s="25" t="s">
        <v>129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5" customHeight="1">
      <c r="A120" s="22">
        <v>753668</v>
      </c>
      <c r="B120" s="20" t="s">
        <v>15</v>
      </c>
      <c r="C120" s="21" t="s">
        <v>16</v>
      </c>
      <c r="D120" s="23">
        <v>2</v>
      </c>
      <c r="E120" s="24"/>
      <c r="F120" s="21" t="s">
        <v>89</v>
      </c>
      <c r="G120" s="25" t="s">
        <v>130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5" customHeight="1">
      <c r="A121" s="22">
        <v>753667</v>
      </c>
      <c r="B121" s="20" t="s">
        <v>15</v>
      </c>
      <c r="C121" s="21" t="s">
        <v>16</v>
      </c>
      <c r="D121" s="23">
        <v>2</v>
      </c>
      <c r="E121" s="24"/>
      <c r="F121" s="21" t="s">
        <v>90</v>
      </c>
      <c r="G121" s="25" t="s">
        <v>131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5" customHeight="1">
      <c r="A122" s="22">
        <v>753661</v>
      </c>
      <c r="B122" s="20" t="s">
        <v>15</v>
      </c>
      <c r="C122" s="21" t="s">
        <v>16</v>
      </c>
      <c r="D122" s="23">
        <v>2</v>
      </c>
      <c r="E122" s="24"/>
      <c r="F122" s="21" t="s">
        <v>132</v>
      </c>
      <c r="G122" s="25" t="s">
        <v>133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5" customHeight="1">
      <c r="A123" s="22">
        <v>753659</v>
      </c>
      <c r="B123" s="20" t="s">
        <v>15</v>
      </c>
      <c r="C123" s="21" t="s">
        <v>16</v>
      </c>
      <c r="D123" s="23">
        <v>2</v>
      </c>
      <c r="E123" s="24"/>
      <c r="F123" s="21" t="s">
        <v>134</v>
      </c>
      <c r="G123" s="25" t="s">
        <v>135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5" customHeight="1">
      <c r="A124" s="22">
        <v>753660</v>
      </c>
      <c r="B124" s="20" t="s">
        <v>15</v>
      </c>
      <c r="C124" s="21" t="s">
        <v>16</v>
      </c>
      <c r="D124" s="23">
        <v>2</v>
      </c>
      <c r="E124" s="24"/>
      <c r="F124" s="21" t="s">
        <v>136</v>
      </c>
      <c r="G124" s="25" t="s">
        <v>137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5" customHeight="1">
      <c r="A125" s="22">
        <v>753654</v>
      </c>
      <c r="B125" s="20" t="s">
        <v>15</v>
      </c>
      <c r="C125" s="21" t="s">
        <v>16</v>
      </c>
      <c r="D125" s="23">
        <v>2</v>
      </c>
      <c r="E125" s="24"/>
      <c r="F125" s="21" t="s">
        <v>138</v>
      </c>
      <c r="G125" s="25" t="s">
        <v>139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5" customHeight="1">
      <c r="A126" s="22">
        <v>753655</v>
      </c>
      <c r="B126" s="20" t="s">
        <v>15</v>
      </c>
      <c r="C126" s="21" t="s">
        <v>16</v>
      </c>
      <c r="D126" s="23">
        <v>2</v>
      </c>
      <c r="E126" s="24"/>
      <c r="F126" s="21" t="s">
        <v>140</v>
      </c>
      <c r="G126" s="25" t="s">
        <v>141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5" customHeight="1">
      <c r="A127" s="22">
        <v>753656</v>
      </c>
      <c r="B127" s="20" t="s">
        <v>15</v>
      </c>
      <c r="C127" s="21" t="s">
        <v>16</v>
      </c>
      <c r="D127" s="23">
        <v>2</v>
      </c>
      <c r="E127" s="24"/>
      <c r="F127" s="21" t="s">
        <v>142</v>
      </c>
      <c r="G127" s="25" t="s">
        <v>143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5" customHeight="1">
      <c r="A128" s="22">
        <v>753657</v>
      </c>
      <c r="B128" s="20" t="s">
        <v>15</v>
      </c>
      <c r="C128" s="21" t="s">
        <v>16</v>
      </c>
      <c r="D128" s="23">
        <v>2</v>
      </c>
      <c r="E128" s="24"/>
      <c r="F128" s="21" t="s">
        <v>144</v>
      </c>
      <c r="G128" s="25" t="s">
        <v>145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5" customHeight="1">
      <c r="A129" s="22">
        <v>753658</v>
      </c>
      <c r="B129" s="20" t="s">
        <v>15</v>
      </c>
      <c r="C129" s="21" t="s">
        <v>16</v>
      </c>
      <c r="D129" s="23">
        <v>2</v>
      </c>
      <c r="E129" s="24"/>
      <c r="F129" s="21" t="s">
        <v>146</v>
      </c>
      <c r="G129" s="25" t="s">
        <v>147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5" customHeight="1">
      <c r="A130" s="22">
        <v>753666</v>
      </c>
      <c r="B130" s="20" t="s">
        <v>15</v>
      </c>
      <c r="C130" s="21" t="s">
        <v>16</v>
      </c>
      <c r="D130" s="23">
        <v>2</v>
      </c>
      <c r="E130" s="24"/>
      <c r="F130" s="21" t="s">
        <v>148</v>
      </c>
      <c r="G130" s="25" t="s">
        <v>149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5" customHeight="1">
      <c r="A131" s="22">
        <v>753665</v>
      </c>
      <c r="B131" s="20" t="s">
        <v>15</v>
      </c>
      <c r="C131" s="21" t="s">
        <v>16</v>
      </c>
      <c r="D131" s="23">
        <v>2</v>
      </c>
      <c r="E131" s="24"/>
      <c r="F131" s="21" t="s">
        <v>150</v>
      </c>
      <c r="G131" s="25" t="s">
        <v>151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5" customHeight="1">
      <c r="A132" s="22">
        <v>753664</v>
      </c>
      <c r="B132" s="20" t="s">
        <v>15</v>
      </c>
      <c r="C132" s="21" t="s">
        <v>16</v>
      </c>
      <c r="D132" s="23">
        <v>2</v>
      </c>
      <c r="E132" s="24"/>
      <c r="F132" s="21" t="s">
        <v>13</v>
      </c>
      <c r="G132" s="25" t="s">
        <v>14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5" customHeight="1">
      <c r="A133" s="22">
        <v>753663</v>
      </c>
      <c r="B133" s="20" t="s">
        <v>15</v>
      </c>
      <c r="C133" s="21" t="s">
        <v>16</v>
      </c>
      <c r="D133" s="23">
        <v>2</v>
      </c>
      <c r="E133" s="24"/>
      <c r="F133" s="21" t="s">
        <v>17</v>
      </c>
      <c r="G133" s="25" t="s">
        <v>18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5" customHeight="1">
      <c r="A134" s="22">
        <v>753662</v>
      </c>
      <c r="B134" s="20" t="s">
        <v>15</v>
      </c>
      <c r="C134" s="21" t="s">
        <v>16</v>
      </c>
      <c r="D134" s="23">
        <v>2</v>
      </c>
      <c r="E134" s="24"/>
      <c r="F134" s="21" t="s">
        <v>19</v>
      </c>
      <c r="G134" s="25" t="s">
        <v>20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5" customHeight="1">
      <c r="A135" s="22">
        <v>753670</v>
      </c>
      <c r="B135" s="20" t="s">
        <v>15</v>
      </c>
      <c r="C135" s="21" t="s">
        <v>16</v>
      </c>
      <c r="D135" s="23">
        <v>2</v>
      </c>
      <c r="E135" s="24"/>
      <c r="F135" s="21" t="s">
        <v>21</v>
      </c>
      <c r="G135" s="25" t="s">
        <v>22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5" customHeight="1">
      <c r="A136" s="22">
        <v>753671</v>
      </c>
      <c r="B136" s="20" t="s">
        <v>15</v>
      </c>
      <c r="C136" s="21" t="s">
        <v>16</v>
      </c>
      <c r="D136" s="23">
        <v>2</v>
      </c>
      <c r="E136" s="24"/>
      <c r="F136" s="21" t="s">
        <v>152</v>
      </c>
      <c r="G136" s="25" t="s">
        <v>153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5" customHeight="1">
      <c r="A137" s="22">
        <v>753672</v>
      </c>
      <c r="B137" s="20" t="s">
        <v>15</v>
      </c>
      <c r="C137" s="21" t="s">
        <v>16</v>
      </c>
      <c r="D137" s="23">
        <v>2</v>
      </c>
      <c r="E137" s="24"/>
      <c r="F137" s="21" t="s">
        <v>154</v>
      </c>
      <c r="G137" s="25" t="s">
        <v>155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5" customHeight="1">
      <c r="A138" s="22">
        <v>753673</v>
      </c>
      <c r="B138" s="20" t="s">
        <v>15</v>
      </c>
      <c r="C138" s="21" t="s">
        <v>16</v>
      </c>
      <c r="D138" s="23">
        <v>2</v>
      </c>
      <c r="E138" s="24"/>
      <c r="F138" s="21" t="s">
        <v>156</v>
      </c>
      <c r="G138" s="25" t="s">
        <v>157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5" customHeight="1">
      <c r="A139" s="22">
        <v>753674</v>
      </c>
      <c r="B139" s="20" t="s">
        <v>15</v>
      </c>
      <c r="C139" s="21" t="s">
        <v>16</v>
      </c>
      <c r="D139" s="23">
        <v>2</v>
      </c>
      <c r="E139" s="24"/>
      <c r="F139" s="21" t="s">
        <v>158</v>
      </c>
      <c r="G139" s="25" t="s">
        <v>159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5" customHeight="1">
      <c r="A140" s="22">
        <v>753682</v>
      </c>
      <c r="B140" s="20" t="s">
        <v>15</v>
      </c>
      <c r="C140" s="21" t="s">
        <v>16</v>
      </c>
      <c r="D140" s="23">
        <v>2</v>
      </c>
      <c r="E140" s="24"/>
      <c r="F140" s="21" t="s">
        <v>160</v>
      </c>
      <c r="G140" s="25" t="s">
        <v>161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5" customHeight="1">
      <c r="A141" s="22">
        <v>753681</v>
      </c>
      <c r="B141" s="20" t="s">
        <v>15</v>
      </c>
      <c r="C141" s="21" t="s">
        <v>16</v>
      </c>
      <c r="D141" s="23">
        <v>2</v>
      </c>
      <c r="E141" s="24"/>
      <c r="F141" s="21" t="s">
        <v>23</v>
      </c>
      <c r="G141" s="25" t="s">
        <v>24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5" customHeight="1">
      <c r="A142" s="22">
        <v>753680</v>
      </c>
      <c r="B142" s="20" t="s">
        <v>15</v>
      </c>
      <c r="C142" s="21" t="s">
        <v>16</v>
      </c>
      <c r="D142" s="23">
        <v>2</v>
      </c>
      <c r="E142" s="24"/>
      <c r="F142" s="21" t="s">
        <v>25</v>
      </c>
      <c r="G142" s="25" t="s">
        <v>26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5" customHeight="1">
      <c r="A143" s="22">
        <v>753679</v>
      </c>
      <c r="B143" s="20" t="s">
        <v>15</v>
      </c>
      <c r="C143" s="21" t="s">
        <v>16</v>
      </c>
      <c r="D143" s="23">
        <v>2</v>
      </c>
      <c r="E143" s="24"/>
      <c r="F143" s="21" t="s">
        <v>27</v>
      </c>
      <c r="G143" s="25" t="s">
        <v>28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5" customHeight="1">
      <c r="A144" s="22">
        <v>753678</v>
      </c>
      <c r="B144" s="20" t="s">
        <v>15</v>
      </c>
      <c r="C144" s="21" t="s">
        <v>16</v>
      </c>
      <c r="D144" s="23">
        <v>2</v>
      </c>
      <c r="E144" s="24"/>
      <c r="F144" s="21" t="s">
        <v>162</v>
      </c>
      <c r="G144" s="25" t="s">
        <v>163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5" customHeight="1">
      <c r="A145" s="22">
        <v>753693</v>
      </c>
      <c r="B145" s="20" t="s">
        <v>15</v>
      </c>
      <c r="C145" s="21" t="s">
        <v>16</v>
      </c>
      <c r="D145" s="23">
        <v>2</v>
      </c>
      <c r="E145" s="24"/>
      <c r="F145" s="21" t="s">
        <v>164</v>
      </c>
      <c r="G145" s="25" t="s">
        <v>165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5" customHeight="1">
      <c r="A146" s="22">
        <v>753692</v>
      </c>
      <c r="B146" s="20" t="s">
        <v>15</v>
      </c>
      <c r="C146" s="21" t="s">
        <v>16</v>
      </c>
      <c r="D146" s="23">
        <v>2</v>
      </c>
      <c r="E146" s="24"/>
      <c r="F146" s="21" t="s">
        <v>166</v>
      </c>
      <c r="G146" s="25" t="s">
        <v>167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5" customHeight="1">
      <c r="A147" s="22">
        <v>753675</v>
      </c>
      <c r="B147" s="20" t="s">
        <v>15</v>
      </c>
      <c r="C147" s="21" t="s">
        <v>16</v>
      </c>
      <c r="D147" s="23">
        <v>2</v>
      </c>
      <c r="E147" s="24"/>
      <c r="F147" s="21" t="s">
        <v>168</v>
      </c>
      <c r="G147" s="25" t="s">
        <v>169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5" customHeight="1">
      <c r="A148" s="22">
        <v>753676</v>
      </c>
      <c r="B148" s="20" t="s">
        <v>15</v>
      </c>
      <c r="C148" s="21" t="s">
        <v>16</v>
      </c>
      <c r="D148" s="23">
        <v>2</v>
      </c>
      <c r="E148" s="24"/>
      <c r="F148" s="21" t="s">
        <v>43</v>
      </c>
      <c r="G148" s="25" t="s">
        <v>44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5" customHeight="1">
      <c r="A149" s="22">
        <v>753676</v>
      </c>
      <c r="B149" s="20" t="s">
        <v>15</v>
      </c>
      <c r="C149" s="21" t="s">
        <v>16</v>
      </c>
      <c r="D149" s="23">
        <v>2</v>
      </c>
      <c r="E149" s="24"/>
      <c r="F149" s="21" t="s">
        <v>45</v>
      </c>
      <c r="G149" s="25" t="s">
        <v>46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5" customHeight="1">
      <c r="A150" s="22">
        <v>753677</v>
      </c>
      <c r="B150" s="20" t="s">
        <v>15</v>
      </c>
      <c r="C150" s="21" t="s">
        <v>16</v>
      </c>
      <c r="D150" s="23">
        <v>2</v>
      </c>
      <c r="E150" s="24"/>
      <c r="F150" s="21" t="s">
        <v>170</v>
      </c>
      <c r="G150" s="25" t="s">
        <v>171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5" customHeight="1">
      <c r="A151" s="22">
        <v>753683</v>
      </c>
      <c r="B151" s="20" t="s">
        <v>15</v>
      </c>
      <c r="C151" s="21" t="s">
        <v>16</v>
      </c>
      <c r="D151" s="23">
        <v>2</v>
      </c>
      <c r="E151" s="24"/>
      <c r="F151" s="21" t="s">
        <v>29</v>
      </c>
      <c r="G151" s="25" t="s">
        <v>30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5" customHeight="1">
      <c r="A152" s="22">
        <v>753684</v>
      </c>
      <c r="B152" s="20" t="s">
        <v>15</v>
      </c>
      <c r="C152" s="21" t="s">
        <v>16</v>
      </c>
      <c r="D152" s="23">
        <v>2</v>
      </c>
      <c r="E152" s="24"/>
      <c r="F152" s="21" t="s">
        <v>31</v>
      </c>
      <c r="G152" s="25" t="s">
        <v>32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5" customHeight="1">
      <c r="A153" s="22">
        <v>753685</v>
      </c>
      <c r="B153" s="20" t="s">
        <v>15</v>
      </c>
      <c r="C153" s="21" t="s">
        <v>16</v>
      </c>
      <c r="D153" s="23">
        <v>2</v>
      </c>
      <c r="E153" s="24"/>
      <c r="F153" s="21" t="s">
        <v>33</v>
      </c>
      <c r="G153" s="25" t="s">
        <v>34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5" customHeight="1">
      <c r="A154" s="22">
        <v>753686</v>
      </c>
      <c r="B154" s="20" t="s">
        <v>15</v>
      </c>
      <c r="C154" s="21" t="s">
        <v>16</v>
      </c>
      <c r="D154" s="23">
        <v>2</v>
      </c>
      <c r="E154" s="24"/>
      <c r="F154" s="21" t="s">
        <v>35</v>
      </c>
      <c r="G154" s="25" t="s">
        <v>36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5" customHeight="1">
      <c r="A155" s="22">
        <v>753687</v>
      </c>
      <c r="B155" s="20" t="s">
        <v>15</v>
      </c>
      <c r="C155" s="21" t="s">
        <v>16</v>
      </c>
      <c r="D155" s="23">
        <v>2</v>
      </c>
      <c r="E155" s="24"/>
      <c r="F155" s="21" t="s">
        <v>37</v>
      </c>
      <c r="G155" s="25" t="s">
        <v>38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5" customHeight="1">
      <c r="A156" s="22">
        <v>753688</v>
      </c>
      <c r="B156" s="20" t="s">
        <v>15</v>
      </c>
      <c r="C156" s="21" t="s">
        <v>16</v>
      </c>
      <c r="D156" s="23">
        <v>2</v>
      </c>
      <c r="E156" s="24"/>
      <c r="F156" s="21" t="s">
        <v>172</v>
      </c>
      <c r="G156" s="25" t="s">
        <v>173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5" customHeight="1">
      <c r="A157" s="22">
        <v>753689</v>
      </c>
      <c r="B157" s="20" t="s">
        <v>15</v>
      </c>
      <c r="C157" s="21" t="s">
        <v>16</v>
      </c>
      <c r="D157" s="23">
        <v>2</v>
      </c>
      <c r="E157" s="24"/>
      <c r="F157" s="21" t="s">
        <v>174</v>
      </c>
      <c r="G157" s="25" t="s">
        <v>175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5" customHeight="1">
      <c r="A158" s="22">
        <v>753690</v>
      </c>
      <c r="B158" s="20" t="s">
        <v>15</v>
      </c>
      <c r="C158" s="21" t="s">
        <v>16</v>
      </c>
      <c r="D158" s="23">
        <v>2</v>
      </c>
      <c r="E158" s="24"/>
      <c r="F158" s="21" t="s">
        <v>176</v>
      </c>
      <c r="G158" s="25" t="s">
        <v>177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5" customHeight="1">
      <c r="A159" s="22">
        <v>753698</v>
      </c>
      <c r="B159" s="20" t="s">
        <v>15</v>
      </c>
      <c r="C159" s="21" t="s">
        <v>16</v>
      </c>
      <c r="D159" s="23">
        <v>2</v>
      </c>
      <c r="E159" s="24"/>
      <c r="F159" s="21" t="s">
        <v>178</v>
      </c>
      <c r="G159" s="25" t="s">
        <v>179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5" customHeight="1">
      <c r="A160" s="22">
        <v>753697</v>
      </c>
      <c r="B160" s="20" t="s">
        <v>15</v>
      </c>
      <c r="C160" s="21" t="s">
        <v>16</v>
      </c>
      <c r="D160" s="23">
        <v>2</v>
      </c>
      <c r="E160" s="24"/>
      <c r="F160" s="21" t="s">
        <v>180</v>
      </c>
      <c r="G160" s="25" t="s">
        <v>181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5" customHeight="1">
      <c r="A161" s="22">
        <v>753696</v>
      </c>
      <c r="B161" s="20" t="s">
        <v>15</v>
      </c>
      <c r="C161" s="21" t="s">
        <v>16</v>
      </c>
      <c r="D161" s="23">
        <v>2</v>
      </c>
      <c r="E161" s="24"/>
      <c r="F161" s="21" t="s">
        <v>182</v>
      </c>
      <c r="G161" s="25" t="s">
        <v>183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5" customHeight="1">
      <c r="A162" s="22">
        <v>753695</v>
      </c>
      <c r="B162" s="20" t="s">
        <v>15</v>
      </c>
      <c r="C162" s="21" t="s">
        <v>16</v>
      </c>
      <c r="D162" s="23">
        <v>2</v>
      </c>
      <c r="E162" s="24"/>
      <c r="F162" s="21" t="s">
        <v>39</v>
      </c>
      <c r="G162" s="25" t="s">
        <v>40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5" customHeight="1">
      <c r="A163" s="22">
        <v>753694</v>
      </c>
      <c r="B163" s="20" t="s">
        <v>15</v>
      </c>
      <c r="C163" s="21" t="s">
        <v>16</v>
      </c>
      <c r="D163" s="23">
        <v>2</v>
      </c>
      <c r="E163" s="24"/>
      <c r="F163" s="21" t="s">
        <v>41</v>
      </c>
      <c r="G163" s="25" t="s">
        <v>42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5" customHeight="1">
      <c r="A164" s="22">
        <v>753699</v>
      </c>
      <c r="B164" s="20" t="s">
        <v>15</v>
      </c>
      <c r="C164" s="21" t="s">
        <v>16</v>
      </c>
      <c r="D164" s="23">
        <v>2</v>
      </c>
      <c r="E164" s="24"/>
      <c r="F164" s="21" t="s">
        <v>184</v>
      </c>
      <c r="G164" s="25" t="s">
        <v>185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5" customHeight="1">
      <c r="A165" s="22">
        <v>753700</v>
      </c>
      <c r="B165" s="20" t="s">
        <v>15</v>
      </c>
      <c r="C165" s="21" t="s">
        <v>16</v>
      </c>
      <c r="D165" s="23">
        <v>2</v>
      </c>
      <c r="E165" s="24"/>
      <c r="F165" s="21" t="s">
        <v>186</v>
      </c>
      <c r="G165" s="25" t="s">
        <v>187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5" customHeight="1">
      <c r="A166" s="22">
        <v>753701</v>
      </c>
      <c r="B166" s="20" t="s">
        <v>15</v>
      </c>
      <c r="C166" s="21" t="s">
        <v>16</v>
      </c>
      <c r="D166" s="23">
        <v>2</v>
      </c>
      <c r="E166" s="24"/>
      <c r="F166" s="21" t="s">
        <v>188</v>
      </c>
      <c r="G166" s="25" t="s">
        <v>189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5" customHeight="1">
      <c r="A167" s="22">
        <v>753708</v>
      </c>
      <c r="B167" s="20" t="s">
        <v>15</v>
      </c>
      <c r="C167" s="21" t="s">
        <v>16</v>
      </c>
      <c r="D167" s="23">
        <v>2</v>
      </c>
      <c r="E167" s="24"/>
      <c r="F167" s="21" t="s">
        <v>190</v>
      </c>
      <c r="G167" s="25" t="s">
        <v>191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5" customHeight="1">
      <c r="A168" s="22">
        <v>753707</v>
      </c>
      <c r="B168" s="20" t="s">
        <v>15</v>
      </c>
      <c r="C168" s="21" t="s">
        <v>16</v>
      </c>
      <c r="D168" s="23">
        <v>2</v>
      </c>
      <c r="E168" s="24"/>
      <c r="F168" s="21" t="s">
        <v>192</v>
      </c>
      <c r="G168" s="25" t="s">
        <v>193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5" customHeight="1">
      <c r="A169" s="22">
        <v>753702</v>
      </c>
      <c r="B169" s="20" t="s">
        <v>15</v>
      </c>
      <c r="C169" s="21" t="s">
        <v>16</v>
      </c>
      <c r="D169" s="23">
        <v>2</v>
      </c>
      <c r="E169" s="24"/>
      <c r="F169" s="21" t="s">
        <v>194</v>
      </c>
      <c r="G169" s="25" t="s">
        <v>195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5" customHeight="1">
      <c r="A170" s="22">
        <v>753703</v>
      </c>
      <c r="B170" s="20" t="s">
        <v>15</v>
      </c>
      <c r="C170" s="21" t="s">
        <v>16</v>
      </c>
      <c r="D170" s="23">
        <v>2</v>
      </c>
      <c r="E170" s="24"/>
      <c r="F170" s="21" t="s">
        <v>196</v>
      </c>
      <c r="G170" s="25" t="s">
        <v>197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5" customHeight="1">
      <c r="A171" s="22">
        <v>753704</v>
      </c>
      <c r="B171" s="20" t="s">
        <v>15</v>
      </c>
      <c r="C171" s="21" t="s">
        <v>16</v>
      </c>
      <c r="D171" s="23">
        <v>2</v>
      </c>
      <c r="E171" s="24"/>
      <c r="F171" s="21" t="s">
        <v>198</v>
      </c>
      <c r="G171" s="25" t="s">
        <v>199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5" customHeight="1">
      <c r="A172" s="22">
        <v>753705</v>
      </c>
      <c r="B172" s="20" t="s">
        <v>15</v>
      </c>
      <c r="C172" s="21" t="s">
        <v>16</v>
      </c>
      <c r="D172" s="23">
        <v>2</v>
      </c>
      <c r="E172" s="24"/>
      <c r="F172" s="21" t="s">
        <v>200</v>
      </c>
      <c r="G172" s="25" t="s">
        <v>201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5" customHeight="1">
      <c r="A173" s="22">
        <v>753706</v>
      </c>
      <c r="B173" s="20" t="s">
        <v>15</v>
      </c>
      <c r="C173" s="21" t="s">
        <v>16</v>
      </c>
      <c r="D173" s="23">
        <v>2</v>
      </c>
      <c r="E173" s="24"/>
      <c r="F173" s="21" t="s">
        <v>202</v>
      </c>
      <c r="G173" s="25" t="s">
        <v>203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5" customHeight="1">
      <c r="A174" s="22">
        <v>753861</v>
      </c>
      <c r="B174" s="20" t="s">
        <v>15</v>
      </c>
      <c r="C174" s="21" t="s">
        <v>16</v>
      </c>
      <c r="D174" s="23">
        <v>2</v>
      </c>
      <c r="E174" s="24"/>
      <c r="F174" s="21" t="s">
        <v>204</v>
      </c>
      <c r="G174" s="25" t="s">
        <v>205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5" customHeight="1">
      <c r="A175" s="22">
        <v>753862</v>
      </c>
      <c r="B175" s="20" t="s">
        <v>15</v>
      </c>
      <c r="C175" s="21" t="s">
        <v>16</v>
      </c>
      <c r="D175" s="23">
        <v>2</v>
      </c>
      <c r="E175" s="24"/>
      <c r="F175" s="21" t="s">
        <v>206</v>
      </c>
      <c r="G175" s="25" t="s">
        <v>207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5" customHeight="1">
      <c r="A176" s="22">
        <v>753863</v>
      </c>
      <c r="B176" s="20" t="s">
        <v>15</v>
      </c>
      <c r="C176" s="21" t="s">
        <v>16</v>
      </c>
      <c r="D176" s="23">
        <v>2</v>
      </c>
      <c r="E176" s="24"/>
      <c r="F176" s="21" t="s">
        <v>91</v>
      </c>
      <c r="G176" s="25" t="s">
        <v>208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5" customHeight="1">
      <c r="A177" s="22">
        <v>753864</v>
      </c>
      <c r="B177" s="20" t="s">
        <v>15</v>
      </c>
      <c r="C177" s="21" t="s">
        <v>16</v>
      </c>
      <c r="D177" s="23">
        <v>2</v>
      </c>
      <c r="E177" s="24"/>
      <c r="F177" s="21" t="s">
        <v>92</v>
      </c>
      <c r="G177" s="25" t="s">
        <v>209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5" customHeight="1">
      <c r="A178" s="22">
        <v>753865</v>
      </c>
      <c r="B178" s="20" t="s">
        <v>15</v>
      </c>
      <c r="C178" s="21" t="s">
        <v>16</v>
      </c>
      <c r="D178" s="23">
        <v>2</v>
      </c>
      <c r="E178" s="24"/>
      <c r="F178" s="21" t="s">
        <v>93</v>
      </c>
      <c r="G178" s="25" t="s">
        <v>210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5" customHeight="1">
      <c r="A179" s="22">
        <v>753873</v>
      </c>
      <c r="B179" s="20" t="s">
        <v>15</v>
      </c>
      <c r="C179" s="21" t="s">
        <v>16</v>
      </c>
      <c r="D179" s="23">
        <v>2</v>
      </c>
      <c r="E179" s="24"/>
      <c r="F179" s="21" t="s">
        <v>94</v>
      </c>
      <c r="G179" s="25" t="s">
        <v>211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5" customHeight="1">
      <c r="A180" s="22">
        <v>753872</v>
      </c>
      <c r="B180" s="20" t="s">
        <v>15</v>
      </c>
      <c r="C180" s="21" t="s">
        <v>16</v>
      </c>
      <c r="D180" s="23">
        <v>2</v>
      </c>
      <c r="E180" s="24"/>
      <c r="F180" s="21" t="s">
        <v>49</v>
      </c>
      <c r="G180" s="25" t="s">
        <v>50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5" customHeight="1">
      <c r="A181" s="22">
        <v>753871</v>
      </c>
      <c r="B181" s="20" t="s">
        <v>15</v>
      </c>
      <c r="C181" s="21" t="s">
        <v>16</v>
      </c>
      <c r="D181" s="23">
        <v>2</v>
      </c>
      <c r="E181" s="24"/>
      <c r="F181" s="21" t="s">
        <v>51</v>
      </c>
      <c r="G181" s="25" t="s">
        <v>52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5" customHeight="1">
      <c r="A182" s="22">
        <v>753870</v>
      </c>
      <c r="B182" s="20" t="s">
        <v>15</v>
      </c>
      <c r="C182" s="21" t="s">
        <v>16</v>
      </c>
      <c r="D182" s="23">
        <v>2</v>
      </c>
      <c r="E182" s="24"/>
      <c r="F182" s="21" t="s">
        <v>95</v>
      </c>
      <c r="G182" s="25" t="s">
        <v>212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5" customHeight="1">
      <c r="A183" s="22">
        <v>753869</v>
      </c>
      <c r="B183" s="20" t="s">
        <v>15</v>
      </c>
      <c r="C183" s="21" t="s">
        <v>16</v>
      </c>
      <c r="D183" s="23">
        <v>2</v>
      </c>
      <c r="E183" s="24"/>
      <c r="F183" s="21" t="s">
        <v>53</v>
      </c>
      <c r="G183" s="25" t="s">
        <v>54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5" customHeight="1">
      <c r="A184" s="22">
        <v>753866</v>
      </c>
      <c r="B184" s="20" t="s">
        <v>15</v>
      </c>
      <c r="C184" s="21" t="s">
        <v>16</v>
      </c>
      <c r="D184" s="23">
        <v>2</v>
      </c>
      <c r="E184" s="24"/>
      <c r="F184" s="21" t="s">
        <v>55</v>
      </c>
      <c r="G184" s="25" t="s">
        <v>56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5" customHeight="1">
      <c r="A185" s="22">
        <v>753867</v>
      </c>
      <c r="B185" s="20" t="s">
        <v>15</v>
      </c>
      <c r="C185" s="21" t="s">
        <v>16</v>
      </c>
      <c r="D185" s="23">
        <v>2</v>
      </c>
      <c r="E185" s="24"/>
      <c r="F185" s="21" t="s">
        <v>57</v>
      </c>
      <c r="G185" s="25" t="s">
        <v>58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5" customHeight="1">
      <c r="A186" s="22">
        <v>753868</v>
      </c>
      <c r="B186" s="20" t="s">
        <v>15</v>
      </c>
      <c r="C186" s="21" t="s">
        <v>16</v>
      </c>
      <c r="D186" s="23">
        <v>2</v>
      </c>
      <c r="E186" s="24"/>
      <c r="F186" s="21" t="s">
        <v>59</v>
      </c>
      <c r="G186" s="25" t="s">
        <v>60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5" customHeight="1">
      <c r="A187" s="22">
        <v>753874</v>
      </c>
      <c r="B187" s="20" t="s">
        <v>15</v>
      </c>
      <c r="C187" s="21" t="s">
        <v>16</v>
      </c>
      <c r="D187" s="23">
        <v>2</v>
      </c>
      <c r="E187" s="24"/>
      <c r="F187" s="21" t="s">
        <v>61</v>
      </c>
      <c r="G187" s="25" t="s">
        <v>62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5" customHeight="1">
      <c r="A188" s="22">
        <v>753876</v>
      </c>
      <c r="B188" s="20" t="s">
        <v>15</v>
      </c>
      <c r="C188" s="21" t="s">
        <v>16</v>
      </c>
      <c r="D188" s="23">
        <v>2</v>
      </c>
      <c r="E188" s="24"/>
      <c r="F188" s="21" t="s">
        <v>63</v>
      </c>
      <c r="G188" s="25" t="s">
        <v>64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5" customHeight="1">
      <c r="A189" s="22">
        <v>753875</v>
      </c>
      <c r="B189" s="20" t="s">
        <v>15</v>
      </c>
      <c r="C189" s="21" t="s">
        <v>16</v>
      </c>
      <c r="D189" s="23">
        <v>2</v>
      </c>
      <c r="E189" s="24"/>
      <c r="F189" s="21" t="s">
        <v>65</v>
      </c>
      <c r="G189" s="25" t="s">
        <v>66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5" customHeight="1">
      <c r="A190" s="22">
        <v>753892</v>
      </c>
      <c r="B190" s="20" t="s">
        <v>15</v>
      </c>
      <c r="C190" s="21" t="s">
        <v>16</v>
      </c>
      <c r="D190" s="23">
        <v>2</v>
      </c>
      <c r="E190" s="24"/>
      <c r="F190" s="21" t="s">
        <v>67</v>
      </c>
      <c r="G190" s="25" t="s">
        <v>68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5" customHeight="1">
      <c r="A191" s="22">
        <v>753891</v>
      </c>
      <c r="B191" s="20" t="s">
        <v>15</v>
      </c>
      <c r="C191" s="21" t="s">
        <v>16</v>
      </c>
      <c r="D191" s="23">
        <v>2</v>
      </c>
      <c r="E191" s="24"/>
      <c r="F191" s="21" t="s">
        <v>96</v>
      </c>
      <c r="G191" s="25" t="s">
        <v>213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5" customHeight="1">
      <c r="A192" s="22">
        <v>753890</v>
      </c>
      <c r="B192" s="20" t="s">
        <v>15</v>
      </c>
      <c r="C192" s="21" t="s">
        <v>16</v>
      </c>
      <c r="D192" s="23">
        <v>2</v>
      </c>
      <c r="E192" s="24"/>
      <c r="F192" s="21" t="s">
        <v>97</v>
      </c>
      <c r="G192" s="25" t="s">
        <v>214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5" customHeight="1">
      <c r="A193" s="22">
        <v>753884</v>
      </c>
      <c r="B193" s="20" t="s">
        <v>15</v>
      </c>
      <c r="C193" s="21" t="s">
        <v>16</v>
      </c>
      <c r="D193" s="23">
        <v>2</v>
      </c>
      <c r="E193" s="24"/>
      <c r="F193" s="21" t="s">
        <v>47</v>
      </c>
      <c r="G193" s="25" t="s">
        <v>48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5" customHeight="1">
      <c r="A194" s="22">
        <v>753882</v>
      </c>
      <c r="B194" s="21" t="s">
        <v>15</v>
      </c>
      <c r="C194" s="21" t="s">
        <v>16</v>
      </c>
      <c r="D194" s="23">
        <v>3</v>
      </c>
      <c r="E194" s="24"/>
      <c r="F194" s="21" t="s">
        <v>100</v>
      </c>
      <c r="G194" s="25" t="s">
        <v>101</v>
      </c>
      <c r="H194" s="7"/>
      <c r="I194" s="7"/>
      <c r="J194" s="26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5" customHeight="1">
      <c r="A195" s="22">
        <v>753883</v>
      </c>
      <c r="B195" s="21" t="s">
        <v>15</v>
      </c>
      <c r="C195" s="21" t="s">
        <v>16</v>
      </c>
      <c r="D195" s="23">
        <v>3</v>
      </c>
      <c r="E195" s="24"/>
      <c r="F195" s="21" t="s">
        <v>102</v>
      </c>
      <c r="G195" s="25" t="s">
        <v>103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5" customHeight="1">
      <c r="A196" s="22">
        <v>753877</v>
      </c>
      <c r="B196" s="21" t="s">
        <v>15</v>
      </c>
      <c r="C196" s="21" t="s">
        <v>16</v>
      </c>
      <c r="D196" s="23">
        <v>3</v>
      </c>
      <c r="E196" s="24"/>
      <c r="F196" s="21" t="s">
        <v>104</v>
      </c>
      <c r="G196" s="25" t="s">
        <v>105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5" customHeight="1">
      <c r="A197" s="22">
        <v>753878</v>
      </c>
      <c r="B197" s="21" t="s">
        <v>15</v>
      </c>
      <c r="C197" s="21" t="s">
        <v>16</v>
      </c>
      <c r="D197" s="23">
        <v>3</v>
      </c>
      <c r="E197" s="24"/>
      <c r="F197" s="21" t="s">
        <v>69</v>
      </c>
      <c r="G197" s="25" t="s">
        <v>106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5" customHeight="1">
      <c r="A198" s="22">
        <v>753879</v>
      </c>
      <c r="B198" s="21" t="s">
        <v>15</v>
      </c>
      <c r="C198" s="21" t="s">
        <v>16</v>
      </c>
      <c r="D198" s="23">
        <v>3</v>
      </c>
      <c r="E198" s="24"/>
      <c r="F198" s="21" t="s">
        <v>71</v>
      </c>
      <c r="G198" s="25" t="s">
        <v>107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5" customHeight="1">
      <c r="A199" s="22">
        <v>753880</v>
      </c>
      <c r="B199" s="21" t="s">
        <v>15</v>
      </c>
      <c r="C199" s="21" t="s">
        <v>16</v>
      </c>
      <c r="D199" s="23">
        <v>3</v>
      </c>
      <c r="E199" s="24"/>
      <c r="F199" s="21" t="s">
        <v>73</v>
      </c>
      <c r="G199" s="25" t="s">
        <v>108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5" customHeight="1">
      <c r="A200" s="22">
        <v>753881</v>
      </c>
      <c r="B200" s="21" t="s">
        <v>15</v>
      </c>
      <c r="C200" s="21" t="s">
        <v>16</v>
      </c>
      <c r="D200" s="23">
        <v>3</v>
      </c>
      <c r="E200" s="24"/>
      <c r="F200" s="21" t="s">
        <v>75</v>
      </c>
      <c r="G200" s="25" t="s">
        <v>109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5" customHeight="1">
      <c r="A201" s="22">
        <v>753885</v>
      </c>
      <c r="B201" s="21" t="s">
        <v>15</v>
      </c>
      <c r="C201" s="21" t="s">
        <v>16</v>
      </c>
      <c r="D201" s="23">
        <v>3</v>
      </c>
      <c r="E201" s="24"/>
      <c r="F201" s="21" t="s">
        <v>77</v>
      </c>
      <c r="G201" s="25" t="s">
        <v>110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5" customHeight="1">
      <c r="A202" s="22">
        <v>753886</v>
      </c>
      <c r="B202" s="21" t="s">
        <v>15</v>
      </c>
      <c r="C202" s="21" t="s">
        <v>16</v>
      </c>
      <c r="D202" s="23">
        <v>3</v>
      </c>
      <c r="E202" s="24"/>
      <c r="F202" s="21" t="s">
        <v>79</v>
      </c>
      <c r="G202" s="25" t="s">
        <v>111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5" customHeight="1">
      <c r="A203" s="22">
        <v>753887</v>
      </c>
      <c r="B203" s="21" t="s">
        <v>15</v>
      </c>
      <c r="C203" s="21" t="s">
        <v>16</v>
      </c>
      <c r="D203" s="23">
        <v>3</v>
      </c>
      <c r="E203" s="24"/>
      <c r="F203" s="21" t="s">
        <v>81</v>
      </c>
      <c r="G203" s="25" t="s">
        <v>112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5" customHeight="1">
      <c r="A204" s="22">
        <v>753888</v>
      </c>
      <c r="B204" s="21" t="s">
        <v>15</v>
      </c>
      <c r="C204" s="21" t="s">
        <v>16</v>
      </c>
      <c r="D204" s="23">
        <v>3</v>
      </c>
      <c r="E204" s="24"/>
      <c r="F204" s="21" t="s">
        <v>82</v>
      </c>
      <c r="G204" s="25" t="s">
        <v>113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5" customHeight="1">
      <c r="A205" s="22">
        <v>753889</v>
      </c>
      <c r="B205" s="21" t="s">
        <v>15</v>
      </c>
      <c r="C205" s="21" t="s">
        <v>16</v>
      </c>
      <c r="D205" s="23">
        <v>3</v>
      </c>
      <c r="E205" s="24"/>
      <c r="F205" s="21" t="s">
        <v>83</v>
      </c>
      <c r="G205" s="25" t="s">
        <v>114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5" customHeight="1">
      <c r="A206" s="22">
        <v>753914</v>
      </c>
      <c r="B206" s="21" t="s">
        <v>15</v>
      </c>
      <c r="C206" s="21" t="s">
        <v>16</v>
      </c>
      <c r="D206" s="23">
        <v>3</v>
      </c>
      <c r="E206" s="24"/>
      <c r="F206" s="21" t="s">
        <v>84</v>
      </c>
      <c r="G206" s="25" t="s">
        <v>115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5" customHeight="1">
      <c r="A207" s="22">
        <v>753915</v>
      </c>
      <c r="B207" s="21" t="s">
        <v>15</v>
      </c>
      <c r="C207" s="21" t="s">
        <v>16</v>
      </c>
      <c r="D207" s="23">
        <v>3</v>
      </c>
      <c r="E207" s="24"/>
      <c r="F207" s="21" t="s">
        <v>85</v>
      </c>
      <c r="G207" s="25" t="s">
        <v>116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5" customHeight="1">
      <c r="A208" s="22">
        <v>753916</v>
      </c>
      <c r="B208" s="21" t="s">
        <v>15</v>
      </c>
      <c r="C208" s="21" t="s">
        <v>16</v>
      </c>
      <c r="D208" s="23">
        <v>3</v>
      </c>
      <c r="E208" s="24"/>
      <c r="F208" s="21" t="s">
        <v>117</v>
      </c>
      <c r="G208" s="25" t="s">
        <v>118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5" customHeight="1">
      <c r="A209" s="22">
        <v>753898</v>
      </c>
      <c r="B209" s="21" t="s">
        <v>15</v>
      </c>
      <c r="C209" s="21" t="s">
        <v>16</v>
      </c>
      <c r="D209" s="23">
        <v>3</v>
      </c>
      <c r="E209" s="24"/>
      <c r="F209" s="21" t="s">
        <v>119</v>
      </c>
      <c r="G209" s="25" t="s">
        <v>120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5" customHeight="1">
      <c r="A210" s="22">
        <v>753899</v>
      </c>
      <c r="B210" s="21" t="s">
        <v>15</v>
      </c>
      <c r="C210" s="21" t="s">
        <v>16</v>
      </c>
      <c r="D210" s="23">
        <v>3</v>
      </c>
      <c r="E210" s="24"/>
      <c r="F210" s="21" t="s">
        <v>121</v>
      </c>
      <c r="G210" s="25" t="s">
        <v>122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5" customHeight="1">
      <c r="A211" s="22">
        <v>753900</v>
      </c>
      <c r="B211" s="21" t="s">
        <v>15</v>
      </c>
      <c r="C211" s="21" t="s">
        <v>16</v>
      </c>
      <c r="D211" s="23">
        <v>3</v>
      </c>
      <c r="E211" s="24"/>
      <c r="F211" s="21" t="s">
        <v>123</v>
      </c>
      <c r="G211" s="25" t="s">
        <v>124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5" customHeight="1">
      <c r="A212" s="22">
        <v>753906</v>
      </c>
      <c r="B212" s="21" t="s">
        <v>15</v>
      </c>
      <c r="C212" s="21" t="s">
        <v>16</v>
      </c>
      <c r="D212" s="23">
        <v>3</v>
      </c>
      <c r="E212" s="24"/>
      <c r="F212" s="21" t="s">
        <v>125</v>
      </c>
      <c r="G212" s="25" t="s">
        <v>126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5" customHeight="1">
      <c r="A213" s="22">
        <v>753907</v>
      </c>
      <c r="B213" s="21" t="s">
        <v>15</v>
      </c>
      <c r="C213" s="21" t="s">
        <v>16</v>
      </c>
      <c r="D213" s="23">
        <v>3</v>
      </c>
      <c r="E213" s="24"/>
      <c r="F213" s="21" t="s">
        <v>86</v>
      </c>
      <c r="G213" s="25" t="s">
        <v>127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5" customHeight="1">
      <c r="A214" s="22">
        <v>753908</v>
      </c>
      <c r="B214" s="21" t="s">
        <v>15</v>
      </c>
      <c r="C214" s="21" t="s">
        <v>16</v>
      </c>
      <c r="D214" s="23">
        <v>3</v>
      </c>
      <c r="E214" s="24"/>
      <c r="F214" s="21" t="s">
        <v>87</v>
      </c>
      <c r="G214" s="25" t="s">
        <v>128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5" customHeight="1">
      <c r="A215" s="22">
        <v>753893</v>
      </c>
      <c r="B215" s="21" t="s">
        <v>15</v>
      </c>
      <c r="C215" s="21" t="s">
        <v>16</v>
      </c>
      <c r="D215" s="23">
        <v>3</v>
      </c>
      <c r="E215" s="24"/>
      <c r="F215" s="21" t="s">
        <v>88</v>
      </c>
      <c r="G215" s="25" t="s">
        <v>129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5" customHeight="1">
      <c r="A216" s="22">
        <v>753894</v>
      </c>
      <c r="B216" s="21" t="s">
        <v>15</v>
      </c>
      <c r="C216" s="21" t="s">
        <v>16</v>
      </c>
      <c r="D216" s="23">
        <v>3</v>
      </c>
      <c r="E216" s="24"/>
      <c r="F216" s="21" t="s">
        <v>89</v>
      </c>
      <c r="G216" s="25" t="s">
        <v>130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5" customHeight="1">
      <c r="A217" s="22">
        <v>753895</v>
      </c>
      <c r="B217" s="21" t="s">
        <v>15</v>
      </c>
      <c r="C217" s="21" t="s">
        <v>16</v>
      </c>
      <c r="D217" s="23">
        <v>3</v>
      </c>
      <c r="E217" s="24"/>
      <c r="F217" s="21" t="s">
        <v>90</v>
      </c>
      <c r="G217" s="25" t="s">
        <v>131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5" customHeight="1">
      <c r="A218" s="22">
        <v>753896</v>
      </c>
      <c r="B218" s="21" t="s">
        <v>15</v>
      </c>
      <c r="C218" s="21" t="s">
        <v>16</v>
      </c>
      <c r="D218" s="23">
        <v>3</v>
      </c>
      <c r="E218" s="24"/>
      <c r="F218" s="21" t="s">
        <v>132</v>
      </c>
      <c r="G218" s="25" t="s">
        <v>133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5" customHeight="1">
      <c r="A219" s="22">
        <v>753897</v>
      </c>
      <c r="B219" s="21" t="s">
        <v>15</v>
      </c>
      <c r="C219" s="21" t="s">
        <v>16</v>
      </c>
      <c r="D219" s="23">
        <v>3</v>
      </c>
      <c r="E219" s="24"/>
      <c r="F219" s="21" t="s">
        <v>134</v>
      </c>
      <c r="G219" s="25" t="s">
        <v>135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5" customHeight="1">
      <c r="A220" s="22">
        <v>753901</v>
      </c>
      <c r="B220" s="21" t="s">
        <v>15</v>
      </c>
      <c r="C220" s="21" t="s">
        <v>16</v>
      </c>
      <c r="D220" s="23">
        <v>3</v>
      </c>
      <c r="E220" s="24"/>
      <c r="F220" s="21" t="s">
        <v>136</v>
      </c>
      <c r="G220" s="25" t="s">
        <v>137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5" customHeight="1">
      <c r="A221" s="22">
        <v>753902</v>
      </c>
      <c r="B221" s="21" t="s">
        <v>15</v>
      </c>
      <c r="C221" s="21" t="s">
        <v>16</v>
      </c>
      <c r="D221" s="23">
        <v>3</v>
      </c>
      <c r="E221" s="24"/>
      <c r="F221" s="21" t="s">
        <v>138</v>
      </c>
      <c r="G221" s="25" t="s">
        <v>139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5" customHeight="1">
      <c r="A222" s="22">
        <v>753903</v>
      </c>
      <c r="B222" s="21" t="s">
        <v>15</v>
      </c>
      <c r="C222" s="21" t="s">
        <v>16</v>
      </c>
      <c r="D222" s="23">
        <v>3</v>
      </c>
      <c r="E222" s="24"/>
      <c r="F222" s="21" t="s">
        <v>140</v>
      </c>
      <c r="G222" s="25" t="s">
        <v>141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5" customHeight="1">
      <c r="A223" s="22">
        <v>753904</v>
      </c>
      <c r="B223" s="21" t="s">
        <v>15</v>
      </c>
      <c r="C223" s="21" t="s">
        <v>16</v>
      </c>
      <c r="D223" s="23">
        <v>3</v>
      </c>
      <c r="E223" s="24"/>
      <c r="F223" s="21" t="s">
        <v>142</v>
      </c>
      <c r="G223" s="25" t="s">
        <v>143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5" customHeight="1">
      <c r="A224" s="22">
        <v>753905</v>
      </c>
      <c r="B224" s="21" t="s">
        <v>15</v>
      </c>
      <c r="C224" s="21" t="s">
        <v>16</v>
      </c>
      <c r="D224" s="23">
        <v>3</v>
      </c>
      <c r="E224" s="24"/>
      <c r="F224" s="21" t="s">
        <v>144</v>
      </c>
      <c r="G224" s="25" t="s">
        <v>145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5" customHeight="1">
      <c r="A225" s="22">
        <v>753909</v>
      </c>
      <c r="B225" s="21" t="s">
        <v>15</v>
      </c>
      <c r="C225" s="21" t="s">
        <v>16</v>
      </c>
      <c r="D225" s="23">
        <v>3</v>
      </c>
      <c r="E225" s="24"/>
      <c r="F225" s="21" t="s">
        <v>146</v>
      </c>
      <c r="G225" s="25" t="s">
        <v>147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5" customHeight="1">
      <c r="A226" s="22">
        <v>753910</v>
      </c>
      <c r="B226" s="21" t="s">
        <v>15</v>
      </c>
      <c r="C226" s="21" t="s">
        <v>16</v>
      </c>
      <c r="D226" s="23">
        <v>3</v>
      </c>
      <c r="E226" s="24"/>
      <c r="F226" s="21" t="s">
        <v>148</v>
      </c>
      <c r="G226" s="25" t="s">
        <v>149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5" customHeight="1">
      <c r="A227" s="22">
        <v>753911</v>
      </c>
      <c r="B227" s="21" t="s">
        <v>15</v>
      </c>
      <c r="C227" s="21" t="s">
        <v>16</v>
      </c>
      <c r="D227" s="23">
        <v>3</v>
      </c>
      <c r="E227" s="24"/>
      <c r="F227" s="21" t="s">
        <v>150</v>
      </c>
      <c r="G227" s="25" t="s">
        <v>151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5" customHeight="1">
      <c r="A228" s="22">
        <v>753912</v>
      </c>
      <c r="B228" s="21" t="s">
        <v>15</v>
      </c>
      <c r="C228" s="21" t="s">
        <v>16</v>
      </c>
      <c r="D228" s="23">
        <v>3</v>
      </c>
      <c r="E228" s="24"/>
      <c r="F228" s="21" t="s">
        <v>13</v>
      </c>
      <c r="G228" s="25" t="s">
        <v>14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5" customHeight="1">
      <c r="A229" s="22">
        <v>753913</v>
      </c>
      <c r="B229" s="21" t="s">
        <v>15</v>
      </c>
      <c r="C229" s="21" t="s">
        <v>16</v>
      </c>
      <c r="D229" s="23">
        <v>3</v>
      </c>
      <c r="E229" s="24"/>
      <c r="F229" s="21" t="s">
        <v>17</v>
      </c>
      <c r="G229" s="25" t="s">
        <v>18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5" customHeight="1">
      <c r="A230" s="22">
        <v>753931</v>
      </c>
      <c r="B230" s="21" t="s">
        <v>15</v>
      </c>
      <c r="C230" s="21" t="s">
        <v>16</v>
      </c>
      <c r="D230" s="23">
        <v>3</v>
      </c>
      <c r="E230" s="24"/>
      <c r="F230" s="21" t="s">
        <v>19</v>
      </c>
      <c r="G230" s="25" t="s">
        <v>20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5" customHeight="1">
      <c r="A231" s="22">
        <v>753920</v>
      </c>
      <c r="B231" s="21" t="s">
        <v>15</v>
      </c>
      <c r="C231" s="21" t="s">
        <v>16</v>
      </c>
      <c r="D231" s="23">
        <v>3</v>
      </c>
      <c r="E231" s="24"/>
      <c r="F231" s="21" t="s">
        <v>21</v>
      </c>
      <c r="G231" s="25" t="s">
        <v>22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5" customHeight="1">
      <c r="A232" s="22">
        <v>753919</v>
      </c>
      <c r="B232" s="21" t="s">
        <v>15</v>
      </c>
      <c r="C232" s="21" t="s">
        <v>16</v>
      </c>
      <c r="D232" s="23">
        <v>3</v>
      </c>
      <c r="E232" s="24"/>
      <c r="F232" s="21" t="s">
        <v>152</v>
      </c>
      <c r="G232" s="25" t="s">
        <v>153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5" customHeight="1">
      <c r="A233" s="22">
        <v>753917</v>
      </c>
      <c r="B233" s="21" t="s">
        <v>15</v>
      </c>
      <c r="C233" s="21" t="s">
        <v>16</v>
      </c>
      <c r="D233" s="23">
        <v>3</v>
      </c>
      <c r="E233" s="24"/>
      <c r="F233" s="21" t="s">
        <v>154</v>
      </c>
      <c r="G233" s="25" t="s">
        <v>155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5" customHeight="1">
      <c r="A234" s="22">
        <v>753918</v>
      </c>
      <c r="B234" s="21" t="s">
        <v>15</v>
      </c>
      <c r="C234" s="21" t="s">
        <v>16</v>
      </c>
      <c r="D234" s="23">
        <v>3</v>
      </c>
      <c r="E234" s="24"/>
      <c r="F234" s="21" t="s">
        <v>156</v>
      </c>
      <c r="G234" s="25" t="s">
        <v>157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5" customHeight="1">
      <c r="A235" s="22">
        <v>753926</v>
      </c>
      <c r="B235" s="21" t="s">
        <v>15</v>
      </c>
      <c r="C235" s="21" t="s">
        <v>16</v>
      </c>
      <c r="D235" s="23">
        <v>3</v>
      </c>
      <c r="E235" s="24"/>
      <c r="F235" s="21" t="s">
        <v>158</v>
      </c>
      <c r="G235" s="25" t="s">
        <v>159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5" customHeight="1">
      <c r="A236" s="22">
        <v>753927</v>
      </c>
      <c r="B236" s="21" t="s">
        <v>15</v>
      </c>
      <c r="C236" s="21" t="s">
        <v>16</v>
      </c>
      <c r="D236" s="23">
        <v>3</v>
      </c>
      <c r="E236" s="24"/>
      <c r="F236" s="21" t="s">
        <v>160</v>
      </c>
      <c r="G236" s="25" t="s">
        <v>161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5" customHeight="1">
      <c r="A237" s="22">
        <v>753930</v>
      </c>
      <c r="B237" s="21" t="s">
        <v>15</v>
      </c>
      <c r="C237" s="21" t="s">
        <v>16</v>
      </c>
      <c r="D237" s="23">
        <v>3</v>
      </c>
      <c r="E237" s="24"/>
      <c r="F237" s="21" t="s">
        <v>23</v>
      </c>
      <c r="G237" s="25" t="s">
        <v>24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5" customHeight="1">
      <c r="A238" s="22">
        <v>753928</v>
      </c>
      <c r="B238" s="21" t="s">
        <v>15</v>
      </c>
      <c r="C238" s="21" t="s">
        <v>16</v>
      </c>
      <c r="D238" s="23">
        <v>3</v>
      </c>
      <c r="E238" s="24"/>
      <c r="F238" s="21" t="s">
        <v>25</v>
      </c>
      <c r="G238" s="25" t="s">
        <v>26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5" customHeight="1">
      <c r="A239" s="22">
        <v>753929</v>
      </c>
      <c r="B239" s="21" t="s">
        <v>15</v>
      </c>
      <c r="C239" s="21" t="s">
        <v>16</v>
      </c>
      <c r="D239" s="23">
        <v>3</v>
      </c>
      <c r="E239" s="24"/>
      <c r="F239" s="21" t="s">
        <v>27</v>
      </c>
      <c r="G239" s="25" t="s">
        <v>28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5" customHeight="1">
      <c r="A240" s="22">
        <v>753921</v>
      </c>
      <c r="B240" s="21" t="s">
        <v>15</v>
      </c>
      <c r="C240" s="21" t="s">
        <v>16</v>
      </c>
      <c r="D240" s="23">
        <v>3</v>
      </c>
      <c r="E240" s="24"/>
      <c r="F240" s="21" t="s">
        <v>162</v>
      </c>
      <c r="G240" s="25" t="s">
        <v>163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5" customHeight="1">
      <c r="A241" s="22">
        <v>753922</v>
      </c>
      <c r="B241" s="21" t="s">
        <v>15</v>
      </c>
      <c r="C241" s="21" t="s">
        <v>16</v>
      </c>
      <c r="D241" s="23">
        <v>3</v>
      </c>
      <c r="E241" s="24"/>
      <c r="F241" s="21" t="s">
        <v>164</v>
      </c>
      <c r="G241" s="25" t="s">
        <v>165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5" customHeight="1">
      <c r="A242" s="22">
        <v>753925</v>
      </c>
      <c r="B242" s="21" t="s">
        <v>15</v>
      </c>
      <c r="C242" s="21" t="s">
        <v>16</v>
      </c>
      <c r="D242" s="23">
        <v>3</v>
      </c>
      <c r="E242" s="24"/>
      <c r="F242" s="21" t="s">
        <v>166</v>
      </c>
      <c r="G242" s="25" t="s">
        <v>167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5" customHeight="1">
      <c r="A243" s="22">
        <v>753923</v>
      </c>
      <c r="B243" s="21" t="s">
        <v>15</v>
      </c>
      <c r="C243" s="21" t="s">
        <v>16</v>
      </c>
      <c r="D243" s="23">
        <v>3</v>
      </c>
      <c r="E243" s="24"/>
      <c r="F243" s="21" t="s">
        <v>168</v>
      </c>
      <c r="G243" s="25" t="s">
        <v>169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5" customHeight="1">
      <c r="A244" s="22">
        <v>753924</v>
      </c>
      <c r="B244" s="21" t="s">
        <v>15</v>
      </c>
      <c r="C244" s="21" t="s">
        <v>16</v>
      </c>
      <c r="D244" s="23">
        <v>3</v>
      </c>
      <c r="E244" s="24"/>
      <c r="F244" s="21" t="s">
        <v>43</v>
      </c>
      <c r="G244" s="25" t="s">
        <v>44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5" customHeight="1">
      <c r="A245" s="22">
        <v>753717</v>
      </c>
      <c r="B245" s="21" t="s">
        <v>15</v>
      </c>
      <c r="C245" s="21" t="s">
        <v>16</v>
      </c>
      <c r="D245" s="23">
        <v>3</v>
      </c>
      <c r="E245" s="24"/>
      <c r="F245" s="21" t="s">
        <v>45</v>
      </c>
      <c r="G245" s="25" t="s">
        <v>46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5" customHeight="1">
      <c r="A246" s="22">
        <v>753718</v>
      </c>
      <c r="B246" s="21" t="s">
        <v>15</v>
      </c>
      <c r="C246" s="21" t="s">
        <v>16</v>
      </c>
      <c r="D246" s="23">
        <v>3</v>
      </c>
      <c r="E246" s="24"/>
      <c r="F246" s="21" t="s">
        <v>170</v>
      </c>
      <c r="G246" s="25" t="s">
        <v>171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5" customHeight="1">
      <c r="A247" s="22">
        <v>753709</v>
      </c>
      <c r="B247" s="21" t="s">
        <v>15</v>
      </c>
      <c r="C247" s="21" t="s">
        <v>16</v>
      </c>
      <c r="D247" s="23">
        <v>3</v>
      </c>
      <c r="E247" s="24"/>
      <c r="F247" s="21" t="s">
        <v>29</v>
      </c>
      <c r="G247" s="25" t="s">
        <v>30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5" customHeight="1">
      <c r="A248" s="22">
        <v>753710</v>
      </c>
      <c r="B248" s="21" t="s">
        <v>15</v>
      </c>
      <c r="C248" s="21" t="s">
        <v>16</v>
      </c>
      <c r="D248" s="23">
        <v>3</v>
      </c>
      <c r="E248" s="24"/>
      <c r="F248" s="21" t="s">
        <v>31</v>
      </c>
      <c r="G248" s="25" t="s">
        <v>32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5" customHeight="1">
      <c r="A249" s="22">
        <v>753719</v>
      </c>
      <c r="B249" s="21" t="s">
        <v>15</v>
      </c>
      <c r="C249" s="21" t="s">
        <v>16</v>
      </c>
      <c r="D249" s="23">
        <v>3</v>
      </c>
      <c r="E249" s="24"/>
      <c r="F249" s="21" t="s">
        <v>33</v>
      </c>
      <c r="G249" s="25" t="s">
        <v>34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5" customHeight="1">
      <c r="A250" s="22">
        <v>753711</v>
      </c>
      <c r="B250" s="21" t="s">
        <v>15</v>
      </c>
      <c r="C250" s="21" t="s">
        <v>16</v>
      </c>
      <c r="D250" s="23">
        <v>3</v>
      </c>
      <c r="E250" s="24"/>
      <c r="F250" s="21" t="s">
        <v>35</v>
      </c>
      <c r="G250" s="25" t="s">
        <v>36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5" customHeight="1">
      <c r="A251" s="22">
        <v>753720</v>
      </c>
      <c r="B251" s="21" t="s">
        <v>15</v>
      </c>
      <c r="C251" s="21" t="s">
        <v>16</v>
      </c>
      <c r="D251" s="23">
        <v>3</v>
      </c>
      <c r="E251" s="24"/>
      <c r="F251" s="21" t="s">
        <v>37</v>
      </c>
      <c r="G251" s="25" t="s">
        <v>38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5" customHeight="1">
      <c r="A252" s="22">
        <v>753721</v>
      </c>
      <c r="B252" s="21" t="s">
        <v>15</v>
      </c>
      <c r="C252" s="21" t="s">
        <v>16</v>
      </c>
      <c r="D252" s="23">
        <v>3</v>
      </c>
      <c r="E252" s="24"/>
      <c r="F252" s="21" t="s">
        <v>172</v>
      </c>
      <c r="G252" s="25" t="s">
        <v>173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5" customHeight="1">
      <c r="A253" s="22">
        <v>753713</v>
      </c>
      <c r="B253" s="21" t="s">
        <v>15</v>
      </c>
      <c r="C253" s="21" t="s">
        <v>16</v>
      </c>
      <c r="D253" s="23">
        <v>3</v>
      </c>
      <c r="E253" s="24"/>
      <c r="F253" s="21" t="s">
        <v>174</v>
      </c>
      <c r="G253" s="25" t="s">
        <v>175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5" customHeight="1">
      <c r="A254" s="22">
        <v>753712</v>
      </c>
      <c r="B254" s="21" t="s">
        <v>15</v>
      </c>
      <c r="C254" s="21" t="s">
        <v>16</v>
      </c>
      <c r="D254" s="23">
        <v>3</v>
      </c>
      <c r="E254" s="24"/>
      <c r="F254" s="21" t="s">
        <v>176</v>
      </c>
      <c r="G254" s="25" t="s">
        <v>177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5" customHeight="1">
      <c r="A255" s="22">
        <v>753725</v>
      </c>
      <c r="B255" s="21" t="s">
        <v>15</v>
      </c>
      <c r="C255" s="21" t="s">
        <v>16</v>
      </c>
      <c r="D255" s="23">
        <v>3</v>
      </c>
      <c r="E255" s="24"/>
      <c r="F255" s="21" t="s">
        <v>178</v>
      </c>
      <c r="G255" s="25" t="s">
        <v>179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5" customHeight="1">
      <c r="A256" s="22">
        <v>753733</v>
      </c>
      <c r="B256" s="21" t="s">
        <v>15</v>
      </c>
      <c r="C256" s="21" t="s">
        <v>16</v>
      </c>
      <c r="D256" s="23">
        <v>3</v>
      </c>
      <c r="E256" s="24"/>
      <c r="F256" s="21" t="s">
        <v>180</v>
      </c>
      <c r="G256" s="25" t="s">
        <v>181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5" customHeight="1">
      <c r="A257" s="22">
        <v>753726</v>
      </c>
      <c r="B257" s="21" t="s">
        <v>15</v>
      </c>
      <c r="C257" s="21" t="s">
        <v>16</v>
      </c>
      <c r="D257" s="23">
        <v>3</v>
      </c>
      <c r="E257" s="24"/>
      <c r="F257" s="21" t="s">
        <v>182</v>
      </c>
      <c r="G257" s="25" t="s">
        <v>183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5" customHeight="1">
      <c r="A258" s="22">
        <v>753727</v>
      </c>
      <c r="B258" s="21" t="s">
        <v>15</v>
      </c>
      <c r="C258" s="21" t="s">
        <v>16</v>
      </c>
      <c r="D258" s="23">
        <v>3</v>
      </c>
      <c r="E258" s="24"/>
      <c r="F258" s="21" t="s">
        <v>39</v>
      </c>
      <c r="G258" s="25" t="s">
        <v>40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5" customHeight="1">
      <c r="A259" s="22">
        <v>753728</v>
      </c>
      <c r="B259" s="21" t="s">
        <v>15</v>
      </c>
      <c r="C259" s="21" t="s">
        <v>16</v>
      </c>
      <c r="D259" s="23">
        <v>3</v>
      </c>
      <c r="E259" s="24"/>
      <c r="F259" s="21" t="s">
        <v>41</v>
      </c>
      <c r="G259" s="25" t="s">
        <v>42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5" customHeight="1">
      <c r="A260" s="22">
        <v>753734</v>
      </c>
      <c r="B260" s="21" t="s">
        <v>15</v>
      </c>
      <c r="C260" s="21" t="s">
        <v>16</v>
      </c>
      <c r="D260" s="23">
        <v>3</v>
      </c>
      <c r="E260" s="24"/>
      <c r="F260" s="21" t="s">
        <v>184</v>
      </c>
      <c r="G260" s="25" t="s">
        <v>185</v>
      </c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5" customHeight="1">
      <c r="A261" s="22">
        <v>753735</v>
      </c>
      <c r="B261" s="21" t="s">
        <v>15</v>
      </c>
      <c r="C261" s="21" t="s">
        <v>16</v>
      </c>
      <c r="D261" s="23">
        <v>3</v>
      </c>
      <c r="E261" s="24"/>
      <c r="F261" s="21" t="s">
        <v>186</v>
      </c>
      <c r="G261" s="25" t="s">
        <v>187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5" customHeight="1">
      <c r="A262" s="22">
        <v>753729</v>
      </c>
      <c r="B262" s="21" t="s">
        <v>15</v>
      </c>
      <c r="C262" s="21" t="s">
        <v>16</v>
      </c>
      <c r="D262" s="23">
        <v>3</v>
      </c>
      <c r="E262" s="24"/>
      <c r="F262" s="21" t="s">
        <v>188</v>
      </c>
      <c r="G262" s="25" t="s">
        <v>189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5" customHeight="1">
      <c r="A263" s="22">
        <v>753736</v>
      </c>
      <c r="B263" s="21" t="s">
        <v>15</v>
      </c>
      <c r="C263" s="21" t="s">
        <v>16</v>
      </c>
      <c r="D263" s="23">
        <v>3</v>
      </c>
      <c r="E263" s="24"/>
      <c r="F263" s="21" t="s">
        <v>190</v>
      </c>
      <c r="G263" s="25" t="s">
        <v>191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5" customHeight="1">
      <c r="A264" s="22">
        <v>753737</v>
      </c>
      <c r="B264" s="21" t="s">
        <v>15</v>
      </c>
      <c r="C264" s="21" t="s">
        <v>16</v>
      </c>
      <c r="D264" s="23">
        <v>3</v>
      </c>
      <c r="E264" s="24"/>
      <c r="F264" s="21" t="s">
        <v>192</v>
      </c>
      <c r="G264" s="25" t="s">
        <v>193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5" customHeight="1">
      <c r="A265" s="22">
        <v>753714</v>
      </c>
      <c r="B265" s="21" t="s">
        <v>15</v>
      </c>
      <c r="C265" s="21" t="s">
        <v>16</v>
      </c>
      <c r="D265" s="23">
        <v>3</v>
      </c>
      <c r="E265" s="24"/>
      <c r="F265" s="21" t="s">
        <v>194</v>
      </c>
      <c r="G265" s="25" t="s">
        <v>195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5" customHeight="1">
      <c r="A266" s="22">
        <v>753715</v>
      </c>
      <c r="B266" s="21" t="s">
        <v>15</v>
      </c>
      <c r="C266" s="21" t="s">
        <v>16</v>
      </c>
      <c r="D266" s="23">
        <v>3</v>
      </c>
      <c r="E266" s="24"/>
      <c r="F266" s="21" t="s">
        <v>196</v>
      </c>
      <c r="G266" s="25" t="s">
        <v>197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5" customHeight="1">
      <c r="A267" s="22">
        <v>753722</v>
      </c>
      <c r="B267" s="21" t="s">
        <v>15</v>
      </c>
      <c r="C267" s="21" t="s">
        <v>16</v>
      </c>
      <c r="D267" s="23">
        <v>3</v>
      </c>
      <c r="E267" s="24"/>
      <c r="F267" s="21" t="s">
        <v>198</v>
      </c>
      <c r="G267" s="25" t="s">
        <v>199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5" customHeight="1">
      <c r="A268" s="22">
        <v>753723</v>
      </c>
      <c r="B268" s="21" t="s">
        <v>15</v>
      </c>
      <c r="C268" s="21" t="s">
        <v>16</v>
      </c>
      <c r="D268" s="23">
        <v>3</v>
      </c>
      <c r="E268" s="24"/>
      <c r="F268" s="21" t="s">
        <v>200</v>
      </c>
      <c r="G268" s="25" t="s">
        <v>201</v>
      </c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5" customHeight="1">
      <c r="A269" s="22">
        <v>753716</v>
      </c>
      <c r="B269" s="21" t="s">
        <v>15</v>
      </c>
      <c r="C269" s="21" t="s">
        <v>16</v>
      </c>
      <c r="D269" s="23">
        <v>3</v>
      </c>
      <c r="E269" s="24"/>
      <c r="F269" s="21" t="s">
        <v>202</v>
      </c>
      <c r="G269" s="25" t="s">
        <v>203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5" customHeight="1">
      <c r="A270" s="22">
        <v>753724</v>
      </c>
      <c r="B270" s="21" t="s">
        <v>15</v>
      </c>
      <c r="C270" s="21" t="s">
        <v>16</v>
      </c>
      <c r="D270" s="23">
        <v>3</v>
      </c>
      <c r="E270" s="24"/>
      <c r="F270" s="21" t="s">
        <v>204</v>
      </c>
      <c r="G270" s="25" t="s">
        <v>205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5" customHeight="1">
      <c r="A271" s="22">
        <v>753740</v>
      </c>
      <c r="B271" s="21" t="s">
        <v>15</v>
      </c>
      <c r="C271" s="21" t="s">
        <v>16</v>
      </c>
      <c r="D271" s="23">
        <v>3</v>
      </c>
      <c r="E271" s="24"/>
      <c r="F271" s="21" t="s">
        <v>206</v>
      </c>
      <c r="G271" s="25" t="s">
        <v>207</v>
      </c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5" customHeight="1">
      <c r="A272" s="22">
        <v>753739</v>
      </c>
      <c r="B272" s="21" t="s">
        <v>15</v>
      </c>
      <c r="C272" s="21" t="s">
        <v>16</v>
      </c>
      <c r="D272" s="23">
        <v>3</v>
      </c>
      <c r="E272" s="24"/>
      <c r="F272" s="21" t="s">
        <v>91</v>
      </c>
      <c r="G272" s="25" t="s">
        <v>208</v>
      </c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5" customHeight="1">
      <c r="A273" s="22">
        <v>753738</v>
      </c>
      <c r="B273" s="21" t="s">
        <v>15</v>
      </c>
      <c r="C273" s="21" t="s">
        <v>16</v>
      </c>
      <c r="D273" s="23">
        <v>3</v>
      </c>
      <c r="E273" s="24"/>
      <c r="F273" s="21" t="s">
        <v>92</v>
      </c>
      <c r="G273" s="25" t="s">
        <v>209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5" customHeight="1">
      <c r="A274" s="22">
        <v>753730</v>
      </c>
      <c r="B274" s="21" t="s">
        <v>15</v>
      </c>
      <c r="C274" s="21" t="s">
        <v>16</v>
      </c>
      <c r="D274" s="23">
        <v>3</v>
      </c>
      <c r="E274" s="24"/>
      <c r="F274" s="21" t="s">
        <v>93</v>
      </c>
      <c r="G274" s="25" t="s">
        <v>210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5" customHeight="1">
      <c r="A275" s="22">
        <v>753731</v>
      </c>
      <c r="B275" s="21" t="s">
        <v>15</v>
      </c>
      <c r="C275" s="21" t="s">
        <v>16</v>
      </c>
      <c r="D275" s="23">
        <v>3</v>
      </c>
      <c r="E275" s="24"/>
      <c r="F275" s="21" t="s">
        <v>94</v>
      </c>
      <c r="G275" s="25" t="s">
        <v>211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5" customHeight="1">
      <c r="A276" s="22">
        <v>753732</v>
      </c>
      <c r="B276" s="21" t="s">
        <v>15</v>
      </c>
      <c r="C276" s="21" t="s">
        <v>16</v>
      </c>
      <c r="D276" s="23">
        <v>3</v>
      </c>
      <c r="E276" s="24"/>
      <c r="F276" s="21" t="s">
        <v>49</v>
      </c>
      <c r="G276" s="25" t="s">
        <v>50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5" customHeight="1">
      <c r="A277" s="22">
        <v>753741</v>
      </c>
      <c r="B277" s="21" t="s">
        <v>15</v>
      </c>
      <c r="C277" s="21" t="s">
        <v>16</v>
      </c>
      <c r="D277" s="23">
        <v>3</v>
      </c>
      <c r="E277" s="24"/>
      <c r="F277" s="21" t="s">
        <v>51</v>
      </c>
      <c r="G277" s="25" t="s">
        <v>52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5" customHeight="1">
      <c r="A278" s="22">
        <v>753749</v>
      </c>
      <c r="B278" s="21" t="s">
        <v>15</v>
      </c>
      <c r="C278" s="21" t="s">
        <v>16</v>
      </c>
      <c r="D278" s="23">
        <v>3</v>
      </c>
      <c r="E278" s="24"/>
      <c r="F278" s="21" t="s">
        <v>95</v>
      </c>
      <c r="G278" s="25" t="s">
        <v>212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5" customHeight="1">
      <c r="A279" s="22">
        <v>753742</v>
      </c>
      <c r="B279" s="21" t="s">
        <v>15</v>
      </c>
      <c r="C279" s="21" t="s">
        <v>16</v>
      </c>
      <c r="D279" s="23">
        <v>3</v>
      </c>
      <c r="E279" s="24"/>
      <c r="F279" s="21" t="s">
        <v>53</v>
      </c>
      <c r="G279" s="25" t="s">
        <v>54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5" customHeight="1">
      <c r="A280" s="22">
        <v>753750</v>
      </c>
      <c r="B280" s="21" t="s">
        <v>15</v>
      </c>
      <c r="C280" s="21" t="s">
        <v>16</v>
      </c>
      <c r="D280" s="23">
        <v>3</v>
      </c>
      <c r="E280" s="24"/>
      <c r="F280" s="21" t="s">
        <v>55</v>
      </c>
      <c r="G280" s="25" t="s">
        <v>56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5" customHeight="1">
      <c r="A281" s="22">
        <v>753751</v>
      </c>
      <c r="B281" s="21" t="s">
        <v>15</v>
      </c>
      <c r="C281" s="21" t="s">
        <v>16</v>
      </c>
      <c r="D281" s="23">
        <v>3</v>
      </c>
      <c r="E281" s="24"/>
      <c r="F281" s="21" t="s">
        <v>57</v>
      </c>
      <c r="G281" s="25" t="s">
        <v>58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5" customHeight="1">
      <c r="A282" s="22">
        <v>753743</v>
      </c>
      <c r="B282" s="21" t="s">
        <v>15</v>
      </c>
      <c r="C282" s="21" t="s">
        <v>16</v>
      </c>
      <c r="D282" s="23">
        <v>3</v>
      </c>
      <c r="E282" s="24"/>
      <c r="F282" s="21" t="s">
        <v>59</v>
      </c>
      <c r="G282" s="25" t="s">
        <v>60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5" customHeight="1">
      <c r="A283" s="22">
        <v>753744</v>
      </c>
      <c r="B283" s="21" t="s">
        <v>15</v>
      </c>
      <c r="C283" s="21" t="s">
        <v>16</v>
      </c>
      <c r="D283" s="23">
        <v>3</v>
      </c>
      <c r="E283" s="24"/>
      <c r="F283" s="21" t="s">
        <v>61</v>
      </c>
      <c r="G283" s="25" t="s">
        <v>62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5" customHeight="1">
      <c r="A284" s="22">
        <v>753752</v>
      </c>
      <c r="B284" s="21" t="s">
        <v>15</v>
      </c>
      <c r="C284" s="21" t="s">
        <v>16</v>
      </c>
      <c r="D284" s="23">
        <v>3</v>
      </c>
      <c r="E284" s="24"/>
      <c r="F284" s="21" t="s">
        <v>63</v>
      </c>
      <c r="G284" s="25" t="s">
        <v>64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5" customHeight="1">
      <c r="A285" s="22">
        <v>753745</v>
      </c>
      <c r="B285" s="21" t="s">
        <v>15</v>
      </c>
      <c r="C285" s="21" t="s">
        <v>16</v>
      </c>
      <c r="D285" s="23">
        <v>3</v>
      </c>
      <c r="E285" s="24"/>
      <c r="F285" s="21" t="s">
        <v>65</v>
      </c>
      <c r="G285" s="25" t="s">
        <v>66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5" customHeight="1">
      <c r="A286" s="22">
        <v>753753</v>
      </c>
      <c r="B286" s="21" t="s">
        <v>15</v>
      </c>
      <c r="C286" s="21" t="s">
        <v>16</v>
      </c>
      <c r="D286" s="23">
        <v>3</v>
      </c>
      <c r="E286" s="24"/>
      <c r="F286" s="21" t="s">
        <v>67</v>
      </c>
      <c r="G286" s="25" t="s">
        <v>68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5" customHeight="1">
      <c r="A287" s="22">
        <v>753764</v>
      </c>
      <c r="B287" s="21" t="s">
        <v>15</v>
      </c>
      <c r="C287" s="21" t="s">
        <v>16</v>
      </c>
      <c r="D287" s="23">
        <v>3</v>
      </c>
      <c r="E287" s="24"/>
      <c r="F287" s="21" t="s">
        <v>96</v>
      </c>
      <c r="G287" s="25" t="s">
        <v>213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5" customHeight="1">
      <c r="A288" s="22">
        <v>753763</v>
      </c>
      <c r="B288" s="21" t="s">
        <v>15</v>
      </c>
      <c r="C288" s="21" t="s">
        <v>16</v>
      </c>
      <c r="D288" s="23">
        <v>3</v>
      </c>
      <c r="E288" s="24"/>
      <c r="F288" s="21" t="s">
        <v>97</v>
      </c>
      <c r="G288" s="25" t="s">
        <v>214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5" customHeight="1">
      <c r="A289" s="22">
        <v>753762</v>
      </c>
      <c r="B289" s="21" t="s">
        <v>15</v>
      </c>
      <c r="C289" s="21" t="s">
        <v>16</v>
      </c>
      <c r="D289" s="23">
        <v>3</v>
      </c>
      <c r="E289" s="24"/>
      <c r="F289" s="21" t="s">
        <v>47</v>
      </c>
      <c r="G289" s="25" t="s">
        <v>48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5" customHeight="1">
      <c r="A290" s="22">
        <v>753746</v>
      </c>
      <c r="B290" s="21" t="s">
        <v>15</v>
      </c>
      <c r="C290" s="21" t="s">
        <v>16</v>
      </c>
      <c r="D290" s="23">
        <v>4</v>
      </c>
      <c r="E290" s="24"/>
      <c r="F290" s="21" t="s">
        <v>100</v>
      </c>
      <c r="G290" s="25" t="s">
        <v>101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5" customHeight="1">
      <c r="A291" s="22">
        <v>753747</v>
      </c>
      <c r="B291" s="21" t="s">
        <v>15</v>
      </c>
      <c r="C291" s="21" t="s">
        <v>16</v>
      </c>
      <c r="D291" s="23">
        <v>4</v>
      </c>
      <c r="E291" s="24"/>
      <c r="F291" s="21" t="s">
        <v>102</v>
      </c>
      <c r="G291" s="25" t="s">
        <v>103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5" customHeight="1">
      <c r="A292" s="22">
        <v>753748</v>
      </c>
      <c r="B292" s="21" t="s">
        <v>15</v>
      </c>
      <c r="C292" s="21" t="s">
        <v>16</v>
      </c>
      <c r="D292" s="23">
        <v>4</v>
      </c>
      <c r="E292" s="24"/>
      <c r="F292" s="21" t="s">
        <v>104</v>
      </c>
      <c r="G292" s="25" t="s">
        <v>105</v>
      </c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5" customHeight="1">
      <c r="A293" s="22">
        <v>753756</v>
      </c>
      <c r="B293" s="21" t="s">
        <v>15</v>
      </c>
      <c r="C293" s="21" t="s">
        <v>16</v>
      </c>
      <c r="D293" s="23">
        <v>4</v>
      </c>
      <c r="E293" s="24"/>
      <c r="F293" s="21" t="s">
        <v>69</v>
      </c>
      <c r="G293" s="25" t="s">
        <v>106</v>
      </c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5" customHeight="1">
      <c r="A294" s="22">
        <v>753754</v>
      </c>
      <c r="B294" s="21" t="s">
        <v>15</v>
      </c>
      <c r="C294" s="21" t="s">
        <v>16</v>
      </c>
      <c r="D294" s="23">
        <v>4</v>
      </c>
      <c r="E294" s="24"/>
      <c r="F294" s="21" t="s">
        <v>71</v>
      </c>
      <c r="G294" s="25" t="s">
        <v>107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5" customHeight="1">
      <c r="A295" s="22">
        <v>753755</v>
      </c>
      <c r="B295" s="21" t="s">
        <v>15</v>
      </c>
      <c r="C295" s="21" t="s">
        <v>16</v>
      </c>
      <c r="D295" s="23">
        <v>4</v>
      </c>
      <c r="E295" s="24"/>
      <c r="F295" s="21" t="s">
        <v>73</v>
      </c>
      <c r="G295" s="25" t="s">
        <v>108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5" customHeight="1">
      <c r="A296" s="22">
        <v>753757</v>
      </c>
      <c r="B296" s="21" t="s">
        <v>15</v>
      </c>
      <c r="C296" s="21" t="s">
        <v>16</v>
      </c>
      <c r="D296" s="23">
        <v>4</v>
      </c>
      <c r="E296" s="24"/>
      <c r="F296" s="21" t="s">
        <v>75</v>
      </c>
      <c r="G296" s="25" t="s">
        <v>109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5" customHeight="1">
      <c r="A297" s="22">
        <v>753765</v>
      </c>
      <c r="B297" s="21" t="s">
        <v>15</v>
      </c>
      <c r="C297" s="21" t="s">
        <v>16</v>
      </c>
      <c r="D297" s="23">
        <v>4</v>
      </c>
      <c r="E297" s="24"/>
      <c r="F297" s="21" t="s">
        <v>77</v>
      </c>
      <c r="G297" s="25" t="s">
        <v>110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5" customHeight="1">
      <c r="A298" s="22">
        <v>753758</v>
      </c>
      <c r="B298" s="21" t="s">
        <v>15</v>
      </c>
      <c r="C298" s="21" t="s">
        <v>16</v>
      </c>
      <c r="D298" s="23">
        <v>4</v>
      </c>
      <c r="E298" s="24"/>
      <c r="F298" s="21" t="s">
        <v>79</v>
      </c>
      <c r="G298" s="25" t="s">
        <v>111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5" customHeight="1">
      <c r="A299" s="22">
        <v>753759</v>
      </c>
      <c r="B299" s="21" t="s">
        <v>15</v>
      </c>
      <c r="C299" s="21" t="s">
        <v>16</v>
      </c>
      <c r="D299" s="23">
        <v>4</v>
      </c>
      <c r="E299" s="24"/>
      <c r="F299" s="21" t="s">
        <v>81</v>
      </c>
      <c r="G299" s="25" t="s">
        <v>112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5" customHeight="1">
      <c r="A300" s="22">
        <v>753766</v>
      </c>
      <c r="B300" s="21" t="s">
        <v>15</v>
      </c>
      <c r="C300" s="21" t="s">
        <v>16</v>
      </c>
      <c r="D300" s="23">
        <v>4</v>
      </c>
      <c r="E300" s="24"/>
      <c r="F300" s="21" t="s">
        <v>82</v>
      </c>
      <c r="G300" s="25" t="s">
        <v>113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5" customHeight="1">
      <c r="A301" s="22">
        <v>753767</v>
      </c>
      <c r="B301" s="21" t="s">
        <v>15</v>
      </c>
      <c r="C301" s="21" t="s">
        <v>16</v>
      </c>
      <c r="D301" s="23">
        <v>4</v>
      </c>
      <c r="E301" s="24"/>
      <c r="F301" s="21" t="s">
        <v>83</v>
      </c>
      <c r="G301" s="25" t="s">
        <v>114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5" customHeight="1">
      <c r="A302" s="22">
        <v>753760</v>
      </c>
      <c r="B302" s="21" t="s">
        <v>15</v>
      </c>
      <c r="C302" s="21" t="s">
        <v>16</v>
      </c>
      <c r="D302" s="23">
        <v>4</v>
      </c>
      <c r="E302" s="24"/>
      <c r="F302" s="21" t="s">
        <v>84</v>
      </c>
      <c r="G302" s="25" t="s">
        <v>115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5" customHeight="1">
      <c r="A303" s="22">
        <v>753761</v>
      </c>
      <c r="B303" s="21" t="s">
        <v>15</v>
      </c>
      <c r="C303" s="21" t="s">
        <v>16</v>
      </c>
      <c r="D303" s="23">
        <v>4</v>
      </c>
      <c r="E303" s="24"/>
      <c r="F303" s="21" t="s">
        <v>85</v>
      </c>
      <c r="G303" s="25" t="s">
        <v>116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5" customHeight="1">
      <c r="A304" s="22">
        <v>753768</v>
      </c>
      <c r="B304" s="21" t="s">
        <v>15</v>
      </c>
      <c r="C304" s="21" t="s">
        <v>16</v>
      </c>
      <c r="D304" s="23">
        <v>4</v>
      </c>
      <c r="E304" s="24"/>
      <c r="F304" s="21" t="s">
        <v>117</v>
      </c>
      <c r="G304" s="25" t="s">
        <v>118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5" customHeight="1">
      <c r="A305" s="22">
        <v>753769</v>
      </c>
      <c r="B305" s="21" t="s">
        <v>15</v>
      </c>
      <c r="C305" s="21" t="s">
        <v>16</v>
      </c>
      <c r="D305" s="23">
        <v>4</v>
      </c>
      <c r="E305" s="24"/>
      <c r="F305" s="21" t="s">
        <v>119</v>
      </c>
      <c r="G305" s="25" t="s">
        <v>120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5" customHeight="1">
      <c r="A306" s="22">
        <v>753770</v>
      </c>
      <c r="B306" s="21" t="s">
        <v>15</v>
      </c>
      <c r="C306" s="21" t="s">
        <v>16</v>
      </c>
      <c r="D306" s="23">
        <v>4</v>
      </c>
      <c r="E306" s="24"/>
      <c r="F306" s="21" t="s">
        <v>121</v>
      </c>
      <c r="G306" s="25" t="s">
        <v>122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5" customHeight="1">
      <c r="A307" s="22">
        <v>753771</v>
      </c>
      <c r="B307" s="21" t="s">
        <v>15</v>
      </c>
      <c r="C307" s="21" t="s">
        <v>16</v>
      </c>
      <c r="D307" s="23">
        <v>4</v>
      </c>
      <c r="E307" s="24"/>
      <c r="F307" s="21" t="s">
        <v>123</v>
      </c>
      <c r="G307" s="25" t="s">
        <v>124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5" customHeight="1">
      <c r="A308" s="22">
        <v>753772</v>
      </c>
      <c r="B308" s="21" t="s">
        <v>15</v>
      </c>
      <c r="C308" s="21" t="s">
        <v>16</v>
      </c>
      <c r="D308" s="23">
        <v>4</v>
      </c>
      <c r="E308" s="24"/>
      <c r="F308" s="21" t="s">
        <v>125</v>
      </c>
      <c r="G308" s="25" t="s">
        <v>126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5" customHeight="1">
      <c r="A309" s="22">
        <v>753778</v>
      </c>
      <c r="B309" s="21" t="s">
        <v>15</v>
      </c>
      <c r="C309" s="21" t="s">
        <v>16</v>
      </c>
      <c r="D309" s="23">
        <v>4</v>
      </c>
      <c r="E309" s="24"/>
      <c r="F309" s="21" t="s">
        <v>86</v>
      </c>
      <c r="G309" s="25" t="s">
        <v>127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5" customHeight="1">
      <c r="A310" s="22">
        <v>753779</v>
      </c>
      <c r="B310" s="21" t="s">
        <v>15</v>
      </c>
      <c r="C310" s="21" t="s">
        <v>16</v>
      </c>
      <c r="D310" s="23">
        <v>4</v>
      </c>
      <c r="E310" s="24"/>
      <c r="F310" s="21" t="s">
        <v>87</v>
      </c>
      <c r="G310" s="25" t="s">
        <v>128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5" customHeight="1">
      <c r="A311" s="22">
        <v>753773</v>
      </c>
      <c r="B311" s="21" t="s">
        <v>15</v>
      </c>
      <c r="C311" s="21" t="s">
        <v>16</v>
      </c>
      <c r="D311" s="23">
        <v>4</v>
      </c>
      <c r="E311" s="24"/>
      <c r="F311" s="21" t="s">
        <v>88</v>
      </c>
      <c r="G311" s="25" t="s">
        <v>129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5" customHeight="1">
      <c r="A312" s="22">
        <v>753774</v>
      </c>
      <c r="B312" s="21" t="s">
        <v>15</v>
      </c>
      <c r="C312" s="21" t="s">
        <v>16</v>
      </c>
      <c r="D312" s="23">
        <v>4</v>
      </c>
      <c r="E312" s="24"/>
      <c r="F312" s="21" t="s">
        <v>89</v>
      </c>
      <c r="G312" s="25" t="s">
        <v>130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5" customHeight="1">
      <c r="A313" s="22">
        <v>753775</v>
      </c>
      <c r="B313" s="21" t="s">
        <v>15</v>
      </c>
      <c r="C313" s="21" t="s">
        <v>16</v>
      </c>
      <c r="D313" s="23">
        <v>4</v>
      </c>
      <c r="E313" s="24"/>
      <c r="F313" s="21" t="s">
        <v>90</v>
      </c>
      <c r="G313" s="25" t="s">
        <v>131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5" customHeight="1">
      <c r="A314" s="22">
        <v>753776</v>
      </c>
      <c r="B314" s="21" t="s">
        <v>15</v>
      </c>
      <c r="C314" s="21" t="s">
        <v>16</v>
      </c>
      <c r="D314" s="23">
        <v>4</v>
      </c>
      <c r="E314" s="24"/>
      <c r="F314" s="21" t="s">
        <v>132</v>
      </c>
      <c r="G314" s="25" t="s">
        <v>133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5" customHeight="1">
      <c r="A315" s="22">
        <v>753777</v>
      </c>
      <c r="B315" s="21" t="s">
        <v>15</v>
      </c>
      <c r="C315" s="21" t="s">
        <v>16</v>
      </c>
      <c r="D315" s="23">
        <v>4</v>
      </c>
      <c r="E315" s="24"/>
      <c r="F315" s="21" t="s">
        <v>134</v>
      </c>
      <c r="G315" s="25" t="s">
        <v>135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5" customHeight="1">
      <c r="A316" s="22">
        <v>753932</v>
      </c>
      <c r="B316" s="21" t="s">
        <v>15</v>
      </c>
      <c r="C316" s="21" t="s">
        <v>16</v>
      </c>
      <c r="D316" s="23">
        <v>4</v>
      </c>
      <c r="E316" s="24"/>
      <c r="F316" s="21" t="s">
        <v>136</v>
      </c>
      <c r="G316" s="25" t="s">
        <v>137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5" customHeight="1">
      <c r="A317" s="22">
        <v>753933</v>
      </c>
      <c r="B317" s="21" t="s">
        <v>15</v>
      </c>
      <c r="C317" s="21" t="s">
        <v>16</v>
      </c>
      <c r="D317" s="23">
        <v>4</v>
      </c>
      <c r="E317" s="24"/>
      <c r="F317" s="21" t="s">
        <v>138</v>
      </c>
      <c r="G317" s="25" t="s">
        <v>139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5" customHeight="1">
      <c r="A318" s="22">
        <v>753934</v>
      </c>
      <c r="B318" s="21" t="s">
        <v>15</v>
      </c>
      <c r="C318" s="21" t="s">
        <v>16</v>
      </c>
      <c r="D318" s="23">
        <v>4</v>
      </c>
      <c r="E318" s="24"/>
      <c r="F318" s="21" t="s">
        <v>140</v>
      </c>
      <c r="G318" s="25" t="s">
        <v>141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5" customHeight="1">
      <c r="A319" s="22">
        <v>753935</v>
      </c>
      <c r="B319" s="21" t="s">
        <v>15</v>
      </c>
      <c r="C319" s="21" t="s">
        <v>16</v>
      </c>
      <c r="D319" s="23">
        <v>4</v>
      </c>
      <c r="E319" s="24"/>
      <c r="F319" s="21" t="s">
        <v>142</v>
      </c>
      <c r="G319" s="25" t="s">
        <v>143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5" customHeight="1">
      <c r="A320" s="22">
        <v>753936</v>
      </c>
      <c r="B320" s="21" t="s">
        <v>15</v>
      </c>
      <c r="C320" s="21" t="s">
        <v>16</v>
      </c>
      <c r="D320" s="23">
        <v>4</v>
      </c>
      <c r="E320" s="24"/>
      <c r="F320" s="21" t="s">
        <v>144</v>
      </c>
      <c r="G320" s="25" t="s">
        <v>145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5" customHeight="1">
      <c r="A321" s="22">
        <v>753940</v>
      </c>
      <c r="B321" s="21" t="s">
        <v>15</v>
      </c>
      <c r="C321" s="21" t="s">
        <v>16</v>
      </c>
      <c r="D321" s="23">
        <v>4</v>
      </c>
      <c r="E321" s="24"/>
      <c r="F321" s="21" t="s">
        <v>146</v>
      </c>
      <c r="G321" s="25" t="s">
        <v>147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5" customHeight="1">
      <c r="A322" s="22">
        <v>753941</v>
      </c>
      <c r="B322" s="21" t="s">
        <v>15</v>
      </c>
      <c r="C322" s="21" t="s">
        <v>16</v>
      </c>
      <c r="D322" s="23">
        <v>4</v>
      </c>
      <c r="E322" s="24"/>
      <c r="F322" s="21" t="s">
        <v>148</v>
      </c>
      <c r="G322" s="25" t="s">
        <v>149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5" customHeight="1">
      <c r="A323" s="22">
        <v>753942</v>
      </c>
      <c r="B323" s="21" t="s">
        <v>15</v>
      </c>
      <c r="C323" s="21" t="s">
        <v>16</v>
      </c>
      <c r="D323" s="23">
        <v>4</v>
      </c>
      <c r="E323" s="24"/>
      <c r="F323" s="21" t="s">
        <v>150</v>
      </c>
      <c r="G323" s="25" t="s">
        <v>151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5" customHeight="1">
      <c r="A324" s="22">
        <v>753943</v>
      </c>
      <c r="B324" s="21" t="s">
        <v>15</v>
      </c>
      <c r="C324" s="21" t="s">
        <v>16</v>
      </c>
      <c r="D324" s="23">
        <v>4</v>
      </c>
      <c r="E324" s="24"/>
      <c r="F324" s="21" t="s">
        <v>13</v>
      </c>
      <c r="G324" s="25" t="s">
        <v>14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5" customHeight="1">
      <c r="A325" s="22">
        <v>753944</v>
      </c>
      <c r="B325" s="21" t="s">
        <v>15</v>
      </c>
      <c r="C325" s="21" t="s">
        <v>16</v>
      </c>
      <c r="D325" s="23">
        <v>4</v>
      </c>
      <c r="E325" s="24"/>
      <c r="F325" s="21" t="s">
        <v>17</v>
      </c>
      <c r="G325" s="25" t="s">
        <v>18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5" customHeight="1">
      <c r="A326" s="22">
        <v>753961</v>
      </c>
      <c r="B326" s="21" t="s">
        <v>15</v>
      </c>
      <c r="C326" s="21" t="s">
        <v>16</v>
      </c>
      <c r="D326" s="23">
        <v>4</v>
      </c>
      <c r="E326" s="24"/>
      <c r="F326" s="21" t="s">
        <v>19</v>
      </c>
      <c r="G326" s="25" t="s">
        <v>20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5" customHeight="1">
      <c r="A327" s="22">
        <v>753955</v>
      </c>
      <c r="B327" s="21" t="s">
        <v>15</v>
      </c>
      <c r="C327" s="21" t="s">
        <v>16</v>
      </c>
      <c r="D327" s="23">
        <v>4</v>
      </c>
      <c r="E327" s="24"/>
      <c r="F327" s="21" t="s">
        <v>21</v>
      </c>
      <c r="G327" s="25" t="s">
        <v>22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5" customHeight="1">
      <c r="A328" s="22">
        <v>753953</v>
      </c>
      <c r="B328" s="21" t="s">
        <v>15</v>
      </c>
      <c r="C328" s="21" t="s">
        <v>16</v>
      </c>
      <c r="D328" s="23">
        <v>4</v>
      </c>
      <c r="E328" s="24"/>
      <c r="F328" s="21" t="s">
        <v>152</v>
      </c>
      <c r="G328" s="25" t="s">
        <v>153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5" customHeight="1">
      <c r="A329" s="22">
        <v>753954</v>
      </c>
      <c r="B329" s="21" t="s">
        <v>15</v>
      </c>
      <c r="C329" s="21" t="s">
        <v>16</v>
      </c>
      <c r="D329" s="23">
        <v>4</v>
      </c>
      <c r="E329" s="24"/>
      <c r="F329" s="21" t="s">
        <v>154</v>
      </c>
      <c r="G329" s="25" t="s">
        <v>155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5" customHeight="1">
      <c r="A330" s="22">
        <v>753939</v>
      </c>
      <c r="B330" s="21" t="s">
        <v>15</v>
      </c>
      <c r="C330" s="21" t="s">
        <v>16</v>
      </c>
      <c r="D330" s="23">
        <v>4</v>
      </c>
      <c r="E330" s="24"/>
      <c r="F330" s="21" t="s">
        <v>156</v>
      </c>
      <c r="G330" s="25" t="s">
        <v>157</v>
      </c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5" customHeight="1">
      <c r="A331" s="22">
        <v>753938</v>
      </c>
      <c r="B331" s="21" t="s">
        <v>15</v>
      </c>
      <c r="C331" s="21" t="s">
        <v>16</v>
      </c>
      <c r="D331" s="23">
        <v>4</v>
      </c>
      <c r="E331" s="24"/>
      <c r="F331" s="21" t="s">
        <v>158</v>
      </c>
      <c r="G331" s="25" t="s">
        <v>159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5" customHeight="1">
      <c r="A332" s="22">
        <v>753937</v>
      </c>
      <c r="B332" s="21" t="s">
        <v>15</v>
      </c>
      <c r="C332" s="21" t="s">
        <v>16</v>
      </c>
      <c r="D332" s="23">
        <v>4</v>
      </c>
      <c r="E332" s="24"/>
      <c r="F332" s="21" t="s">
        <v>160</v>
      </c>
      <c r="G332" s="25" t="s">
        <v>161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5" customHeight="1">
      <c r="A333" s="22">
        <v>753945</v>
      </c>
      <c r="B333" s="21" t="s">
        <v>15</v>
      </c>
      <c r="C333" s="21" t="s">
        <v>16</v>
      </c>
      <c r="D333" s="23">
        <v>4</v>
      </c>
      <c r="E333" s="24"/>
      <c r="F333" s="21" t="s">
        <v>23</v>
      </c>
      <c r="G333" s="25" t="s">
        <v>24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5" customHeight="1">
      <c r="A334" s="22">
        <v>753946</v>
      </c>
      <c r="B334" s="21" t="s">
        <v>15</v>
      </c>
      <c r="C334" s="21" t="s">
        <v>16</v>
      </c>
      <c r="D334" s="23">
        <v>4</v>
      </c>
      <c r="E334" s="24"/>
      <c r="F334" s="21" t="s">
        <v>25</v>
      </c>
      <c r="G334" s="25" t="s">
        <v>26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5" customHeight="1">
      <c r="A335" s="22">
        <v>753947</v>
      </c>
      <c r="B335" s="21" t="s">
        <v>15</v>
      </c>
      <c r="C335" s="21" t="s">
        <v>16</v>
      </c>
      <c r="D335" s="23">
        <v>4</v>
      </c>
      <c r="E335" s="24"/>
      <c r="F335" s="21" t="s">
        <v>27</v>
      </c>
      <c r="G335" s="25" t="s">
        <v>28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5" customHeight="1">
      <c r="A336" s="22">
        <v>753948</v>
      </c>
      <c r="B336" s="21" t="s">
        <v>15</v>
      </c>
      <c r="C336" s="21" t="s">
        <v>16</v>
      </c>
      <c r="D336" s="23">
        <v>4</v>
      </c>
      <c r="E336" s="24"/>
      <c r="F336" s="21" t="s">
        <v>162</v>
      </c>
      <c r="G336" s="25" t="s">
        <v>163</v>
      </c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5" customHeight="1">
      <c r="A337" s="22">
        <v>753949</v>
      </c>
      <c r="B337" s="21" t="s">
        <v>15</v>
      </c>
      <c r="C337" s="21" t="s">
        <v>16</v>
      </c>
      <c r="D337" s="23">
        <v>4</v>
      </c>
      <c r="E337" s="24"/>
      <c r="F337" s="21" t="s">
        <v>164</v>
      </c>
      <c r="G337" s="25" t="s">
        <v>165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5" customHeight="1">
      <c r="A338" s="22">
        <v>753950</v>
      </c>
      <c r="B338" s="21" t="s">
        <v>15</v>
      </c>
      <c r="C338" s="21" t="s">
        <v>16</v>
      </c>
      <c r="D338" s="23">
        <v>4</v>
      </c>
      <c r="E338" s="24"/>
      <c r="F338" s="21" t="s">
        <v>166</v>
      </c>
      <c r="G338" s="25" t="s">
        <v>167</v>
      </c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5" customHeight="1">
      <c r="A339" s="22">
        <v>753956</v>
      </c>
      <c r="B339" s="21" t="s">
        <v>15</v>
      </c>
      <c r="C339" s="21" t="s">
        <v>16</v>
      </c>
      <c r="D339" s="23">
        <v>4</v>
      </c>
      <c r="E339" s="24"/>
      <c r="F339" s="21" t="s">
        <v>168</v>
      </c>
      <c r="G339" s="25" t="s">
        <v>169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5" customHeight="1">
      <c r="A340" s="22">
        <v>753957</v>
      </c>
      <c r="B340" s="21" t="s">
        <v>15</v>
      </c>
      <c r="C340" s="21" t="s">
        <v>16</v>
      </c>
      <c r="D340" s="23">
        <v>4</v>
      </c>
      <c r="E340" s="24"/>
      <c r="F340" s="21" t="s">
        <v>43</v>
      </c>
      <c r="G340" s="25" t="s">
        <v>44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5" customHeight="1">
      <c r="A341" s="22">
        <v>753958</v>
      </c>
      <c r="B341" s="21" t="s">
        <v>15</v>
      </c>
      <c r="C341" s="21" t="s">
        <v>16</v>
      </c>
      <c r="D341" s="23">
        <v>4</v>
      </c>
      <c r="E341" s="24"/>
      <c r="F341" s="21" t="s">
        <v>45</v>
      </c>
      <c r="G341" s="25" t="s">
        <v>46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5" customHeight="1">
      <c r="A342" s="22">
        <v>753951</v>
      </c>
      <c r="B342" s="21" t="s">
        <v>15</v>
      </c>
      <c r="C342" s="21" t="s">
        <v>16</v>
      </c>
      <c r="D342" s="23">
        <v>4</v>
      </c>
      <c r="E342" s="24"/>
      <c r="F342" s="21" t="s">
        <v>170</v>
      </c>
      <c r="G342" s="25" t="s">
        <v>171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5" customHeight="1">
      <c r="A343" s="22">
        <v>753959</v>
      </c>
      <c r="B343" s="21" t="s">
        <v>15</v>
      </c>
      <c r="C343" s="21" t="s">
        <v>16</v>
      </c>
      <c r="D343" s="23">
        <v>4</v>
      </c>
      <c r="E343" s="24"/>
      <c r="F343" s="21" t="s">
        <v>29</v>
      </c>
      <c r="G343" s="25" t="s">
        <v>30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5" customHeight="1">
      <c r="A344" s="22">
        <v>753952</v>
      </c>
      <c r="B344" s="21" t="s">
        <v>15</v>
      </c>
      <c r="C344" s="21" t="s">
        <v>16</v>
      </c>
      <c r="D344" s="23">
        <v>4</v>
      </c>
      <c r="E344" s="24"/>
      <c r="F344" s="21" t="s">
        <v>31</v>
      </c>
      <c r="G344" s="25" t="s">
        <v>32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5" customHeight="1">
      <c r="A345" s="22">
        <v>753960</v>
      </c>
      <c r="B345" s="21" t="s">
        <v>15</v>
      </c>
      <c r="C345" s="21" t="s">
        <v>16</v>
      </c>
      <c r="D345" s="23">
        <v>4</v>
      </c>
      <c r="E345" s="24"/>
      <c r="F345" s="21" t="s">
        <v>33</v>
      </c>
      <c r="G345" s="25" t="s">
        <v>34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5" customHeight="1">
      <c r="A346" s="22">
        <v>753962</v>
      </c>
      <c r="B346" s="21" t="s">
        <v>15</v>
      </c>
      <c r="C346" s="21" t="s">
        <v>16</v>
      </c>
      <c r="D346" s="23">
        <v>4</v>
      </c>
      <c r="E346" s="24"/>
      <c r="F346" s="21" t="s">
        <v>35</v>
      </c>
      <c r="G346" s="25" t="s">
        <v>36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5" customHeight="1">
      <c r="A347" s="22">
        <v>753963</v>
      </c>
      <c r="B347" s="21" t="s">
        <v>15</v>
      </c>
      <c r="C347" s="21" t="s">
        <v>16</v>
      </c>
      <c r="D347" s="23">
        <v>4</v>
      </c>
      <c r="E347" s="24"/>
      <c r="F347" s="21" t="s">
        <v>37</v>
      </c>
      <c r="G347" s="25" t="s">
        <v>38</v>
      </c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5" customHeight="1">
      <c r="A348" s="22">
        <v>753964</v>
      </c>
      <c r="B348" s="21" t="s">
        <v>15</v>
      </c>
      <c r="C348" s="21" t="s">
        <v>16</v>
      </c>
      <c r="D348" s="23">
        <v>4</v>
      </c>
      <c r="E348" s="24"/>
      <c r="F348" s="21" t="s">
        <v>172</v>
      </c>
      <c r="G348" s="25" t="s">
        <v>173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5" customHeight="1">
      <c r="A349" s="22">
        <v>753970</v>
      </c>
      <c r="B349" s="21" t="s">
        <v>15</v>
      </c>
      <c r="C349" s="21" t="s">
        <v>16</v>
      </c>
      <c r="D349" s="23">
        <v>4</v>
      </c>
      <c r="E349" s="24"/>
      <c r="F349" s="21" t="s">
        <v>174</v>
      </c>
      <c r="G349" s="25" t="s">
        <v>175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5" customHeight="1">
      <c r="A350" s="22">
        <v>753971</v>
      </c>
      <c r="B350" s="21" t="s">
        <v>15</v>
      </c>
      <c r="C350" s="21" t="s">
        <v>16</v>
      </c>
      <c r="D350" s="23">
        <v>4</v>
      </c>
      <c r="E350" s="24"/>
      <c r="F350" s="21" t="s">
        <v>176</v>
      </c>
      <c r="G350" s="25" t="s">
        <v>177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5" customHeight="1">
      <c r="A351" s="22">
        <v>753965</v>
      </c>
      <c r="B351" s="21" t="s">
        <v>15</v>
      </c>
      <c r="C351" s="21" t="s">
        <v>16</v>
      </c>
      <c r="D351" s="23">
        <v>4</v>
      </c>
      <c r="E351" s="24"/>
      <c r="F351" s="21" t="s">
        <v>178</v>
      </c>
      <c r="G351" s="25" t="s">
        <v>179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5" customHeight="1">
      <c r="A352" s="22">
        <v>753972</v>
      </c>
      <c r="B352" s="21" t="s">
        <v>15</v>
      </c>
      <c r="C352" s="21" t="s">
        <v>16</v>
      </c>
      <c r="D352" s="23">
        <v>4</v>
      </c>
      <c r="E352" s="24"/>
      <c r="F352" s="21" t="s">
        <v>180</v>
      </c>
      <c r="G352" s="25" t="s">
        <v>181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5" customHeight="1">
      <c r="A353" s="22">
        <v>753973</v>
      </c>
      <c r="B353" s="21" t="s">
        <v>15</v>
      </c>
      <c r="C353" s="21" t="s">
        <v>16</v>
      </c>
      <c r="D353" s="23">
        <v>4</v>
      </c>
      <c r="E353" s="24"/>
      <c r="F353" s="21" t="s">
        <v>182</v>
      </c>
      <c r="G353" s="25" t="s">
        <v>183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5" customHeight="1">
      <c r="A354" s="22">
        <v>753966</v>
      </c>
      <c r="B354" s="21" t="s">
        <v>15</v>
      </c>
      <c r="C354" s="21" t="s">
        <v>16</v>
      </c>
      <c r="D354" s="23">
        <v>4</v>
      </c>
      <c r="E354" s="24"/>
      <c r="F354" s="21" t="s">
        <v>39</v>
      </c>
      <c r="G354" s="25" t="s">
        <v>40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5" customHeight="1">
      <c r="A355" s="22">
        <v>753974</v>
      </c>
      <c r="B355" s="21" t="s">
        <v>15</v>
      </c>
      <c r="C355" s="21" t="s">
        <v>16</v>
      </c>
      <c r="D355" s="23">
        <v>4</v>
      </c>
      <c r="E355" s="24"/>
      <c r="F355" s="21" t="s">
        <v>41</v>
      </c>
      <c r="G355" s="25" t="s">
        <v>42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5" customHeight="1">
      <c r="A356" s="22">
        <v>753985</v>
      </c>
      <c r="B356" s="21" t="s">
        <v>15</v>
      </c>
      <c r="C356" s="21" t="s">
        <v>16</v>
      </c>
      <c r="D356" s="23">
        <v>4</v>
      </c>
      <c r="E356" s="24"/>
      <c r="F356" s="21" t="s">
        <v>184</v>
      </c>
      <c r="G356" s="25" t="s">
        <v>185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5" customHeight="1">
      <c r="A357" s="22">
        <v>753984</v>
      </c>
      <c r="B357" s="21" t="s">
        <v>15</v>
      </c>
      <c r="C357" s="21" t="s">
        <v>16</v>
      </c>
      <c r="D357" s="23">
        <v>4</v>
      </c>
      <c r="E357" s="24"/>
      <c r="F357" s="21" t="s">
        <v>186</v>
      </c>
      <c r="G357" s="25" t="s">
        <v>187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5" customHeight="1">
      <c r="A358" s="22">
        <v>753983</v>
      </c>
      <c r="B358" s="21" t="s">
        <v>15</v>
      </c>
      <c r="C358" s="21" t="s">
        <v>16</v>
      </c>
      <c r="D358" s="23">
        <v>4</v>
      </c>
      <c r="E358" s="24"/>
      <c r="F358" s="21" t="s">
        <v>188</v>
      </c>
      <c r="G358" s="25" t="s">
        <v>189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5" customHeight="1">
      <c r="A359" s="22">
        <v>753967</v>
      </c>
      <c r="B359" s="21" t="s">
        <v>15</v>
      </c>
      <c r="C359" s="21" t="s">
        <v>16</v>
      </c>
      <c r="D359" s="23">
        <v>4</v>
      </c>
      <c r="E359" s="24"/>
      <c r="F359" s="21" t="s">
        <v>190</v>
      </c>
      <c r="G359" s="25" t="s">
        <v>191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5" customHeight="1">
      <c r="A360" s="22">
        <v>753968</v>
      </c>
      <c r="B360" s="21" t="s">
        <v>15</v>
      </c>
      <c r="C360" s="21" t="s">
        <v>16</v>
      </c>
      <c r="D360" s="23">
        <v>4</v>
      </c>
      <c r="E360" s="24"/>
      <c r="F360" s="21" t="s">
        <v>192</v>
      </c>
      <c r="G360" s="25" t="s">
        <v>193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5" customHeight="1">
      <c r="A361" s="22">
        <v>753969</v>
      </c>
      <c r="B361" s="21" t="s">
        <v>15</v>
      </c>
      <c r="C361" s="21" t="s">
        <v>16</v>
      </c>
      <c r="D361" s="23">
        <v>4</v>
      </c>
      <c r="E361" s="24"/>
      <c r="F361" s="21" t="s">
        <v>194</v>
      </c>
      <c r="G361" s="25" t="s">
        <v>195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5" customHeight="1">
      <c r="A362" s="22">
        <v>753975</v>
      </c>
      <c r="B362" s="21" t="s">
        <v>15</v>
      </c>
      <c r="C362" s="21" t="s">
        <v>16</v>
      </c>
      <c r="D362" s="23">
        <v>4</v>
      </c>
      <c r="E362" s="24"/>
      <c r="F362" s="21" t="s">
        <v>196</v>
      </c>
      <c r="G362" s="25" t="s">
        <v>197</v>
      </c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5" customHeight="1">
      <c r="A363" s="22">
        <v>753976</v>
      </c>
      <c r="B363" s="21" t="s">
        <v>15</v>
      </c>
      <c r="C363" s="21" t="s">
        <v>16</v>
      </c>
      <c r="D363" s="23">
        <v>4</v>
      </c>
      <c r="E363" s="24"/>
      <c r="F363" s="21" t="s">
        <v>198</v>
      </c>
      <c r="G363" s="25" t="s">
        <v>199</v>
      </c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5" customHeight="1">
      <c r="A364" s="22">
        <v>753977</v>
      </c>
      <c r="B364" s="21" t="s">
        <v>15</v>
      </c>
      <c r="C364" s="21" t="s">
        <v>16</v>
      </c>
      <c r="D364" s="23">
        <v>4</v>
      </c>
      <c r="E364" s="24"/>
      <c r="F364" s="21" t="s">
        <v>200</v>
      </c>
      <c r="G364" s="25" t="s">
        <v>201</v>
      </c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5" customHeight="1">
      <c r="A365" s="22">
        <v>753978</v>
      </c>
      <c r="B365" s="21" t="s">
        <v>15</v>
      </c>
      <c r="C365" s="21" t="s">
        <v>16</v>
      </c>
      <c r="D365" s="23">
        <v>4</v>
      </c>
      <c r="E365" s="24"/>
      <c r="F365" s="21" t="s">
        <v>202</v>
      </c>
      <c r="G365" s="25" t="s">
        <v>203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5" customHeight="1">
      <c r="A366" s="22">
        <v>753979</v>
      </c>
      <c r="B366" s="21" t="s">
        <v>15</v>
      </c>
      <c r="C366" s="21" t="s">
        <v>16</v>
      </c>
      <c r="D366" s="23">
        <v>4</v>
      </c>
      <c r="E366" s="24"/>
      <c r="F366" s="21" t="s">
        <v>204</v>
      </c>
      <c r="G366" s="25" t="s">
        <v>205</v>
      </c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5" customHeight="1">
      <c r="A367" s="22">
        <v>753980</v>
      </c>
      <c r="B367" s="21" t="s">
        <v>15</v>
      </c>
      <c r="C367" s="21" t="s">
        <v>16</v>
      </c>
      <c r="D367" s="23">
        <v>4</v>
      </c>
      <c r="E367" s="24"/>
      <c r="F367" s="21" t="s">
        <v>206</v>
      </c>
      <c r="G367" s="25" t="s">
        <v>207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5" customHeight="1">
      <c r="A368" s="22">
        <v>753981</v>
      </c>
      <c r="B368" s="21" t="s">
        <v>15</v>
      </c>
      <c r="C368" s="21" t="s">
        <v>16</v>
      </c>
      <c r="D368" s="23">
        <v>4</v>
      </c>
      <c r="E368" s="24"/>
      <c r="F368" s="21" t="s">
        <v>91</v>
      </c>
      <c r="G368" s="25" t="s">
        <v>208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5" customHeight="1">
      <c r="A369" s="22">
        <v>753982</v>
      </c>
      <c r="B369" s="21" t="s">
        <v>15</v>
      </c>
      <c r="C369" s="21" t="s">
        <v>16</v>
      </c>
      <c r="D369" s="23">
        <v>4</v>
      </c>
      <c r="E369" s="24"/>
      <c r="F369" s="21" t="s">
        <v>92</v>
      </c>
      <c r="G369" s="25" t="s">
        <v>209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5" customHeight="1">
      <c r="A370" s="22">
        <v>753990</v>
      </c>
      <c r="B370" s="21" t="s">
        <v>15</v>
      </c>
      <c r="C370" s="21" t="s">
        <v>16</v>
      </c>
      <c r="D370" s="23">
        <v>4</v>
      </c>
      <c r="E370" s="24"/>
      <c r="F370" s="21" t="s">
        <v>93</v>
      </c>
      <c r="G370" s="25" t="s">
        <v>210</v>
      </c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5" customHeight="1">
      <c r="A371" s="22">
        <v>753986</v>
      </c>
      <c r="B371" s="21" t="s">
        <v>15</v>
      </c>
      <c r="C371" s="21" t="s">
        <v>16</v>
      </c>
      <c r="D371" s="23">
        <v>4</v>
      </c>
      <c r="E371" s="24"/>
      <c r="F371" s="21" t="s">
        <v>94</v>
      </c>
      <c r="G371" s="25" t="s">
        <v>211</v>
      </c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5" customHeight="1">
      <c r="A372" s="22">
        <v>753987</v>
      </c>
      <c r="B372" s="21" t="s">
        <v>15</v>
      </c>
      <c r="C372" s="21" t="s">
        <v>16</v>
      </c>
      <c r="D372" s="23">
        <v>4</v>
      </c>
      <c r="E372" s="24"/>
      <c r="F372" s="21" t="s">
        <v>49</v>
      </c>
      <c r="G372" s="25" t="s">
        <v>50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5" customHeight="1">
      <c r="A373" s="22">
        <v>753988</v>
      </c>
      <c r="B373" s="21" t="s">
        <v>15</v>
      </c>
      <c r="C373" s="21" t="s">
        <v>16</v>
      </c>
      <c r="D373" s="23">
        <v>4</v>
      </c>
      <c r="E373" s="24"/>
      <c r="F373" s="21" t="s">
        <v>51</v>
      </c>
      <c r="G373" s="25" t="s">
        <v>52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5" customHeight="1">
      <c r="A374" s="22">
        <v>753989</v>
      </c>
      <c r="B374" s="21" t="s">
        <v>15</v>
      </c>
      <c r="C374" s="21" t="s">
        <v>16</v>
      </c>
      <c r="D374" s="23">
        <v>4</v>
      </c>
      <c r="E374" s="24"/>
      <c r="F374" s="21" t="s">
        <v>95</v>
      </c>
      <c r="G374" s="25" t="s">
        <v>212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5" customHeight="1">
      <c r="A375" s="22">
        <v>753988</v>
      </c>
      <c r="B375" s="21" t="s">
        <v>15</v>
      </c>
      <c r="C375" s="21" t="s">
        <v>16</v>
      </c>
      <c r="D375" s="23">
        <v>4</v>
      </c>
      <c r="E375" s="24"/>
      <c r="F375" s="21" t="s">
        <v>53</v>
      </c>
      <c r="G375" s="25" t="s">
        <v>54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5" customHeight="1">
      <c r="A376" s="22">
        <v>753987</v>
      </c>
      <c r="B376" s="21" t="s">
        <v>15</v>
      </c>
      <c r="C376" s="21" t="s">
        <v>16</v>
      </c>
      <c r="D376" s="23">
        <v>4</v>
      </c>
      <c r="E376" s="24"/>
      <c r="F376" s="21" t="s">
        <v>55</v>
      </c>
      <c r="G376" s="25" t="s">
        <v>56</v>
      </c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5" customHeight="1">
      <c r="A377" s="22">
        <v>753991</v>
      </c>
      <c r="B377" s="21" t="s">
        <v>15</v>
      </c>
      <c r="C377" s="21" t="s">
        <v>16</v>
      </c>
      <c r="D377" s="23">
        <v>4</v>
      </c>
      <c r="E377" s="24"/>
      <c r="F377" s="21" t="s">
        <v>57</v>
      </c>
      <c r="G377" s="25" t="s">
        <v>58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5" customHeight="1">
      <c r="A378" s="22">
        <v>753992</v>
      </c>
      <c r="B378" s="21" t="s">
        <v>15</v>
      </c>
      <c r="C378" s="21" t="s">
        <v>16</v>
      </c>
      <c r="D378" s="23">
        <v>4</v>
      </c>
      <c r="E378" s="24"/>
      <c r="F378" s="21" t="s">
        <v>59</v>
      </c>
      <c r="G378" s="25" t="s">
        <v>60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5" customHeight="1">
      <c r="A379" s="22">
        <v>753993</v>
      </c>
      <c r="B379" s="21" t="s">
        <v>15</v>
      </c>
      <c r="C379" s="21" t="s">
        <v>16</v>
      </c>
      <c r="D379" s="23">
        <v>4</v>
      </c>
      <c r="E379" s="24"/>
      <c r="F379" s="21" t="s">
        <v>61</v>
      </c>
      <c r="G379" s="25" t="s">
        <v>62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5" customHeight="1">
      <c r="A380" s="22">
        <v>754001</v>
      </c>
      <c r="B380" s="21" t="s">
        <v>15</v>
      </c>
      <c r="C380" s="21" t="s">
        <v>16</v>
      </c>
      <c r="D380" s="23">
        <v>4</v>
      </c>
      <c r="E380" s="24"/>
      <c r="F380" s="21" t="s">
        <v>63</v>
      </c>
      <c r="G380" s="25" t="s">
        <v>64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5" customHeight="1">
      <c r="A381" s="22">
        <v>754000</v>
      </c>
      <c r="B381" s="21" t="s">
        <v>15</v>
      </c>
      <c r="C381" s="21" t="s">
        <v>16</v>
      </c>
      <c r="D381" s="23">
        <v>4</v>
      </c>
      <c r="E381" s="24"/>
      <c r="F381" s="21" t="s">
        <v>65</v>
      </c>
      <c r="G381" s="25" t="s">
        <v>66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5" customHeight="1">
      <c r="A382" s="22">
        <v>753999</v>
      </c>
      <c r="B382" s="21" t="s">
        <v>15</v>
      </c>
      <c r="C382" s="21" t="s">
        <v>16</v>
      </c>
      <c r="D382" s="23">
        <v>4</v>
      </c>
      <c r="E382" s="24"/>
      <c r="F382" s="21" t="s">
        <v>67</v>
      </c>
      <c r="G382" s="25" t="s">
        <v>68</v>
      </c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5" customHeight="1">
      <c r="A383" s="22">
        <v>753996</v>
      </c>
      <c r="B383" s="21" t="s">
        <v>15</v>
      </c>
      <c r="C383" s="21" t="s">
        <v>16</v>
      </c>
      <c r="D383" s="23">
        <v>4</v>
      </c>
      <c r="E383" s="24"/>
      <c r="F383" s="21" t="s">
        <v>96</v>
      </c>
      <c r="G383" s="25" t="s">
        <v>213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5" customHeight="1">
      <c r="A384" s="22">
        <v>753997</v>
      </c>
      <c r="B384" s="21" t="s">
        <v>15</v>
      </c>
      <c r="C384" s="21" t="s">
        <v>16</v>
      </c>
      <c r="D384" s="23">
        <v>4</v>
      </c>
      <c r="E384" s="24"/>
      <c r="F384" s="21" t="s">
        <v>97</v>
      </c>
      <c r="G384" s="25" t="s">
        <v>214</v>
      </c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5" customHeight="1">
      <c r="A385" s="26">
        <v>753884</v>
      </c>
      <c r="B385" s="11" t="s">
        <v>15</v>
      </c>
      <c r="C385" s="21" t="s">
        <v>16</v>
      </c>
      <c r="D385" s="23">
        <v>4</v>
      </c>
      <c r="E385" s="24"/>
      <c r="F385" s="21" t="s">
        <v>47</v>
      </c>
      <c r="G385" s="25" t="s">
        <v>48</v>
      </c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5" customHeight="1">
      <c r="A386" s="22">
        <v>754002</v>
      </c>
      <c r="B386" s="21" t="s">
        <v>15</v>
      </c>
      <c r="C386" s="21" t="s">
        <v>16</v>
      </c>
      <c r="D386" s="23">
        <v>5</v>
      </c>
      <c r="E386" s="24"/>
      <c r="F386" s="21" t="s">
        <v>100</v>
      </c>
      <c r="G386" s="12" t="s">
        <v>215</v>
      </c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5" customHeight="1">
      <c r="A387" s="22">
        <v>753994</v>
      </c>
      <c r="B387" s="21" t="s">
        <v>15</v>
      </c>
      <c r="C387" s="21" t="s">
        <v>16</v>
      </c>
      <c r="D387" s="23">
        <v>5</v>
      </c>
      <c r="E387" s="24"/>
      <c r="F387" s="21" t="s">
        <v>102</v>
      </c>
      <c r="G387" s="12" t="s">
        <v>216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5" customHeight="1">
      <c r="A388" s="22">
        <v>753995</v>
      </c>
      <c r="B388" s="21" t="s">
        <v>15</v>
      </c>
      <c r="C388" s="21" t="s">
        <v>16</v>
      </c>
      <c r="D388" s="23">
        <v>5</v>
      </c>
      <c r="E388" s="24"/>
      <c r="F388" s="21" t="s">
        <v>104</v>
      </c>
      <c r="G388" s="12" t="s">
        <v>217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5" customHeight="1">
      <c r="A389" s="22">
        <v>753991</v>
      </c>
      <c r="B389" s="21" t="s">
        <v>15</v>
      </c>
      <c r="C389" s="21" t="s">
        <v>16</v>
      </c>
      <c r="D389" s="23">
        <v>5</v>
      </c>
      <c r="E389" s="24"/>
      <c r="F389" s="21" t="s">
        <v>69</v>
      </c>
      <c r="G389" s="12" t="s">
        <v>70</v>
      </c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5" customHeight="1">
      <c r="A390" s="22">
        <v>753993</v>
      </c>
      <c r="B390" s="21" t="s">
        <v>15</v>
      </c>
      <c r="C390" s="21" t="s">
        <v>16</v>
      </c>
      <c r="D390" s="23">
        <v>5</v>
      </c>
      <c r="E390" s="24"/>
      <c r="F390" s="21" t="s">
        <v>71</v>
      </c>
      <c r="G390" s="12" t="s">
        <v>72</v>
      </c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5" customHeight="1">
      <c r="A391" s="22">
        <v>753992</v>
      </c>
      <c r="B391" s="21" t="s">
        <v>15</v>
      </c>
      <c r="C391" s="21" t="s">
        <v>16</v>
      </c>
      <c r="D391" s="23">
        <v>5</v>
      </c>
      <c r="E391" s="24"/>
      <c r="F391" s="21" t="s">
        <v>73</v>
      </c>
      <c r="G391" s="12" t="s">
        <v>74</v>
      </c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5" customHeight="1">
      <c r="A392" s="22">
        <v>754000</v>
      </c>
      <c r="B392" s="21" t="s">
        <v>15</v>
      </c>
      <c r="C392" s="21" t="s">
        <v>16</v>
      </c>
      <c r="D392" s="23">
        <v>5</v>
      </c>
      <c r="E392" s="24"/>
      <c r="F392" s="21" t="s">
        <v>75</v>
      </c>
      <c r="G392" s="12" t="s">
        <v>76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5" customHeight="1">
      <c r="A393" s="22">
        <v>754001</v>
      </c>
      <c r="B393" s="21" t="s">
        <v>15</v>
      </c>
      <c r="C393" s="21" t="s">
        <v>16</v>
      </c>
      <c r="D393" s="23">
        <v>5</v>
      </c>
      <c r="E393" s="24"/>
      <c r="F393" s="21" t="s">
        <v>77</v>
      </c>
      <c r="G393" s="12" t="s">
        <v>78</v>
      </c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5" customHeight="1">
      <c r="A394" s="22">
        <v>753999</v>
      </c>
      <c r="B394" s="21" t="s">
        <v>15</v>
      </c>
      <c r="C394" s="21" t="s">
        <v>16</v>
      </c>
      <c r="D394" s="23">
        <v>5</v>
      </c>
      <c r="E394" s="24"/>
      <c r="F394" s="21" t="s">
        <v>79</v>
      </c>
      <c r="G394" s="12" t="s">
        <v>80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5" customHeight="1">
      <c r="A395" s="22">
        <v>754015</v>
      </c>
      <c r="B395" s="21" t="s">
        <v>15</v>
      </c>
      <c r="C395" s="21" t="s">
        <v>16</v>
      </c>
      <c r="D395" s="23">
        <v>5</v>
      </c>
      <c r="E395" s="24"/>
      <c r="F395" s="21" t="s">
        <v>81</v>
      </c>
      <c r="G395" s="12">
        <v>10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5" customHeight="1">
      <c r="A396" s="22">
        <v>754016</v>
      </c>
      <c r="B396" s="21" t="s">
        <v>15</v>
      </c>
      <c r="C396" s="21" t="s">
        <v>16</v>
      </c>
      <c r="D396" s="23">
        <v>5</v>
      </c>
      <c r="E396" s="24"/>
      <c r="F396" s="21" t="s">
        <v>82</v>
      </c>
      <c r="G396" s="12">
        <v>11</v>
      </c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5" customHeight="1">
      <c r="A397" s="22">
        <v>754017</v>
      </c>
      <c r="B397" s="21" t="s">
        <v>15</v>
      </c>
      <c r="C397" s="21" t="s">
        <v>16</v>
      </c>
      <c r="D397" s="23">
        <v>5</v>
      </c>
      <c r="E397" s="24"/>
      <c r="F397" s="21" t="s">
        <v>83</v>
      </c>
      <c r="G397" s="12">
        <v>12</v>
      </c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5" customHeight="1">
      <c r="A398" s="22">
        <v>754018</v>
      </c>
      <c r="B398" s="21" t="s">
        <v>15</v>
      </c>
      <c r="C398" s="21" t="s">
        <v>16</v>
      </c>
      <c r="D398" s="23">
        <v>5</v>
      </c>
      <c r="E398" s="24"/>
      <c r="F398" s="21" t="s">
        <v>84</v>
      </c>
      <c r="G398" s="12">
        <v>13</v>
      </c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5" customHeight="1">
      <c r="A399" s="22">
        <v>754019</v>
      </c>
      <c r="B399" s="21" t="s">
        <v>15</v>
      </c>
      <c r="C399" s="21" t="s">
        <v>16</v>
      </c>
      <c r="D399" s="23">
        <v>5</v>
      </c>
      <c r="E399" s="24"/>
      <c r="F399" s="21" t="s">
        <v>85</v>
      </c>
      <c r="G399" s="12">
        <v>14</v>
      </c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5" customHeight="1">
      <c r="A400" s="22">
        <v>754027</v>
      </c>
      <c r="B400" s="21" t="s">
        <v>15</v>
      </c>
      <c r="C400" s="21" t="s">
        <v>16</v>
      </c>
      <c r="D400" s="23">
        <v>5</v>
      </c>
      <c r="E400" s="24"/>
      <c r="F400" s="21" t="s">
        <v>117</v>
      </c>
      <c r="G400" s="12">
        <v>15</v>
      </c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5" customHeight="1">
      <c r="A401" s="22">
        <v>754026</v>
      </c>
      <c r="B401" s="21" t="s">
        <v>15</v>
      </c>
      <c r="C401" s="21" t="s">
        <v>16</v>
      </c>
      <c r="D401" s="23">
        <v>5</v>
      </c>
      <c r="E401" s="24"/>
      <c r="F401" s="21" t="s">
        <v>119</v>
      </c>
      <c r="G401" s="12">
        <v>16</v>
      </c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5" customHeight="1">
      <c r="A402" s="22">
        <v>754025</v>
      </c>
      <c r="B402" s="21" t="s">
        <v>15</v>
      </c>
      <c r="C402" s="21" t="s">
        <v>16</v>
      </c>
      <c r="D402" s="23">
        <v>5</v>
      </c>
      <c r="E402" s="24"/>
      <c r="F402" s="21" t="s">
        <v>121</v>
      </c>
      <c r="G402" s="12">
        <v>17</v>
      </c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5" customHeight="1">
      <c r="A403" s="22">
        <v>754020</v>
      </c>
      <c r="B403" s="21" t="s">
        <v>15</v>
      </c>
      <c r="C403" s="21" t="s">
        <v>16</v>
      </c>
      <c r="D403" s="23">
        <v>5</v>
      </c>
      <c r="E403" s="24"/>
      <c r="F403" s="21" t="s">
        <v>123</v>
      </c>
      <c r="G403" s="12">
        <v>18</v>
      </c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5" customHeight="1">
      <c r="A404" s="22">
        <v>754021</v>
      </c>
      <c r="B404" s="21" t="s">
        <v>15</v>
      </c>
      <c r="C404" s="21" t="s">
        <v>16</v>
      </c>
      <c r="D404" s="23">
        <v>5</v>
      </c>
      <c r="E404" s="24"/>
      <c r="F404" s="21" t="s">
        <v>125</v>
      </c>
      <c r="G404" s="12">
        <v>19</v>
      </c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5" customHeight="1">
      <c r="A405" s="22">
        <v>754015</v>
      </c>
      <c r="B405" s="21" t="s">
        <v>15</v>
      </c>
      <c r="C405" s="21" t="s">
        <v>16</v>
      </c>
      <c r="D405" s="23">
        <v>5</v>
      </c>
      <c r="E405" s="24"/>
      <c r="F405" s="21" t="s">
        <v>86</v>
      </c>
      <c r="G405" s="12">
        <v>20</v>
      </c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5" customHeight="1">
      <c r="A406" s="22">
        <v>754016</v>
      </c>
      <c r="B406" s="21" t="s">
        <v>15</v>
      </c>
      <c r="C406" s="21" t="s">
        <v>16</v>
      </c>
      <c r="D406" s="23">
        <v>5</v>
      </c>
      <c r="E406" s="24"/>
      <c r="F406" s="21" t="s">
        <v>87</v>
      </c>
      <c r="G406" s="12">
        <v>21</v>
      </c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5" customHeight="1">
      <c r="A407" s="22">
        <v>754017</v>
      </c>
      <c r="B407" s="21" t="s">
        <v>15</v>
      </c>
      <c r="C407" s="21" t="s">
        <v>16</v>
      </c>
      <c r="D407" s="23">
        <v>5</v>
      </c>
      <c r="E407" s="24"/>
      <c r="F407" s="21" t="s">
        <v>88</v>
      </c>
      <c r="G407" s="12">
        <v>22</v>
      </c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5" customHeight="1">
      <c r="A408" s="22">
        <v>754018</v>
      </c>
      <c r="B408" s="21" t="s">
        <v>15</v>
      </c>
      <c r="C408" s="21" t="s">
        <v>16</v>
      </c>
      <c r="D408" s="23">
        <v>5</v>
      </c>
      <c r="E408" s="24"/>
      <c r="F408" s="21" t="s">
        <v>89</v>
      </c>
      <c r="G408" s="12">
        <v>23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5" customHeight="1">
      <c r="A409" s="22">
        <v>754019</v>
      </c>
      <c r="B409" s="21" t="s">
        <v>15</v>
      </c>
      <c r="C409" s="21" t="s">
        <v>16</v>
      </c>
      <c r="D409" s="23">
        <v>5</v>
      </c>
      <c r="E409" s="24"/>
      <c r="F409" s="21" t="s">
        <v>90</v>
      </c>
      <c r="G409" s="12">
        <v>24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5" customHeight="1">
      <c r="A410" s="22">
        <v>754024</v>
      </c>
      <c r="B410" s="21" t="s">
        <v>15</v>
      </c>
      <c r="C410" s="21" t="s">
        <v>16</v>
      </c>
      <c r="D410" s="23">
        <v>5</v>
      </c>
      <c r="E410" s="24"/>
      <c r="F410" s="21" t="s">
        <v>132</v>
      </c>
      <c r="G410" s="12">
        <v>25</v>
      </c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5" customHeight="1">
      <c r="A411" s="22">
        <v>754023</v>
      </c>
      <c r="B411" s="21" t="s">
        <v>15</v>
      </c>
      <c r="C411" s="21" t="s">
        <v>16</v>
      </c>
      <c r="D411" s="23">
        <v>5</v>
      </c>
      <c r="E411" s="24"/>
      <c r="F411" s="21" t="s">
        <v>134</v>
      </c>
      <c r="G411" s="12">
        <v>26</v>
      </c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5" customHeight="1">
      <c r="A412" s="22">
        <v>754022</v>
      </c>
      <c r="B412" s="21" t="s">
        <v>15</v>
      </c>
      <c r="C412" s="21" t="s">
        <v>16</v>
      </c>
      <c r="D412" s="23">
        <v>5</v>
      </c>
      <c r="E412" s="24"/>
      <c r="F412" s="21" t="s">
        <v>136</v>
      </c>
      <c r="G412" s="12">
        <v>27</v>
      </c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5" customHeight="1">
      <c r="A413" s="22">
        <v>754028</v>
      </c>
      <c r="B413" s="21" t="s">
        <v>15</v>
      </c>
      <c r="C413" s="21" t="s">
        <v>16</v>
      </c>
      <c r="D413" s="23">
        <v>5</v>
      </c>
      <c r="E413" s="24"/>
      <c r="F413" s="21" t="s">
        <v>138</v>
      </c>
      <c r="G413" s="12">
        <v>28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5" customHeight="1">
      <c r="A414" s="22">
        <v>754029</v>
      </c>
      <c r="B414" s="21" t="s">
        <v>15</v>
      </c>
      <c r="C414" s="21" t="s">
        <v>16</v>
      </c>
      <c r="D414" s="23">
        <v>5</v>
      </c>
      <c r="E414" s="24"/>
      <c r="F414" s="21" t="s">
        <v>140</v>
      </c>
      <c r="G414" s="12">
        <v>29</v>
      </c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5" customHeight="1">
      <c r="A415" s="22">
        <v>754045</v>
      </c>
      <c r="B415" s="21" t="s">
        <v>15</v>
      </c>
      <c r="C415" s="21" t="s">
        <v>16</v>
      </c>
      <c r="D415" s="23">
        <v>5</v>
      </c>
      <c r="E415" s="24"/>
      <c r="F415" s="21" t="s">
        <v>142</v>
      </c>
      <c r="G415" s="12">
        <v>30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5" customHeight="1">
      <c r="A416" s="22">
        <v>754043</v>
      </c>
      <c r="B416" s="21" t="s">
        <v>15</v>
      </c>
      <c r="C416" s="21" t="s">
        <v>16</v>
      </c>
      <c r="D416" s="23">
        <v>5</v>
      </c>
      <c r="E416" s="24"/>
      <c r="F416" s="21" t="s">
        <v>144</v>
      </c>
      <c r="G416" s="12">
        <v>31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5" customHeight="1">
      <c r="A417" s="22">
        <v>754044</v>
      </c>
      <c r="B417" s="21" t="s">
        <v>15</v>
      </c>
      <c r="C417" s="21" t="s">
        <v>16</v>
      </c>
      <c r="D417" s="23">
        <v>5</v>
      </c>
      <c r="E417" s="24"/>
      <c r="F417" s="21" t="s">
        <v>146</v>
      </c>
      <c r="G417" s="12">
        <v>32</v>
      </c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5" customHeight="1">
      <c r="A418" s="22">
        <v>754059</v>
      </c>
      <c r="B418" s="21" t="s">
        <v>15</v>
      </c>
      <c r="C418" s="21" t="s">
        <v>16</v>
      </c>
      <c r="D418" s="23">
        <v>5</v>
      </c>
      <c r="E418" s="24"/>
      <c r="F418" s="21" t="s">
        <v>148</v>
      </c>
      <c r="G418" s="12">
        <v>33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5" customHeight="1">
      <c r="A419" s="22">
        <v>754053</v>
      </c>
      <c r="B419" s="21" t="s">
        <v>15</v>
      </c>
      <c r="C419" s="21" t="s">
        <v>16</v>
      </c>
      <c r="D419" s="23">
        <v>5</v>
      </c>
      <c r="E419" s="24"/>
      <c r="F419" s="21" t="s">
        <v>150</v>
      </c>
      <c r="G419" s="12">
        <v>34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5" customHeight="1">
      <c r="A420" s="22">
        <v>754052</v>
      </c>
      <c r="B420" s="21" t="s">
        <v>15</v>
      </c>
      <c r="C420" s="21" t="s">
        <v>16</v>
      </c>
      <c r="D420" s="23">
        <v>5</v>
      </c>
      <c r="E420" s="24"/>
      <c r="F420" s="21" t="s">
        <v>13</v>
      </c>
      <c r="G420" s="12">
        <v>35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5" customHeight="1">
      <c r="A421" s="22">
        <v>754051</v>
      </c>
      <c r="B421" s="21" t="s">
        <v>15</v>
      </c>
      <c r="C421" s="21" t="s">
        <v>16</v>
      </c>
      <c r="D421" s="23">
        <v>5</v>
      </c>
      <c r="E421" s="24"/>
      <c r="F421" s="21" t="s">
        <v>17</v>
      </c>
      <c r="G421" s="12">
        <v>36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5" customHeight="1">
      <c r="A422" s="22">
        <v>754046</v>
      </c>
      <c r="B422" s="21" t="s">
        <v>15</v>
      </c>
      <c r="C422" s="21" t="s">
        <v>16</v>
      </c>
      <c r="D422" s="23">
        <v>5</v>
      </c>
      <c r="E422" s="24"/>
      <c r="F422" s="21" t="s">
        <v>19</v>
      </c>
      <c r="G422" s="12">
        <v>37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5" customHeight="1">
      <c r="A423" s="22">
        <v>754047</v>
      </c>
      <c r="B423" s="21" t="s">
        <v>15</v>
      </c>
      <c r="C423" s="21" t="s">
        <v>16</v>
      </c>
      <c r="D423" s="23">
        <v>5</v>
      </c>
      <c r="E423" s="24"/>
      <c r="F423" s="21" t="s">
        <v>21</v>
      </c>
      <c r="G423" s="12">
        <v>38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5" customHeight="1">
      <c r="A424" s="22">
        <v>754048</v>
      </c>
      <c r="B424" s="21" t="s">
        <v>15</v>
      </c>
      <c r="C424" s="21" t="s">
        <v>16</v>
      </c>
      <c r="D424" s="23">
        <v>5</v>
      </c>
      <c r="E424" s="24"/>
      <c r="F424" s="21" t="s">
        <v>152</v>
      </c>
      <c r="G424" s="12">
        <v>39</v>
      </c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5" customHeight="1">
      <c r="A425" s="22">
        <v>754049</v>
      </c>
      <c r="B425" s="21" t="s">
        <v>15</v>
      </c>
      <c r="C425" s="21" t="s">
        <v>16</v>
      </c>
      <c r="D425" s="23">
        <v>5</v>
      </c>
      <c r="E425" s="24"/>
      <c r="F425" s="21" t="s">
        <v>154</v>
      </c>
      <c r="G425" s="12">
        <v>40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5" customHeight="1">
      <c r="A426" s="22">
        <v>754050</v>
      </c>
      <c r="B426" s="21" t="s">
        <v>15</v>
      </c>
      <c r="C426" s="21" t="s">
        <v>16</v>
      </c>
      <c r="D426" s="23">
        <v>5</v>
      </c>
      <c r="E426" s="24"/>
      <c r="F426" s="21" t="s">
        <v>156</v>
      </c>
      <c r="G426" s="12">
        <v>41</v>
      </c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5" customHeight="1">
      <c r="A427" s="22">
        <v>754058</v>
      </c>
      <c r="B427" s="21" t="s">
        <v>15</v>
      </c>
      <c r="C427" s="21" t="s">
        <v>16</v>
      </c>
      <c r="D427" s="23">
        <v>5</v>
      </c>
      <c r="E427" s="24"/>
      <c r="F427" s="21" t="s">
        <v>158</v>
      </c>
      <c r="G427" s="12">
        <v>42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5" customHeight="1">
      <c r="A428" s="22">
        <v>754057</v>
      </c>
      <c r="B428" s="21" t="s">
        <v>15</v>
      </c>
      <c r="C428" s="21" t="s">
        <v>16</v>
      </c>
      <c r="D428" s="23">
        <v>5</v>
      </c>
      <c r="E428" s="24"/>
      <c r="F428" s="21" t="s">
        <v>160</v>
      </c>
      <c r="G428" s="12">
        <v>43</v>
      </c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5" customHeight="1">
      <c r="A429" s="22">
        <v>754056</v>
      </c>
      <c r="B429" s="21" t="s">
        <v>15</v>
      </c>
      <c r="C429" s="21" t="s">
        <v>16</v>
      </c>
      <c r="D429" s="23">
        <v>5</v>
      </c>
      <c r="E429" s="24"/>
      <c r="F429" s="21" t="s">
        <v>23</v>
      </c>
      <c r="G429" s="12">
        <v>44</v>
      </c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5" customHeight="1">
      <c r="A430" s="22">
        <v>754055</v>
      </c>
      <c r="B430" s="21" t="s">
        <v>15</v>
      </c>
      <c r="C430" s="21" t="s">
        <v>16</v>
      </c>
      <c r="D430" s="23">
        <v>5</v>
      </c>
      <c r="E430" s="24"/>
      <c r="F430" s="21" t="s">
        <v>25</v>
      </c>
      <c r="G430" s="12">
        <v>45</v>
      </c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5" customHeight="1">
      <c r="A431" s="22">
        <v>754054</v>
      </c>
      <c r="B431" s="21" t="s">
        <v>15</v>
      </c>
      <c r="C431" s="21" t="s">
        <v>16</v>
      </c>
      <c r="D431" s="23">
        <v>5</v>
      </c>
      <c r="E431" s="24"/>
      <c r="F431" s="21" t="s">
        <v>27</v>
      </c>
      <c r="G431" s="12">
        <v>46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5" customHeight="1">
      <c r="A432" s="22">
        <v>754037</v>
      </c>
      <c r="B432" s="21" t="s">
        <v>15</v>
      </c>
      <c r="C432" s="21" t="s">
        <v>16</v>
      </c>
      <c r="D432" s="23">
        <v>5</v>
      </c>
      <c r="E432" s="24"/>
      <c r="F432" s="21" t="s">
        <v>162</v>
      </c>
      <c r="G432" s="12">
        <v>47</v>
      </c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5" customHeight="1">
      <c r="A433" s="22">
        <v>754036</v>
      </c>
      <c r="B433" s="21" t="s">
        <v>15</v>
      </c>
      <c r="C433" s="21" t="s">
        <v>16</v>
      </c>
      <c r="D433" s="23">
        <v>5</v>
      </c>
      <c r="E433" s="24"/>
      <c r="F433" s="21" t="s">
        <v>164</v>
      </c>
      <c r="G433" s="12">
        <v>48</v>
      </c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5" customHeight="1">
      <c r="A434" s="22">
        <v>754035</v>
      </c>
      <c r="B434" s="21" t="s">
        <v>15</v>
      </c>
      <c r="C434" s="21" t="s">
        <v>16</v>
      </c>
      <c r="D434" s="23">
        <v>5</v>
      </c>
      <c r="E434" s="24"/>
      <c r="F434" s="21" t="s">
        <v>166</v>
      </c>
      <c r="G434" s="12">
        <v>49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5" customHeight="1">
      <c r="A435" s="22">
        <v>754062</v>
      </c>
      <c r="B435" s="21" t="s">
        <v>15</v>
      </c>
      <c r="C435" s="21" t="s">
        <v>16</v>
      </c>
      <c r="D435" s="23">
        <v>5</v>
      </c>
      <c r="E435" s="24"/>
      <c r="F435" s="21" t="s">
        <v>168</v>
      </c>
      <c r="G435" s="12">
        <v>50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5" customHeight="1">
      <c r="A436" s="22">
        <v>754061</v>
      </c>
      <c r="B436" s="21" t="s">
        <v>15</v>
      </c>
      <c r="C436" s="21" t="s">
        <v>16</v>
      </c>
      <c r="D436" s="23">
        <v>5</v>
      </c>
      <c r="E436" s="24"/>
      <c r="F436" s="21" t="s">
        <v>43</v>
      </c>
      <c r="G436" s="12">
        <v>51</v>
      </c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5" customHeight="1">
      <c r="A437" s="22">
        <v>754060</v>
      </c>
      <c r="B437" s="21" t="s">
        <v>15</v>
      </c>
      <c r="C437" s="21" t="s">
        <v>16</v>
      </c>
      <c r="D437" s="23">
        <v>5</v>
      </c>
      <c r="E437" s="24"/>
      <c r="F437" s="21" t="s">
        <v>45</v>
      </c>
      <c r="G437" s="12">
        <v>52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5" customHeight="1">
      <c r="A438" s="22">
        <v>754070</v>
      </c>
      <c r="B438" s="21" t="s">
        <v>15</v>
      </c>
      <c r="C438" s="21" t="s">
        <v>16</v>
      </c>
      <c r="D438" s="23">
        <v>5</v>
      </c>
      <c r="E438" s="24"/>
      <c r="F438" s="21" t="s">
        <v>170</v>
      </c>
      <c r="G438" s="12">
        <v>53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5" customHeight="1">
      <c r="A439" s="22">
        <v>754069</v>
      </c>
      <c r="B439" s="21" t="s">
        <v>15</v>
      </c>
      <c r="C439" s="21" t="s">
        <v>16</v>
      </c>
      <c r="D439" s="23">
        <v>5</v>
      </c>
      <c r="E439" s="24"/>
      <c r="F439" s="21" t="s">
        <v>29</v>
      </c>
      <c r="G439" s="12">
        <v>54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5" customHeight="1">
      <c r="A440" s="22">
        <v>754068</v>
      </c>
      <c r="B440" s="21" t="s">
        <v>15</v>
      </c>
      <c r="C440" s="21" t="s">
        <v>16</v>
      </c>
      <c r="D440" s="23">
        <v>5</v>
      </c>
      <c r="E440" s="24"/>
      <c r="F440" s="21" t="s">
        <v>31</v>
      </c>
      <c r="G440" s="12">
        <v>55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5" customHeight="1">
      <c r="A441" s="22">
        <v>754042</v>
      </c>
      <c r="B441" s="21" t="s">
        <v>15</v>
      </c>
      <c r="C441" s="21" t="s">
        <v>16</v>
      </c>
      <c r="D441" s="23">
        <v>5</v>
      </c>
      <c r="E441" s="24"/>
      <c r="F441" s="21" t="s">
        <v>33</v>
      </c>
      <c r="G441" s="12">
        <v>56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5" customHeight="1">
      <c r="A442" s="22">
        <v>754041</v>
      </c>
      <c r="B442" s="21" t="s">
        <v>15</v>
      </c>
      <c r="C442" s="21" t="s">
        <v>16</v>
      </c>
      <c r="D442" s="23">
        <v>5</v>
      </c>
      <c r="E442" s="24"/>
      <c r="F442" s="21" t="s">
        <v>35</v>
      </c>
      <c r="G442" s="12">
        <v>57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5" customHeight="1">
      <c r="A443" s="22">
        <v>754040</v>
      </c>
      <c r="B443" s="21" t="s">
        <v>15</v>
      </c>
      <c r="C443" s="21" t="s">
        <v>16</v>
      </c>
      <c r="D443" s="23">
        <v>5</v>
      </c>
      <c r="E443" s="24"/>
      <c r="F443" s="21" t="s">
        <v>37</v>
      </c>
      <c r="G443" s="12">
        <v>58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5" customHeight="1">
      <c r="A444" s="22">
        <v>754039</v>
      </c>
      <c r="B444" s="21" t="s">
        <v>15</v>
      </c>
      <c r="C444" s="21" t="s">
        <v>16</v>
      </c>
      <c r="D444" s="23">
        <v>5</v>
      </c>
      <c r="E444" s="24"/>
      <c r="F444" s="21" t="s">
        <v>172</v>
      </c>
      <c r="G444" s="12">
        <v>59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5" customHeight="1">
      <c r="A445" s="22">
        <v>754038</v>
      </c>
      <c r="B445" s="21" t="s">
        <v>15</v>
      </c>
      <c r="C445" s="21" t="s">
        <v>16</v>
      </c>
      <c r="D445" s="23">
        <v>5</v>
      </c>
      <c r="E445" s="24"/>
      <c r="F445" s="21" t="s">
        <v>174</v>
      </c>
      <c r="G445" s="12">
        <v>60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5" customHeight="1">
      <c r="A446" s="22">
        <v>754030</v>
      </c>
      <c r="B446" s="21" t="s">
        <v>15</v>
      </c>
      <c r="C446" s="21" t="s">
        <v>16</v>
      </c>
      <c r="D446" s="23">
        <v>5</v>
      </c>
      <c r="E446" s="24"/>
      <c r="F446" s="21" t="s">
        <v>176</v>
      </c>
      <c r="G446" s="12">
        <v>61</v>
      </c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5" customHeight="1">
      <c r="A447" s="22">
        <v>754031</v>
      </c>
      <c r="B447" s="21" t="s">
        <v>15</v>
      </c>
      <c r="C447" s="21" t="s">
        <v>16</v>
      </c>
      <c r="D447" s="23">
        <v>5</v>
      </c>
      <c r="E447" s="24"/>
      <c r="F447" s="21" t="s">
        <v>178</v>
      </c>
      <c r="G447" s="12">
        <v>62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5" customHeight="1">
      <c r="A448" s="22">
        <v>754032</v>
      </c>
      <c r="B448" s="21" t="s">
        <v>15</v>
      </c>
      <c r="C448" s="21" t="s">
        <v>16</v>
      </c>
      <c r="D448" s="23">
        <v>5</v>
      </c>
      <c r="E448" s="24"/>
      <c r="F448" s="21" t="s">
        <v>180</v>
      </c>
      <c r="G448" s="12">
        <v>63</v>
      </c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5" customHeight="1">
      <c r="A449" s="22">
        <v>754033</v>
      </c>
      <c r="B449" s="21" t="s">
        <v>15</v>
      </c>
      <c r="C449" s="21" t="s">
        <v>16</v>
      </c>
      <c r="D449" s="23">
        <v>5</v>
      </c>
      <c r="E449" s="24"/>
      <c r="F449" s="21" t="s">
        <v>182</v>
      </c>
      <c r="G449" s="12">
        <v>64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5" customHeight="1">
      <c r="A450" s="22">
        <v>754034</v>
      </c>
      <c r="B450" s="21" t="s">
        <v>15</v>
      </c>
      <c r="C450" s="21" t="s">
        <v>16</v>
      </c>
      <c r="D450" s="23">
        <v>5</v>
      </c>
      <c r="E450" s="24"/>
      <c r="F450" s="21" t="s">
        <v>39</v>
      </c>
      <c r="G450" s="12">
        <v>65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5" customHeight="1">
      <c r="A451" s="22">
        <v>754063</v>
      </c>
      <c r="B451" s="21" t="s">
        <v>15</v>
      </c>
      <c r="C451" s="21" t="s">
        <v>16</v>
      </c>
      <c r="D451" s="23">
        <v>5</v>
      </c>
      <c r="E451" s="24"/>
      <c r="F451" s="21" t="s">
        <v>41</v>
      </c>
      <c r="G451" s="12">
        <v>66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5" customHeight="1">
      <c r="A452" s="22">
        <v>754064</v>
      </c>
      <c r="B452" s="21" t="s">
        <v>15</v>
      </c>
      <c r="C452" s="21" t="s">
        <v>16</v>
      </c>
      <c r="D452" s="23">
        <v>5</v>
      </c>
      <c r="E452" s="24"/>
      <c r="F452" s="21" t="s">
        <v>184</v>
      </c>
      <c r="G452" s="12">
        <v>67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5" customHeight="1">
      <c r="A453" s="22">
        <v>754065</v>
      </c>
      <c r="B453" s="21" t="s">
        <v>15</v>
      </c>
      <c r="C453" s="21" t="s">
        <v>16</v>
      </c>
      <c r="D453" s="23">
        <v>5</v>
      </c>
      <c r="E453" s="24"/>
      <c r="F453" s="21" t="s">
        <v>186</v>
      </c>
      <c r="G453" s="12">
        <v>68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5" customHeight="1">
      <c r="A454" s="22">
        <v>754066</v>
      </c>
      <c r="B454" s="21" t="s">
        <v>15</v>
      </c>
      <c r="C454" s="21" t="s">
        <v>16</v>
      </c>
      <c r="D454" s="23">
        <v>5</v>
      </c>
      <c r="E454" s="24"/>
      <c r="F454" s="21" t="s">
        <v>188</v>
      </c>
      <c r="G454" s="12">
        <v>69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5" customHeight="1">
      <c r="A455" s="22">
        <v>754067</v>
      </c>
      <c r="B455" s="21" t="s">
        <v>15</v>
      </c>
      <c r="C455" s="21" t="s">
        <v>16</v>
      </c>
      <c r="D455" s="23">
        <v>5</v>
      </c>
      <c r="E455" s="24"/>
      <c r="F455" s="21" t="s">
        <v>190</v>
      </c>
      <c r="G455" s="12">
        <v>70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5" customHeight="1">
      <c r="A456" s="22">
        <v>754076</v>
      </c>
      <c r="B456" s="21" t="s">
        <v>15</v>
      </c>
      <c r="C456" s="21" t="s">
        <v>16</v>
      </c>
      <c r="D456" s="23">
        <v>5</v>
      </c>
      <c r="E456" s="24"/>
      <c r="F456" s="21" t="s">
        <v>192</v>
      </c>
      <c r="G456" s="12">
        <v>71</v>
      </c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5" customHeight="1">
      <c r="A457" s="22">
        <v>754077</v>
      </c>
      <c r="B457" s="21" t="s">
        <v>15</v>
      </c>
      <c r="C457" s="21" t="s">
        <v>16</v>
      </c>
      <c r="D457" s="23">
        <v>5</v>
      </c>
      <c r="E457" s="24"/>
      <c r="F457" s="21" t="s">
        <v>194</v>
      </c>
      <c r="G457" s="12">
        <v>72</v>
      </c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5" customHeight="1">
      <c r="A458" s="22">
        <v>754078</v>
      </c>
      <c r="B458" s="21" t="s">
        <v>15</v>
      </c>
      <c r="C458" s="21" t="s">
        <v>16</v>
      </c>
      <c r="D458" s="23">
        <v>5</v>
      </c>
      <c r="E458" s="24"/>
      <c r="F458" s="21" t="s">
        <v>196</v>
      </c>
      <c r="G458" s="12">
        <v>73</v>
      </c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5" customHeight="1">
      <c r="A459" s="22">
        <v>754086</v>
      </c>
      <c r="B459" s="21" t="s">
        <v>15</v>
      </c>
      <c r="C459" s="21" t="s">
        <v>16</v>
      </c>
      <c r="D459" s="23">
        <v>5</v>
      </c>
      <c r="E459" s="24"/>
      <c r="F459" s="21" t="s">
        <v>198</v>
      </c>
      <c r="G459" s="12">
        <v>74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5" customHeight="1">
      <c r="A460" s="22">
        <v>754085</v>
      </c>
      <c r="B460" s="21" t="s">
        <v>15</v>
      </c>
      <c r="C460" s="21" t="s">
        <v>16</v>
      </c>
      <c r="D460" s="23">
        <v>5</v>
      </c>
      <c r="E460" s="24"/>
      <c r="F460" s="21" t="s">
        <v>200</v>
      </c>
      <c r="G460" s="12">
        <v>75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5" customHeight="1">
      <c r="A461" s="22">
        <v>754084</v>
      </c>
      <c r="B461" s="21" t="s">
        <v>15</v>
      </c>
      <c r="C461" s="21" t="s">
        <v>16</v>
      </c>
      <c r="D461" s="23">
        <v>5</v>
      </c>
      <c r="E461" s="24"/>
      <c r="F461" s="21" t="s">
        <v>202</v>
      </c>
      <c r="G461" s="12">
        <v>76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5" customHeight="1">
      <c r="A462" s="22">
        <v>754079</v>
      </c>
      <c r="B462" s="21" t="s">
        <v>15</v>
      </c>
      <c r="C462" s="21" t="s">
        <v>16</v>
      </c>
      <c r="D462" s="23">
        <v>5</v>
      </c>
      <c r="E462" s="24"/>
      <c r="F462" s="21" t="s">
        <v>204</v>
      </c>
      <c r="G462" s="12">
        <v>77</v>
      </c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5" customHeight="1">
      <c r="A463" s="22">
        <v>754080</v>
      </c>
      <c r="B463" s="21" t="s">
        <v>15</v>
      </c>
      <c r="C463" s="21" t="s">
        <v>16</v>
      </c>
      <c r="D463" s="23">
        <v>5</v>
      </c>
      <c r="E463" s="24"/>
      <c r="F463" s="21" t="s">
        <v>206</v>
      </c>
      <c r="G463" s="12">
        <v>78</v>
      </c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5" customHeight="1">
      <c r="A464" s="22">
        <v>754081</v>
      </c>
      <c r="B464" s="21" t="s">
        <v>15</v>
      </c>
      <c r="C464" s="21" t="s">
        <v>16</v>
      </c>
      <c r="D464" s="23">
        <v>5</v>
      </c>
      <c r="E464" s="24"/>
      <c r="F464" s="21" t="s">
        <v>91</v>
      </c>
      <c r="G464" s="12">
        <v>79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5" customHeight="1">
      <c r="A465" s="22">
        <v>754082</v>
      </c>
      <c r="B465" s="21" t="s">
        <v>15</v>
      </c>
      <c r="C465" s="21" t="s">
        <v>16</v>
      </c>
      <c r="D465" s="23">
        <v>5</v>
      </c>
      <c r="E465" s="24"/>
      <c r="F465" s="21" t="s">
        <v>92</v>
      </c>
      <c r="G465" s="12">
        <v>80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5" customHeight="1">
      <c r="A466" s="22">
        <v>754083</v>
      </c>
      <c r="B466" s="21" t="s">
        <v>15</v>
      </c>
      <c r="C466" s="21" t="s">
        <v>16</v>
      </c>
      <c r="D466" s="23">
        <v>5</v>
      </c>
      <c r="E466" s="24"/>
      <c r="F466" s="21" t="s">
        <v>93</v>
      </c>
      <c r="G466" s="12">
        <v>81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5" customHeight="1">
      <c r="A467" s="22">
        <v>753463</v>
      </c>
      <c r="B467" s="21" t="s">
        <v>15</v>
      </c>
      <c r="C467" s="21" t="s">
        <v>16</v>
      </c>
      <c r="D467" s="23">
        <v>5</v>
      </c>
      <c r="E467" s="24"/>
      <c r="F467" s="21" t="s">
        <v>94</v>
      </c>
      <c r="G467" s="12">
        <v>82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5" customHeight="1">
      <c r="A468" s="22">
        <v>753464</v>
      </c>
      <c r="B468" s="21" t="s">
        <v>15</v>
      </c>
      <c r="C468" s="21" t="s">
        <v>16</v>
      </c>
      <c r="D468" s="23">
        <v>5</v>
      </c>
      <c r="E468" s="24"/>
      <c r="F468" s="21" t="s">
        <v>49</v>
      </c>
      <c r="G468" s="12">
        <v>83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5" customHeight="1">
      <c r="A469" s="22">
        <v>753465</v>
      </c>
      <c r="B469" s="21" t="s">
        <v>15</v>
      </c>
      <c r="C469" s="21" t="s">
        <v>16</v>
      </c>
      <c r="D469" s="23">
        <v>5</v>
      </c>
      <c r="E469" s="24"/>
      <c r="F469" s="21" t="s">
        <v>51</v>
      </c>
      <c r="G469" s="12">
        <v>84</v>
      </c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5" customHeight="1">
      <c r="A470" s="22">
        <v>753466</v>
      </c>
      <c r="B470" s="21" t="s">
        <v>15</v>
      </c>
      <c r="C470" s="21" t="s">
        <v>16</v>
      </c>
      <c r="D470" s="23">
        <v>5</v>
      </c>
      <c r="E470" s="24"/>
      <c r="F470" s="21" t="s">
        <v>95</v>
      </c>
      <c r="G470" s="12">
        <v>85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5" customHeight="1">
      <c r="A471" s="22">
        <v>753467</v>
      </c>
      <c r="B471" s="21" t="s">
        <v>15</v>
      </c>
      <c r="C471" s="21" t="s">
        <v>16</v>
      </c>
      <c r="D471" s="23">
        <v>5</v>
      </c>
      <c r="E471" s="24"/>
      <c r="F471" s="21" t="s">
        <v>53</v>
      </c>
      <c r="G471" s="12">
        <v>86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5" customHeight="1">
      <c r="A472" s="22">
        <v>753475</v>
      </c>
      <c r="B472" s="21" t="s">
        <v>15</v>
      </c>
      <c r="C472" s="21" t="s">
        <v>16</v>
      </c>
      <c r="D472" s="23">
        <v>5</v>
      </c>
      <c r="E472" s="24"/>
      <c r="F472" s="21" t="s">
        <v>55</v>
      </c>
      <c r="G472" s="12">
        <v>87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5" customHeight="1">
      <c r="A473" s="22">
        <v>753474</v>
      </c>
      <c r="B473" s="21" t="s">
        <v>15</v>
      </c>
      <c r="C473" s="21" t="s">
        <v>16</v>
      </c>
      <c r="D473" s="23">
        <v>5</v>
      </c>
      <c r="E473" s="24"/>
      <c r="F473" s="21" t="s">
        <v>57</v>
      </c>
      <c r="G473" s="12">
        <v>88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5" customHeight="1">
      <c r="A474" s="22">
        <v>753473</v>
      </c>
      <c r="B474" s="21" t="s">
        <v>15</v>
      </c>
      <c r="C474" s="21" t="s">
        <v>16</v>
      </c>
      <c r="D474" s="23">
        <v>5</v>
      </c>
      <c r="E474" s="24"/>
      <c r="F474" s="21" t="s">
        <v>59</v>
      </c>
      <c r="G474" s="12">
        <v>89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5" customHeight="1">
      <c r="A475" s="22">
        <v>753472</v>
      </c>
      <c r="B475" s="21" t="s">
        <v>15</v>
      </c>
      <c r="C475" s="21" t="s">
        <v>16</v>
      </c>
      <c r="D475" s="23">
        <v>5</v>
      </c>
      <c r="E475" s="24"/>
      <c r="F475" s="21" t="s">
        <v>61</v>
      </c>
      <c r="G475" s="12">
        <v>90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5" customHeight="1">
      <c r="A476" s="22">
        <v>753471</v>
      </c>
      <c r="B476" s="21" t="s">
        <v>15</v>
      </c>
      <c r="C476" s="21" t="s">
        <v>16</v>
      </c>
      <c r="D476" s="23">
        <v>5</v>
      </c>
      <c r="E476" s="24"/>
      <c r="F476" s="21" t="s">
        <v>63</v>
      </c>
      <c r="G476" s="12">
        <v>91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5" customHeight="1">
      <c r="A477" s="22">
        <v>753476</v>
      </c>
      <c r="B477" s="21" t="s">
        <v>15</v>
      </c>
      <c r="C477" s="21" t="s">
        <v>16</v>
      </c>
      <c r="D477" s="23">
        <v>5</v>
      </c>
      <c r="E477" s="24"/>
      <c r="F477" s="21" t="s">
        <v>65</v>
      </c>
      <c r="G477" s="12">
        <v>92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5" customHeight="1">
      <c r="A478" s="22">
        <v>753477</v>
      </c>
      <c r="B478" s="21" t="s">
        <v>15</v>
      </c>
      <c r="C478" s="21" t="s">
        <v>16</v>
      </c>
      <c r="D478" s="23">
        <v>5</v>
      </c>
      <c r="E478" s="24"/>
      <c r="F478" s="21" t="s">
        <v>67</v>
      </c>
      <c r="G478" s="12">
        <v>93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5" customHeight="1">
      <c r="A479" s="22">
        <v>753478</v>
      </c>
      <c r="B479" s="21" t="s">
        <v>15</v>
      </c>
      <c r="C479" s="21" t="s">
        <v>16</v>
      </c>
      <c r="D479" s="23">
        <v>5</v>
      </c>
      <c r="E479" s="24"/>
      <c r="F479" s="21" t="s">
        <v>96</v>
      </c>
      <c r="G479" s="12">
        <v>94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5" customHeight="1">
      <c r="A480" s="22">
        <v>753484</v>
      </c>
      <c r="B480" s="21" t="s">
        <v>15</v>
      </c>
      <c r="C480" s="21" t="s">
        <v>16</v>
      </c>
      <c r="D480" s="23">
        <v>5</v>
      </c>
      <c r="E480" s="24"/>
      <c r="F480" s="21" t="s">
        <v>97</v>
      </c>
      <c r="G480" s="12">
        <v>95</v>
      </c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5" customHeight="1">
      <c r="A481" s="22">
        <v>753485</v>
      </c>
      <c r="B481" s="21" t="s">
        <v>15</v>
      </c>
      <c r="C481" s="21" t="s">
        <v>16</v>
      </c>
      <c r="D481" s="23">
        <v>5</v>
      </c>
      <c r="E481" s="24"/>
      <c r="F481" s="21" t="s">
        <v>47</v>
      </c>
      <c r="G481" s="12">
        <v>96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5" customHeight="1">
      <c r="A482" s="22">
        <v>753479</v>
      </c>
      <c r="B482" s="21" t="s">
        <v>15</v>
      </c>
      <c r="C482" s="21" t="s">
        <v>16</v>
      </c>
      <c r="D482" s="23">
        <v>6</v>
      </c>
      <c r="E482" s="24"/>
      <c r="F482" s="21" t="s">
        <v>100</v>
      </c>
      <c r="G482" s="12" t="s">
        <v>215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5" customHeight="1">
      <c r="A483" s="22">
        <v>753480</v>
      </c>
      <c r="B483" s="21" t="s">
        <v>15</v>
      </c>
      <c r="C483" s="21" t="s">
        <v>16</v>
      </c>
      <c r="D483" s="23">
        <v>6</v>
      </c>
      <c r="E483" s="24"/>
      <c r="F483" s="21" t="s">
        <v>102</v>
      </c>
      <c r="G483" s="12" t="s">
        <v>216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5" customHeight="1">
      <c r="A484" s="22">
        <v>753481</v>
      </c>
      <c r="B484" s="21" t="s">
        <v>15</v>
      </c>
      <c r="C484" s="21" t="s">
        <v>16</v>
      </c>
      <c r="D484" s="23">
        <v>6</v>
      </c>
      <c r="E484" s="24"/>
      <c r="F484" s="21" t="s">
        <v>104</v>
      </c>
      <c r="G484" s="12" t="s">
        <v>217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5" customHeight="1">
      <c r="A485" s="22">
        <v>753482</v>
      </c>
      <c r="B485" s="21" t="s">
        <v>15</v>
      </c>
      <c r="C485" s="21" t="s">
        <v>16</v>
      </c>
      <c r="D485" s="23">
        <v>6</v>
      </c>
      <c r="E485" s="24"/>
      <c r="F485" s="21" t="s">
        <v>69</v>
      </c>
      <c r="G485" s="12" t="s">
        <v>70</v>
      </c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5" customHeight="1">
      <c r="A486" s="22">
        <v>753483</v>
      </c>
      <c r="B486" s="21" t="s">
        <v>15</v>
      </c>
      <c r="C486" s="21" t="s">
        <v>16</v>
      </c>
      <c r="D486" s="23">
        <v>6</v>
      </c>
      <c r="E486" s="24"/>
      <c r="F486" s="21" t="s">
        <v>71</v>
      </c>
      <c r="G486" s="12" t="s">
        <v>72</v>
      </c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5" customHeight="1">
      <c r="A487" s="22">
        <v>753780</v>
      </c>
      <c r="B487" s="21" t="s">
        <v>15</v>
      </c>
      <c r="C487" s="21" t="s">
        <v>16</v>
      </c>
      <c r="D487" s="23">
        <v>6</v>
      </c>
      <c r="E487" s="24"/>
      <c r="F487" s="21" t="s">
        <v>73</v>
      </c>
      <c r="G487" s="12" t="s">
        <v>74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5" customHeight="1">
      <c r="A488" s="22">
        <v>753781</v>
      </c>
      <c r="B488" s="21" t="s">
        <v>15</v>
      </c>
      <c r="C488" s="21" t="s">
        <v>16</v>
      </c>
      <c r="D488" s="23">
        <v>6</v>
      </c>
      <c r="E488" s="24"/>
      <c r="F488" s="21" t="s">
        <v>75</v>
      </c>
      <c r="G488" s="12" t="s">
        <v>76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5" customHeight="1">
      <c r="A489" s="22">
        <v>753782</v>
      </c>
      <c r="B489" s="21" t="s">
        <v>15</v>
      </c>
      <c r="C489" s="21" t="s">
        <v>16</v>
      </c>
      <c r="D489" s="23">
        <v>6</v>
      </c>
      <c r="E489" s="24"/>
      <c r="F489" s="21" t="s">
        <v>77</v>
      </c>
      <c r="G489" s="12" t="s">
        <v>78</v>
      </c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5" customHeight="1">
      <c r="A490" s="22">
        <v>753783</v>
      </c>
      <c r="B490" s="21" t="s">
        <v>15</v>
      </c>
      <c r="C490" s="21" t="s">
        <v>16</v>
      </c>
      <c r="D490" s="23">
        <v>6</v>
      </c>
      <c r="E490" s="24"/>
      <c r="F490" s="21" t="s">
        <v>79</v>
      </c>
      <c r="G490" s="12" t="s">
        <v>80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5" customHeight="1">
      <c r="A491" s="22">
        <v>753784</v>
      </c>
      <c r="B491" s="21" t="s">
        <v>15</v>
      </c>
      <c r="C491" s="21" t="s">
        <v>16</v>
      </c>
      <c r="D491" s="23">
        <v>6</v>
      </c>
      <c r="E491" s="24"/>
      <c r="F491" s="21" t="s">
        <v>81</v>
      </c>
      <c r="G491" s="12">
        <v>10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5" customHeight="1">
      <c r="A492" s="22">
        <v>753792</v>
      </c>
      <c r="B492" s="21" t="s">
        <v>15</v>
      </c>
      <c r="C492" s="21" t="s">
        <v>16</v>
      </c>
      <c r="D492" s="23">
        <v>6</v>
      </c>
      <c r="E492" s="24"/>
      <c r="F492" s="21" t="s">
        <v>82</v>
      </c>
      <c r="G492" s="12">
        <v>11</v>
      </c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5" customHeight="1">
      <c r="A493" s="22">
        <v>753791</v>
      </c>
      <c r="B493" s="21" t="s">
        <v>15</v>
      </c>
      <c r="C493" s="21" t="s">
        <v>16</v>
      </c>
      <c r="D493" s="23">
        <v>6</v>
      </c>
      <c r="E493" s="24"/>
      <c r="F493" s="21" t="s">
        <v>83</v>
      </c>
      <c r="G493" s="12">
        <v>12</v>
      </c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5" customHeight="1">
      <c r="A494" s="22">
        <v>753790</v>
      </c>
      <c r="B494" s="21" t="s">
        <v>15</v>
      </c>
      <c r="C494" s="21" t="s">
        <v>16</v>
      </c>
      <c r="D494" s="23">
        <v>6</v>
      </c>
      <c r="E494" s="24"/>
      <c r="F494" s="21" t="s">
        <v>84</v>
      </c>
      <c r="G494" s="12">
        <v>13</v>
      </c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5" customHeight="1">
      <c r="A495" s="22">
        <v>753789</v>
      </c>
      <c r="B495" s="21" t="s">
        <v>15</v>
      </c>
      <c r="C495" s="21" t="s">
        <v>16</v>
      </c>
      <c r="D495" s="23">
        <v>6</v>
      </c>
      <c r="E495" s="24"/>
      <c r="F495" s="21" t="s">
        <v>85</v>
      </c>
      <c r="G495" s="12">
        <v>14</v>
      </c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5" customHeight="1">
      <c r="A496" s="22">
        <v>753788</v>
      </c>
      <c r="B496" s="21" t="s">
        <v>15</v>
      </c>
      <c r="C496" s="21" t="s">
        <v>16</v>
      </c>
      <c r="D496" s="23">
        <v>6</v>
      </c>
      <c r="E496" s="24"/>
      <c r="F496" s="21" t="s">
        <v>117</v>
      </c>
      <c r="G496" s="12">
        <v>15</v>
      </c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5" customHeight="1">
      <c r="A497" s="22">
        <v>753785</v>
      </c>
      <c r="B497" s="21" t="s">
        <v>15</v>
      </c>
      <c r="C497" s="21" t="s">
        <v>16</v>
      </c>
      <c r="D497" s="23">
        <v>6</v>
      </c>
      <c r="E497" s="24"/>
      <c r="F497" s="21" t="s">
        <v>119</v>
      </c>
      <c r="G497" s="12">
        <v>16</v>
      </c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5" customHeight="1">
      <c r="A498" s="22">
        <v>753786</v>
      </c>
      <c r="B498" s="21" t="s">
        <v>15</v>
      </c>
      <c r="C498" s="21" t="s">
        <v>16</v>
      </c>
      <c r="D498" s="23">
        <v>6</v>
      </c>
      <c r="E498" s="24"/>
      <c r="F498" s="21" t="s">
        <v>121</v>
      </c>
      <c r="G498" s="12">
        <v>17</v>
      </c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5" customHeight="1">
      <c r="A499" s="22">
        <v>753787</v>
      </c>
      <c r="B499" s="21" t="s">
        <v>15</v>
      </c>
      <c r="C499" s="21" t="s">
        <v>16</v>
      </c>
      <c r="D499" s="23">
        <v>6</v>
      </c>
      <c r="E499" s="24"/>
      <c r="F499" s="21" t="s">
        <v>123</v>
      </c>
      <c r="G499" s="12">
        <v>18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5" customHeight="1">
      <c r="A500" s="22">
        <v>753793</v>
      </c>
      <c r="B500" s="21" t="s">
        <v>15</v>
      </c>
      <c r="C500" s="21" t="s">
        <v>16</v>
      </c>
      <c r="D500" s="23">
        <v>6</v>
      </c>
      <c r="E500" s="24"/>
      <c r="F500" s="21" t="s">
        <v>125</v>
      </c>
      <c r="G500" s="12">
        <v>19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5" customHeight="1">
      <c r="A501" s="22">
        <v>753794</v>
      </c>
      <c r="B501" s="21" t="s">
        <v>15</v>
      </c>
      <c r="C501" s="21" t="s">
        <v>16</v>
      </c>
      <c r="D501" s="23">
        <v>6</v>
      </c>
      <c r="E501" s="24"/>
      <c r="F501" s="21" t="s">
        <v>86</v>
      </c>
      <c r="G501" s="12">
        <v>20</v>
      </c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5" customHeight="1">
      <c r="A502" s="22">
        <v>753795</v>
      </c>
      <c r="B502" s="21" t="s">
        <v>15</v>
      </c>
      <c r="C502" s="21" t="s">
        <v>16</v>
      </c>
      <c r="D502" s="23">
        <v>6</v>
      </c>
      <c r="E502" s="24"/>
      <c r="F502" s="21" t="s">
        <v>87</v>
      </c>
      <c r="G502" s="12">
        <v>21</v>
      </c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5" customHeight="1">
      <c r="A503" s="22">
        <v>753811</v>
      </c>
      <c r="B503" s="21" t="s">
        <v>15</v>
      </c>
      <c r="C503" s="21" t="s">
        <v>16</v>
      </c>
      <c r="D503" s="23">
        <v>6</v>
      </c>
      <c r="E503" s="24"/>
      <c r="F503" s="21" t="s">
        <v>88</v>
      </c>
      <c r="G503" s="12">
        <v>22</v>
      </c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5" customHeight="1">
      <c r="A504" s="22">
        <v>753810</v>
      </c>
      <c r="B504" s="21" t="s">
        <v>15</v>
      </c>
      <c r="C504" s="21" t="s">
        <v>16</v>
      </c>
      <c r="D504" s="23">
        <v>6</v>
      </c>
      <c r="E504" s="24"/>
      <c r="F504" s="21" t="s">
        <v>89</v>
      </c>
      <c r="G504" s="12">
        <v>23</v>
      </c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5" customHeight="1">
      <c r="A505" s="22">
        <v>753809</v>
      </c>
      <c r="B505" s="21" t="s">
        <v>15</v>
      </c>
      <c r="C505" s="21" t="s">
        <v>16</v>
      </c>
      <c r="D505" s="23">
        <v>6</v>
      </c>
      <c r="E505" s="24"/>
      <c r="F505" s="21" t="s">
        <v>90</v>
      </c>
      <c r="G505" s="12">
        <v>24</v>
      </c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5" customHeight="1">
      <c r="A506" s="22">
        <v>753803</v>
      </c>
      <c r="B506" s="21" t="s">
        <v>15</v>
      </c>
      <c r="C506" s="21" t="s">
        <v>16</v>
      </c>
      <c r="D506" s="23">
        <v>6</v>
      </c>
      <c r="E506" s="24"/>
      <c r="F506" s="21" t="s">
        <v>132</v>
      </c>
      <c r="G506" s="12">
        <v>25</v>
      </c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5" customHeight="1">
      <c r="A507" s="22">
        <v>753801</v>
      </c>
      <c r="B507" s="21" t="s">
        <v>15</v>
      </c>
      <c r="C507" s="21" t="s">
        <v>16</v>
      </c>
      <c r="D507" s="23">
        <v>6</v>
      </c>
      <c r="E507" s="24"/>
      <c r="F507" s="21" t="s">
        <v>134</v>
      </c>
      <c r="G507" s="12">
        <v>26</v>
      </c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5" customHeight="1">
      <c r="A508" s="22">
        <v>753802</v>
      </c>
      <c r="B508" s="21" t="s">
        <v>15</v>
      </c>
      <c r="C508" s="21" t="s">
        <v>16</v>
      </c>
      <c r="D508" s="23">
        <v>6</v>
      </c>
      <c r="E508" s="24"/>
      <c r="F508" s="21" t="s">
        <v>136</v>
      </c>
      <c r="G508" s="12">
        <v>27</v>
      </c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5" customHeight="1">
      <c r="A509" s="22">
        <v>753796</v>
      </c>
      <c r="B509" s="21" t="s">
        <v>15</v>
      </c>
      <c r="C509" s="21" t="s">
        <v>16</v>
      </c>
      <c r="D509" s="23">
        <v>6</v>
      </c>
      <c r="E509" s="24"/>
      <c r="F509" s="21" t="s">
        <v>138</v>
      </c>
      <c r="G509" s="12">
        <v>28</v>
      </c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5" customHeight="1">
      <c r="A510" s="22">
        <v>753797</v>
      </c>
      <c r="B510" s="21" t="s">
        <v>15</v>
      </c>
      <c r="C510" s="21" t="s">
        <v>16</v>
      </c>
      <c r="D510" s="23">
        <v>6</v>
      </c>
      <c r="E510" s="24"/>
      <c r="F510" s="21" t="s">
        <v>140</v>
      </c>
      <c r="G510" s="12">
        <v>29</v>
      </c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5" customHeight="1">
      <c r="A511" s="22">
        <v>753798</v>
      </c>
      <c r="B511" s="21" t="s">
        <v>15</v>
      </c>
      <c r="C511" s="21" t="s">
        <v>16</v>
      </c>
      <c r="D511" s="23">
        <v>6</v>
      </c>
      <c r="E511" s="24"/>
      <c r="F511" s="21" t="s">
        <v>142</v>
      </c>
      <c r="G511" s="12">
        <v>30</v>
      </c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5" customHeight="1">
      <c r="A512" s="22">
        <v>753799</v>
      </c>
      <c r="B512" s="21" t="s">
        <v>15</v>
      </c>
      <c r="C512" s="21" t="s">
        <v>16</v>
      </c>
      <c r="D512" s="23">
        <v>6</v>
      </c>
      <c r="E512" s="24"/>
      <c r="F512" s="21" t="s">
        <v>144</v>
      </c>
      <c r="G512" s="12">
        <v>31</v>
      </c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5" customHeight="1">
      <c r="A513" s="22">
        <v>753800</v>
      </c>
      <c r="B513" s="21" t="s">
        <v>15</v>
      </c>
      <c r="C513" s="21" t="s">
        <v>16</v>
      </c>
      <c r="D513" s="23">
        <v>6</v>
      </c>
      <c r="E513" s="24"/>
      <c r="F513" s="21" t="s">
        <v>146</v>
      </c>
      <c r="G513" s="12">
        <v>32</v>
      </c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5" customHeight="1">
      <c r="A514" s="22">
        <v>753804</v>
      </c>
      <c r="B514" s="21" t="s">
        <v>15</v>
      </c>
      <c r="C514" s="21" t="s">
        <v>16</v>
      </c>
      <c r="D514" s="23">
        <v>6</v>
      </c>
      <c r="E514" s="24"/>
      <c r="F514" s="21" t="s">
        <v>148</v>
      </c>
      <c r="G514" s="12">
        <v>33</v>
      </c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5" customHeight="1">
      <c r="A515" s="22">
        <v>753807</v>
      </c>
      <c r="B515" s="21" t="s">
        <v>15</v>
      </c>
      <c r="C515" s="21" t="s">
        <v>16</v>
      </c>
      <c r="D515" s="23">
        <v>6</v>
      </c>
      <c r="E515" s="24"/>
      <c r="F515" s="21" t="s">
        <v>150</v>
      </c>
      <c r="G515" s="12">
        <v>34</v>
      </c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5" customHeight="1">
      <c r="A516" s="22">
        <v>753805</v>
      </c>
      <c r="B516" s="21" t="s">
        <v>15</v>
      </c>
      <c r="C516" s="21" t="s">
        <v>16</v>
      </c>
      <c r="D516" s="23">
        <v>6</v>
      </c>
      <c r="E516" s="24"/>
      <c r="F516" s="21" t="s">
        <v>13</v>
      </c>
      <c r="G516" s="12">
        <v>35</v>
      </c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5" customHeight="1">
      <c r="A517" s="22">
        <v>753808</v>
      </c>
      <c r="B517" s="21" t="s">
        <v>15</v>
      </c>
      <c r="C517" s="21" t="s">
        <v>16</v>
      </c>
      <c r="D517" s="23">
        <v>6</v>
      </c>
      <c r="E517" s="24"/>
      <c r="F517" s="21" t="s">
        <v>17</v>
      </c>
      <c r="G517" s="12">
        <v>36</v>
      </c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5" customHeight="1">
      <c r="A518" s="22">
        <v>753806</v>
      </c>
      <c r="B518" s="21" t="s">
        <v>15</v>
      </c>
      <c r="C518" s="21" t="s">
        <v>16</v>
      </c>
      <c r="D518" s="23">
        <v>6</v>
      </c>
      <c r="E518" s="24"/>
      <c r="F518" s="21" t="s">
        <v>19</v>
      </c>
      <c r="G518" s="12">
        <v>37</v>
      </c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5" customHeight="1">
      <c r="A519" s="22">
        <v>753812</v>
      </c>
      <c r="B519" s="21" t="s">
        <v>15</v>
      </c>
      <c r="C519" s="21" t="s">
        <v>16</v>
      </c>
      <c r="D519" s="23">
        <v>6</v>
      </c>
      <c r="E519" s="24"/>
      <c r="F519" s="21" t="s">
        <v>21</v>
      </c>
      <c r="G519" s="12">
        <v>38</v>
      </c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5" customHeight="1">
      <c r="A520" s="22">
        <v>753813</v>
      </c>
      <c r="B520" s="21" t="s">
        <v>15</v>
      </c>
      <c r="C520" s="21" t="s">
        <v>16</v>
      </c>
      <c r="D520" s="23">
        <v>6</v>
      </c>
      <c r="E520" s="24"/>
      <c r="F520" s="21" t="s">
        <v>152</v>
      </c>
      <c r="G520" s="12">
        <v>39</v>
      </c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5" customHeight="1">
      <c r="A521" s="22">
        <v>753814</v>
      </c>
      <c r="B521" s="21" t="s">
        <v>15</v>
      </c>
      <c r="C521" s="21" t="s">
        <v>16</v>
      </c>
      <c r="D521" s="23">
        <v>6</v>
      </c>
      <c r="E521" s="24"/>
      <c r="F521" s="21" t="s">
        <v>154</v>
      </c>
      <c r="G521" s="12">
        <v>40</v>
      </c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5" customHeight="1">
      <c r="A522" s="22">
        <v>753815</v>
      </c>
      <c r="B522" s="21" t="s">
        <v>15</v>
      </c>
      <c r="C522" s="21" t="s">
        <v>16</v>
      </c>
      <c r="D522" s="23">
        <v>6</v>
      </c>
      <c r="E522" s="24"/>
      <c r="F522" s="21" t="s">
        <v>156</v>
      </c>
      <c r="G522" s="12">
        <v>41</v>
      </c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5" customHeight="1">
      <c r="A523" s="22">
        <v>753816</v>
      </c>
      <c r="B523" s="21" t="s">
        <v>15</v>
      </c>
      <c r="C523" s="21" t="s">
        <v>16</v>
      </c>
      <c r="D523" s="23">
        <v>6</v>
      </c>
      <c r="E523" s="24"/>
      <c r="F523" s="21" t="s">
        <v>158</v>
      </c>
      <c r="G523" s="12">
        <v>42</v>
      </c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5" customHeight="1">
      <c r="A524" s="22">
        <v>753835</v>
      </c>
      <c r="B524" s="21" t="s">
        <v>15</v>
      </c>
      <c r="C524" s="21" t="s">
        <v>16</v>
      </c>
      <c r="D524" s="23">
        <v>6</v>
      </c>
      <c r="E524" s="24"/>
      <c r="F524" s="21" t="s">
        <v>160</v>
      </c>
      <c r="G524" s="12">
        <v>43</v>
      </c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5" customHeight="1">
      <c r="A525" s="22">
        <v>753834</v>
      </c>
      <c r="B525" s="21" t="s">
        <v>15</v>
      </c>
      <c r="C525" s="21" t="s">
        <v>16</v>
      </c>
      <c r="D525" s="23">
        <v>6</v>
      </c>
      <c r="E525" s="24"/>
      <c r="F525" s="21" t="s">
        <v>23</v>
      </c>
      <c r="G525" s="12">
        <v>44</v>
      </c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5" customHeight="1">
      <c r="A526" s="22">
        <v>753833</v>
      </c>
      <c r="B526" s="21" t="s">
        <v>15</v>
      </c>
      <c r="C526" s="21" t="s">
        <v>16</v>
      </c>
      <c r="D526" s="23">
        <v>6</v>
      </c>
      <c r="E526" s="24"/>
      <c r="F526" s="21" t="s">
        <v>25</v>
      </c>
      <c r="G526" s="12">
        <v>45</v>
      </c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5" customHeight="1">
      <c r="A527" s="22">
        <v>753817</v>
      </c>
      <c r="B527" s="21" t="s">
        <v>15</v>
      </c>
      <c r="C527" s="21" t="s">
        <v>16</v>
      </c>
      <c r="D527" s="23">
        <v>6</v>
      </c>
      <c r="E527" s="24"/>
      <c r="F527" s="21" t="s">
        <v>27</v>
      </c>
      <c r="G527" s="12">
        <v>46</v>
      </c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5" customHeight="1">
      <c r="A528" s="22">
        <v>753818</v>
      </c>
      <c r="B528" s="21" t="s">
        <v>15</v>
      </c>
      <c r="C528" s="21" t="s">
        <v>16</v>
      </c>
      <c r="D528" s="23">
        <v>6</v>
      </c>
      <c r="E528" s="24"/>
      <c r="F528" s="21" t="s">
        <v>162</v>
      </c>
      <c r="G528" s="12">
        <v>47</v>
      </c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5" customHeight="1">
      <c r="A529" s="22">
        <v>753819</v>
      </c>
      <c r="B529" s="21" t="s">
        <v>15</v>
      </c>
      <c r="C529" s="21" t="s">
        <v>16</v>
      </c>
      <c r="D529" s="23">
        <v>6</v>
      </c>
      <c r="E529" s="24"/>
      <c r="F529" s="21" t="s">
        <v>164</v>
      </c>
      <c r="G529" s="12">
        <v>48</v>
      </c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5" customHeight="1">
      <c r="A530" s="22">
        <v>753825</v>
      </c>
      <c r="B530" s="21" t="s">
        <v>15</v>
      </c>
      <c r="C530" s="21" t="s">
        <v>16</v>
      </c>
      <c r="D530" s="23">
        <v>6</v>
      </c>
      <c r="E530" s="24"/>
      <c r="F530" s="21" t="s">
        <v>166</v>
      </c>
      <c r="G530" s="12">
        <v>49</v>
      </c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5" customHeight="1">
      <c r="A531" s="22">
        <v>753826</v>
      </c>
      <c r="B531" s="21" t="s">
        <v>15</v>
      </c>
      <c r="C531" s="21" t="s">
        <v>16</v>
      </c>
      <c r="D531" s="23">
        <v>6</v>
      </c>
      <c r="E531" s="24"/>
      <c r="F531" s="21" t="s">
        <v>168</v>
      </c>
      <c r="G531" s="12">
        <v>50</v>
      </c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5" customHeight="1">
      <c r="A532" s="22">
        <v>753827</v>
      </c>
      <c r="B532" s="21" t="s">
        <v>15</v>
      </c>
      <c r="C532" s="21" t="s">
        <v>16</v>
      </c>
      <c r="D532" s="23">
        <v>6</v>
      </c>
      <c r="E532" s="24"/>
      <c r="F532" s="21" t="s">
        <v>43</v>
      </c>
      <c r="G532" s="12">
        <v>51</v>
      </c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5" customHeight="1">
      <c r="A533" s="22">
        <v>753828</v>
      </c>
      <c r="B533" s="21" t="s">
        <v>15</v>
      </c>
      <c r="C533" s="21" t="s">
        <v>16</v>
      </c>
      <c r="D533" s="23">
        <v>6</v>
      </c>
      <c r="E533" s="24"/>
      <c r="F533" s="21" t="s">
        <v>45</v>
      </c>
      <c r="G533" s="12">
        <v>52</v>
      </c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5" customHeight="1">
      <c r="A534" s="22">
        <v>753829</v>
      </c>
      <c r="B534" s="21" t="s">
        <v>15</v>
      </c>
      <c r="C534" s="21" t="s">
        <v>16</v>
      </c>
      <c r="D534" s="23">
        <v>6</v>
      </c>
      <c r="E534" s="24"/>
      <c r="F534" s="21" t="s">
        <v>170</v>
      </c>
      <c r="G534" s="12">
        <v>53</v>
      </c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5" customHeight="1">
      <c r="A535" s="22">
        <v>753830</v>
      </c>
      <c r="B535" s="21" t="s">
        <v>15</v>
      </c>
      <c r="C535" s="21" t="s">
        <v>16</v>
      </c>
      <c r="D535" s="23">
        <v>6</v>
      </c>
      <c r="E535" s="24"/>
      <c r="F535" s="21" t="s">
        <v>29</v>
      </c>
      <c r="G535" s="12">
        <v>54</v>
      </c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5" customHeight="1">
      <c r="A536" s="22">
        <v>753831</v>
      </c>
      <c r="B536" s="21" t="s">
        <v>15</v>
      </c>
      <c r="C536" s="21" t="s">
        <v>16</v>
      </c>
      <c r="D536" s="23">
        <v>6</v>
      </c>
      <c r="E536" s="24"/>
      <c r="F536" s="21" t="s">
        <v>31</v>
      </c>
      <c r="G536" s="12">
        <v>55</v>
      </c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5" customHeight="1">
      <c r="A537" s="22">
        <v>753832</v>
      </c>
      <c r="B537" s="21" t="s">
        <v>15</v>
      </c>
      <c r="C537" s="21" t="s">
        <v>16</v>
      </c>
      <c r="D537" s="23">
        <v>6</v>
      </c>
      <c r="E537" s="24"/>
      <c r="F537" s="21" t="s">
        <v>33</v>
      </c>
      <c r="G537" s="12">
        <v>56</v>
      </c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5" customHeight="1">
      <c r="A538" s="22">
        <v>753841</v>
      </c>
      <c r="B538" s="21" t="s">
        <v>15</v>
      </c>
      <c r="C538" s="21" t="s">
        <v>16</v>
      </c>
      <c r="D538" s="23">
        <v>6</v>
      </c>
      <c r="E538" s="24"/>
      <c r="F538" s="21" t="s">
        <v>35</v>
      </c>
      <c r="G538" s="12">
        <v>57</v>
      </c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5" customHeight="1">
      <c r="A539" s="22">
        <v>753842</v>
      </c>
      <c r="B539" s="21" t="s">
        <v>15</v>
      </c>
      <c r="C539" s="21" t="s">
        <v>16</v>
      </c>
      <c r="D539" s="23">
        <v>6</v>
      </c>
      <c r="E539" s="24"/>
      <c r="F539" s="21" t="s">
        <v>37</v>
      </c>
      <c r="G539" s="12">
        <v>58</v>
      </c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5" customHeight="1">
      <c r="A540" s="22">
        <v>753843</v>
      </c>
      <c r="B540" s="21" t="s">
        <v>15</v>
      </c>
      <c r="C540" s="21" t="s">
        <v>16</v>
      </c>
      <c r="D540" s="23">
        <v>6</v>
      </c>
      <c r="E540" s="24"/>
      <c r="F540" s="21" t="s">
        <v>172</v>
      </c>
      <c r="G540" s="12">
        <v>59</v>
      </c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5" customHeight="1">
      <c r="A541" s="22">
        <v>753849</v>
      </c>
      <c r="B541" s="21" t="s">
        <v>15</v>
      </c>
      <c r="C541" s="21" t="s">
        <v>16</v>
      </c>
      <c r="D541" s="23">
        <v>6</v>
      </c>
      <c r="E541" s="24"/>
      <c r="F541" s="21" t="s">
        <v>174</v>
      </c>
      <c r="G541" s="12">
        <v>60</v>
      </c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5" customHeight="1">
      <c r="A542" s="22">
        <v>753850</v>
      </c>
      <c r="B542" s="21" t="s">
        <v>15</v>
      </c>
      <c r="C542" s="21" t="s">
        <v>16</v>
      </c>
      <c r="D542" s="23">
        <v>6</v>
      </c>
      <c r="E542" s="24"/>
      <c r="F542" s="21" t="s">
        <v>176</v>
      </c>
      <c r="G542" s="12">
        <v>61</v>
      </c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5" customHeight="1">
      <c r="A543" s="22">
        <v>753851</v>
      </c>
      <c r="B543" s="21" t="s">
        <v>15</v>
      </c>
      <c r="C543" s="21" t="s">
        <v>16</v>
      </c>
      <c r="D543" s="23">
        <v>6</v>
      </c>
      <c r="E543" s="24"/>
      <c r="F543" s="21" t="s">
        <v>178</v>
      </c>
      <c r="G543" s="12">
        <v>62</v>
      </c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5" customHeight="1">
      <c r="A544" s="22">
        <v>753844</v>
      </c>
      <c r="B544" s="21" t="s">
        <v>15</v>
      </c>
      <c r="C544" s="21" t="s">
        <v>16</v>
      </c>
      <c r="D544" s="23">
        <v>6</v>
      </c>
      <c r="E544" s="24"/>
      <c r="F544" s="21" t="s">
        <v>180</v>
      </c>
      <c r="G544" s="12">
        <v>63</v>
      </c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5" customHeight="1">
      <c r="A545" s="22">
        <v>753845</v>
      </c>
      <c r="B545" s="21" t="s">
        <v>15</v>
      </c>
      <c r="C545" s="21" t="s">
        <v>16</v>
      </c>
      <c r="D545" s="23">
        <v>6</v>
      </c>
      <c r="E545" s="24"/>
      <c r="F545" s="21" t="s">
        <v>182</v>
      </c>
      <c r="G545" s="12">
        <v>64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5" customHeight="1">
      <c r="A546" s="22">
        <v>753846</v>
      </c>
      <c r="B546" s="21" t="s">
        <v>15</v>
      </c>
      <c r="C546" s="21" t="s">
        <v>16</v>
      </c>
      <c r="D546" s="23">
        <v>6</v>
      </c>
      <c r="E546" s="24"/>
      <c r="F546" s="21" t="s">
        <v>39</v>
      </c>
      <c r="G546" s="12">
        <v>65</v>
      </c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5" customHeight="1">
      <c r="A547" s="22">
        <v>753847</v>
      </c>
      <c r="B547" s="21" t="s">
        <v>15</v>
      </c>
      <c r="C547" s="21" t="s">
        <v>16</v>
      </c>
      <c r="D547" s="23">
        <v>6</v>
      </c>
      <c r="E547" s="24"/>
      <c r="F547" s="21" t="s">
        <v>41</v>
      </c>
      <c r="G547" s="12">
        <v>66</v>
      </c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5" customHeight="1">
      <c r="A548" s="22">
        <v>753848</v>
      </c>
      <c r="B548" s="21" t="s">
        <v>15</v>
      </c>
      <c r="C548" s="21" t="s">
        <v>16</v>
      </c>
      <c r="D548" s="23">
        <v>6</v>
      </c>
      <c r="E548" s="24"/>
      <c r="F548" s="21" t="s">
        <v>184</v>
      </c>
      <c r="G548" s="12">
        <v>67</v>
      </c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5" customHeight="1">
      <c r="A549" s="22">
        <v>753489</v>
      </c>
      <c r="B549" s="21" t="s">
        <v>15</v>
      </c>
      <c r="C549" s="21" t="s">
        <v>16</v>
      </c>
      <c r="D549" s="23">
        <v>6</v>
      </c>
      <c r="E549" s="24"/>
      <c r="F549" s="21" t="s">
        <v>186</v>
      </c>
      <c r="G549" s="12">
        <v>68</v>
      </c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5" customHeight="1">
      <c r="A550" s="22">
        <v>753490</v>
      </c>
      <c r="B550" s="21" t="s">
        <v>15</v>
      </c>
      <c r="C550" s="21" t="s">
        <v>16</v>
      </c>
      <c r="D550" s="23">
        <v>6</v>
      </c>
      <c r="E550" s="24"/>
      <c r="F550" s="21" t="s">
        <v>188</v>
      </c>
      <c r="G550" s="12">
        <v>69</v>
      </c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5" customHeight="1">
      <c r="A551" s="22">
        <v>753491</v>
      </c>
      <c r="B551" s="21" t="s">
        <v>15</v>
      </c>
      <c r="C551" s="21" t="s">
        <v>16</v>
      </c>
      <c r="D551" s="23">
        <v>6</v>
      </c>
      <c r="E551" s="24"/>
      <c r="F551" s="21" t="s">
        <v>190</v>
      </c>
      <c r="G551" s="12">
        <v>70</v>
      </c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5" customHeight="1">
      <c r="A552" s="22">
        <v>753492</v>
      </c>
      <c r="B552" s="21" t="s">
        <v>15</v>
      </c>
      <c r="C552" s="21" t="s">
        <v>16</v>
      </c>
      <c r="D552" s="23">
        <v>6</v>
      </c>
      <c r="E552" s="24"/>
      <c r="F552" s="21" t="s">
        <v>192</v>
      </c>
      <c r="G552" s="12">
        <v>71</v>
      </c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5" customHeight="1">
      <c r="A553" s="22">
        <v>753493</v>
      </c>
      <c r="B553" s="21" t="s">
        <v>15</v>
      </c>
      <c r="C553" s="21" t="s">
        <v>16</v>
      </c>
      <c r="D553" s="23">
        <v>6</v>
      </c>
      <c r="E553" s="24"/>
      <c r="F553" s="21" t="s">
        <v>194</v>
      </c>
      <c r="G553" s="12">
        <v>72</v>
      </c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5" customHeight="1">
      <c r="A554" s="22">
        <v>753501</v>
      </c>
      <c r="B554" s="21" t="s">
        <v>15</v>
      </c>
      <c r="C554" s="21" t="s">
        <v>16</v>
      </c>
      <c r="D554" s="23">
        <v>6</v>
      </c>
      <c r="E554" s="24"/>
      <c r="F554" s="21" t="s">
        <v>196</v>
      </c>
      <c r="G554" s="12">
        <v>73</v>
      </c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5" customHeight="1">
      <c r="A555" s="22">
        <v>753500</v>
      </c>
      <c r="B555" s="21" t="s">
        <v>15</v>
      </c>
      <c r="C555" s="21" t="s">
        <v>16</v>
      </c>
      <c r="D555" s="23">
        <v>6</v>
      </c>
      <c r="E555" s="24"/>
      <c r="F555" s="21" t="s">
        <v>198</v>
      </c>
      <c r="G555" s="12">
        <v>74</v>
      </c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5" customHeight="1">
      <c r="A556" s="22">
        <v>753499</v>
      </c>
      <c r="B556" s="21" t="s">
        <v>15</v>
      </c>
      <c r="C556" s="21" t="s">
        <v>16</v>
      </c>
      <c r="D556" s="23">
        <v>6</v>
      </c>
      <c r="E556" s="24"/>
      <c r="F556" s="21" t="s">
        <v>200</v>
      </c>
      <c r="G556" s="12">
        <v>75</v>
      </c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5" customHeight="1">
      <c r="A557" s="22">
        <v>753498</v>
      </c>
      <c r="B557" s="21" t="s">
        <v>15</v>
      </c>
      <c r="C557" s="21" t="s">
        <v>16</v>
      </c>
      <c r="D557" s="23">
        <v>6</v>
      </c>
      <c r="E557" s="24"/>
      <c r="F557" s="21" t="s">
        <v>202</v>
      </c>
      <c r="G557" s="12">
        <v>76</v>
      </c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5" customHeight="1">
      <c r="A558" s="22">
        <v>753497</v>
      </c>
      <c r="B558" s="21" t="s">
        <v>15</v>
      </c>
      <c r="C558" s="21" t="s">
        <v>16</v>
      </c>
      <c r="D558" s="23">
        <v>6</v>
      </c>
      <c r="E558" s="24"/>
      <c r="F558" s="21" t="s">
        <v>204</v>
      </c>
      <c r="G558" s="12">
        <v>77</v>
      </c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5" customHeight="1">
      <c r="A559" s="22">
        <v>753494</v>
      </c>
      <c r="B559" s="21" t="s">
        <v>15</v>
      </c>
      <c r="C559" s="21" t="s">
        <v>16</v>
      </c>
      <c r="D559" s="23">
        <v>6</v>
      </c>
      <c r="E559" s="24"/>
      <c r="F559" s="21" t="s">
        <v>206</v>
      </c>
      <c r="G559" s="12">
        <v>78</v>
      </c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5" customHeight="1">
      <c r="A560" s="22">
        <v>753495</v>
      </c>
      <c r="B560" s="21" t="s">
        <v>15</v>
      </c>
      <c r="C560" s="21" t="s">
        <v>16</v>
      </c>
      <c r="D560" s="23">
        <v>6</v>
      </c>
      <c r="E560" s="24"/>
      <c r="F560" s="21" t="s">
        <v>91</v>
      </c>
      <c r="G560" s="12">
        <v>79</v>
      </c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5" customHeight="1">
      <c r="A561" s="22">
        <v>753496</v>
      </c>
      <c r="B561" s="21" t="s">
        <v>15</v>
      </c>
      <c r="C561" s="21" t="s">
        <v>16</v>
      </c>
      <c r="D561" s="23">
        <v>6</v>
      </c>
      <c r="E561" s="24"/>
      <c r="F561" s="21" t="s">
        <v>92</v>
      </c>
      <c r="G561" s="12">
        <v>80</v>
      </c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5" customHeight="1">
      <c r="A562" s="22">
        <v>753502</v>
      </c>
      <c r="B562" s="21" t="s">
        <v>15</v>
      </c>
      <c r="C562" s="21" t="s">
        <v>16</v>
      </c>
      <c r="D562" s="23">
        <v>6</v>
      </c>
      <c r="E562" s="24"/>
      <c r="F562" s="21" t="s">
        <v>93</v>
      </c>
      <c r="G562" s="12">
        <v>81</v>
      </c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5" customHeight="1">
      <c r="A563" s="22">
        <v>753503</v>
      </c>
      <c r="B563" s="21" t="s">
        <v>15</v>
      </c>
      <c r="C563" s="21" t="s">
        <v>16</v>
      </c>
      <c r="D563" s="23">
        <v>6</v>
      </c>
      <c r="E563" s="24"/>
      <c r="F563" s="21" t="s">
        <v>94</v>
      </c>
      <c r="G563" s="12">
        <v>82</v>
      </c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5" customHeight="1">
      <c r="A564" s="22">
        <v>753504</v>
      </c>
      <c r="B564" s="21" t="s">
        <v>15</v>
      </c>
      <c r="C564" s="21" t="s">
        <v>16</v>
      </c>
      <c r="D564" s="23">
        <v>6</v>
      </c>
      <c r="E564" s="24"/>
      <c r="F564" s="21" t="s">
        <v>49</v>
      </c>
      <c r="G564" s="12">
        <v>83</v>
      </c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5" customHeight="1">
      <c r="A565" s="22">
        <v>753505</v>
      </c>
      <c r="B565" s="21" t="s">
        <v>15</v>
      </c>
      <c r="C565" s="21" t="s">
        <v>16</v>
      </c>
      <c r="D565" s="23">
        <v>6</v>
      </c>
      <c r="E565" s="24"/>
      <c r="F565" s="21" t="s">
        <v>51</v>
      </c>
      <c r="G565" s="12">
        <v>84</v>
      </c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5" customHeight="1">
      <c r="A566" s="22">
        <v>753506</v>
      </c>
      <c r="B566" s="21" t="s">
        <v>15</v>
      </c>
      <c r="C566" s="21" t="s">
        <v>16</v>
      </c>
      <c r="D566" s="23">
        <v>6</v>
      </c>
      <c r="E566" s="24"/>
      <c r="F566" s="21" t="s">
        <v>95</v>
      </c>
      <c r="G566" s="12">
        <v>85</v>
      </c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5" customHeight="1">
      <c r="A567" s="22">
        <v>753507</v>
      </c>
      <c r="B567" s="21" t="s">
        <v>15</v>
      </c>
      <c r="C567" s="21" t="s">
        <v>16</v>
      </c>
      <c r="D567" s="23">
        <v>6</v>
      </c>
      <c r="E567" s="24"/>
      <c r="F567" s="21" t="s">
        <v>53</v>
      </c>
      <c r="G567" s="12">
        <v>86</v>
      </c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5" customHeight="1">
      <c r="A568" s="22">
        <v>753508</v>
      </c>
      <c r="B568" s="21" t="s">
        <v>15</v>
      </c>
      <c r="C568" s="21" t="s">
        <v>16</v>
      </c>
      <c r="D568" s="23">
        <v>6</v>
      </c>
      <c r="E568" s="24"/>
      <c r="F568" s="21" t="s">
        <v>55</v>
      </c>
      <c r="G568" s="12">
        <v>87</v>
      </c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5" customHeight="1">
      <c r="A569" s="22">
        <v>753509</v>
      </c>
      <c r="B569" s="21" t="s">
        <v>15</v>
      </c>
      <c r="C569" s="21" t="s">
        <v>16</v>
      </c>
      <c r="D569" s="23">
        <v>6</v>
      </c>
      <c r="E569" s="24"/>
      <c r="F569" s="21" t="s">
        <v>57</v>
      </c>
      <c r="G569" s="12">
        <v>88</v>
      </c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5" customHeight="1">
      <c r="A570" s="22">
        <v>753521</v>
      </c>
      <c r="B570" s="21" t="s">
        <v>15</v>
      </c>
      <c r="C570" s="21" t="s">
        <v>16</v>
      </c>
      <c r="D570" s="23">
        <v>6</v>
      </c>
      <c r="E570" s="24"/>
      <c r="F570" s="21" t="s">
        <v>59</v>
      </c>
      <c r="G570" s="12">
        <v>89</v>
      </c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5" customHeight="1">
      <c r="A571" s="22">
        <v>753522</v>
      </c>
      <c r="B571" s="21" t="s">
        <v>15</v>
      </c>
      <c r="C571" s="21" t="s">
        <v>16</v>
      </c>
      <c r="D571" s="23">
        <v>6</v>
      </c>
      <c r="E571" s="24"/>
      <c r="F571" s="21" t="s">
        <v>61</v>
      </c>
      <c r="G571" s="12">
        <v>90</v>
      </c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5" customHeight="1">
      <c r="A572" s="22">
        <v>753523</v>
      </c>
      <c r="B572" s="21" t="s">
        <v>15</v>
      </c>
      <c r="C572" s="21" t="s">
        <v>16</v>
      </c>
      <c r="D572" s="23">
        <v>6</v>
      </c>
      <c r="E572" s="24"/>
      <c r="F572" s="21" t="s">
        <v>63</v>
      </c>
      <c r="G572" s="12">
        <v>91</v>
      </c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5" customHeight="1">
      <c r="A573" s="22">
        <v>753524</v>
      </c>
      <c r="B573" s="21" t="s">
        <v>15</v>
      </c>
      <c r="C573" s="21" t="s">
        <v>16</v>
      </c>
      <c r="D573" s="23">
        <v>6</v>
      </c>
      <c r="E573" s="24"/>
      <c r="F573" s="21" t="s">
        <v>65</v>
      </c>
      <c r="G573" s="12">
        <v>92</v>
      </c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5" customHeight="1">
      <c r="A574" s="22">
        <v>753525</v>
      </c>
      <c r="B574" s="21" t="s">
        <v>15</v>
      </c>
      <c r="C574" s="21" t="s">
        <v>16</v>
      </c>
      <c r="D574" s="23">
        <v>6</v>
      </c>
      <c r="E574" s="24"/>
      <c r="F574" s="21" t="s">
        <v>67</v>
      </c>
      <c r="G574" s="12">
        <v>93</v>
      </c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5" customHeight="1">
      <c r="A575" s="22">
        <v>753544</v>
      </c>
      <c r="B575" s="21" t="s">
        <v>15</v>
      </c>
      <c r="C575" s="21" t="s">
        <v>16</v>
      </c>
      <c r="D575" s="23">
        <v>6</v>
      </c>
      <c r="E575" s="24"/>
      <c r="F575" s="21" t="s">
        <v>96</v>
      </c>
      <c r="G575" s="12">
        <v>94</v>
      </c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5" customHeight="1">
      <c r="A576" s="22">
        <v>753543</v>
      </c>
      <c r="B576" s="21" t="s">
        <v>15</v>
      </c>
      <c r="C576" s="21" t="s">
        <v>16</v>
      </c>
      <c r="D576" s="23">
        <v>6</v>
      </c>
      <c r="E576" s="24"/>
      <c r="F576" s="21" t="s">
        <v>97</v>
      </c>
      <c r="G576" s="12">
        <v>95</v>
      </c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5" customHeight="1">
      <c r="A577" s="22">
        <v>753542</v>
      </c>
      <c r="B577" s="21" t="s">
        <v>15</v>
      </c>
      <c r="C577" s="21" t="s">
        <v>16</v>
      </c>
      <c r="D577" s="23">
        <v>6</v>
      </c>
      <c r="E577" s="24"/>
      <c r="F577" s="21" t="s">
        <v>47</v>
      </c>
      <c r="G577" s="12">
        <v>96</v>
      </c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5" customHeight="1">
      <c r="A578" s="22">
        <v>753526</v>
      </c>
      <c r="B578" s="21" t="s">
        <v>15</v>
      </c>
      <c r="C578" s="21" t="s">
        <v>16</v>
      </c>
      <c r="D578" s="23">
        <v>7</v>
      </c>
      <c r="E578" s="24"/>
      <c r="F578" s="21" t="s">
        <v>100</v>
      </c>
      <c r="G578" s="12" t="s">
        <v>215</v>
      </c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5" customHeight="1">
      <c r="A579" s="22">
        <v>753527</v>
      </c>
      <c r="B579" s="21" t="s">
        <v>15</v>
      </c>
      <c r="C579" s="21" t="s">
        <v>16</v>
      </c>
      <c r="D579" s="23">
        <v>7</v>
      </c>
      <c r="E579" s="24"/>
      <c r="F579" s="21" t="s">
        <v>102</v>
      </c>
      <c r="G579" s="12" t="s">
        <v>216</v>
      </c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5" customHeight="1">
      <c r="A580" s="22">
        <v>753528</v>
      </c>
      <c r="B580" s="21" t="s">
        <v>15</v>
      </c>
      <c r="C580" s="21" t="s">
        <v>16</v>
      </c>
      <c r="D580" s="23">
        <v>7</v>
      </c>
      <c r="E580" s="24"/>
      <c r="F580" s="21" t="s">
        <v>104</v>
      </c>
      <c r="G580" s="12" t="s">
        <v>217</v>
      </c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5" customHeight="1">
      <c r="A581" s="22">
        <v>753534</v>
      </c>
      <c r="B581" s="21" t="s">
        <v>15</v>
      </c>
      <c r="C581" s="21" t="s">
        <v>16</v>
      </c>
      <c r="D581" s="23">
        <v>7</v>
      </c>
      <c r="E581" s="24"/>
      <c r="F581" s="21" t="s">
        <v>69</v>
      </c>
      <c r="G581" s="12" t="s">
        <v>70</v>
      </c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5" customHeight="1">
      <c r="A582" s="22">
        <v>753535</v>
      </c>
      <c r="B582" s="21" t="s">
        <v>15</v>
      </c>
      <c r="C582" s="21" t="s">
        <v>16</v>
      </c>
      <c r="D582" s="23">
        <v>7</v>
      </c>
      <c r="E582" s="24"/>
      <c r="F582" s="21" t="s">
        <v>71</v>
      </c>
      <c r="G582" s="12" t="s">
        <v>72</v>
      </c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5" customHeight="1">
      <c r="A583" s="22">
        <v>753536</v>
      </c>
      <c r="B583" s="21" t="s">
        <v>15</v>
      </c>
      <c r="C583" s="21" t="s">
        <v>16</v>
      </c>
      <c r="D583" s="23">
        <v>7</v>
      </c>
      <c r="E583" s="24"/>
      <c r="F583" s="21" t="s">
        <v>73</v>
      </c>
      <c r="G583" s="12" t="s">
        <v>74</v>
      </c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5" customHeight="1">
      <c r="A584" s="22">
        <v>753537</v>
      </c>
      <c r="B584" s="21" t="s">
        <v>15</v>
      </c>
      <c r="C584" s="21" t="s">
        <v>16</v>
      </c>
      <c r="D584" s="23">
        <v>7</v>
      </c>
      <c r="E584" s="24"/>
      <c r="F584" s="21" t="s">
        <v>75</v>
      </c>
      <c r="G584" s="12" t="s">
        <v>76</v>
      </c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5" customHeight="1">
      <c r="A585" s="22">
        <v>753538</v>
      </c>
      <c r="B585" s="21" t="s">
        <v>15</v>
      </c>
      <c r="C585" s="21" t="s">
        <v>16</v>
      </c>
      <c r="D585" s="23">
        <v>7</v>
      </c>
      <c r="E585" s="24"/>
      <c r="F585" s="21" t="s">
        <v>77</v>
      </c>
      <c r="G585" s="12" t="s">
        <v>78</v>
      </c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5" customHeight="1">
      <c r="A586" s="22">
        <v>753539</v>
      </c>
      <c r="B586" s="21" t="s">
        <v>15</v>
      </c>
      <c r="C586" s="21" t="s">
        <v>16</v>
      </c>
      <c r="D586" s="23">
        <v>7</v>
      </c>
      <c r="E586" s="24"/>
      <c r="F586" s="21" t="s">
        <v>79</v>
      </c>
      <c r="G586" s="12" t="s">
        <v>80</v>
      </c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5" customHeight="1">
      <c r="A587" s="22">
        <v>753540</v>
      </c>
      <c r="B587" s="21" t="s">
        <v>15</v>
      </c>
      <c r="C587" s="21" t="s">
        <v>16</v>
      </c>
      <c r="D587" s="23">
        <v>7</v>
      </c>
      <c r="E587" s="24"/>
      <c r="F587" s="21" t="s">
        <v>81</v>
      </c>
      <c r="G587" s="12">
        <v>10</v>
      </c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5" customHeight="1">
      <c r="A588" s="22">
        <v>753541</v>
      </c>
      <c r="B588" s="21" t="s">
        <v>15</v>
      </c>
      <c r="C588" s="21" t="s">
        <v>16</v>
      </c>
      <c r="D588" s="23">
        <v>7</v>
      </c>
      <c r="E588" s="24"/>
      <c r="F588" s="21" t="s">
        <v>82</v>
      </c>
      <c r="G588" s="12">
        <v>11</v>
      </c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5" customHeight="1">
      <c r="A589" s="22">
        <v>753549</v>
      </c>
      <c r="B589" s="21" t="s">
        <v>15</v>
      </c>
      <c r="C589" s="21" t="s">
        <v>16</v>
      </c>
      <c r="D589" s="23">
        <v>7</v>
      </c>
      <c r="E589" s="24"/>
      <c r="F589" s="21" t="s">
        <v>83</v>
      </c>
      <c r="G589" s="12">
        <v>12</v>
      </c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5" customHeight="1">
      <c r="A590" s="22">
        <v>753548</v>
      </c>
      <c r="B590" s="21" t="s">
        <v>15</v>
      </c>
      <c r="C590" s="21" t="s">
        <v>16</v>
      </c>
      <c r="D590" s="23">
        <v>7</v>
      </c>
      <c r="E590" s="24"/>
      <c r="F590" s="21" t="s">
        <v>84</v>
      </c>
      <c r="G590" s="12">
        <v>13</v>
      </c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5" customHeight="1">
      <c r="A591" s="22">
        <v>753547</v>
      </c>
      <c r="B591" s="21" t="s">
        <v>15</v>
      </c>
      <c r="C591" s="21" t="s">
        <v>16</v>
      </c>
      <c r="D591" s="23">
        <v>7</v>
      </c>
      <c r="E591" s="24"/>
      <c r="F591" s="21" t="s">
        <v>85</v>
      </c>
      <c r="G591" s="12">
        <v>14</v>
      </c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5" customHeight="1">
      <c r="A592" s="22">
        <v>753546</v>
      </c>
      <c r="B592" s="21" t="s">
        <v>15</v>
      </c>
      <c r="C592" s="21" t="s">
        <v>16</v>
      </c>
      <c r="D592" s="23">
        <v>7</v>
      </c>
      <c r="E592" s="24"/>
      <c r="F592" s="21" t="s">
        <v>117</v>
      </c>
      <c r="G592" s="12">
        <v>15</v>
      </c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5" customHeight="1">
      <c r="A593" s="22">
        <v>753545</v>
      </c>
      <c r="B593" s="21" t="s">
        <v>15</v>
      </c>
      <c r="C593" s="21" t="s">
        <v>16</v>
      </c>
      <c r="D593" s="23">
        <v>7</v>
      </c>
      <c r="E593" s="24"/>
      <c r="F593" s="21" t="s">
        <v>119</v>
      </c>
      <c r="G593" s="12">
        <v>16</v>
      </c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5" customHeight="1">
      <c r="A594" s="22">
        <v>753550</v>
      </c>
      <c r="B594" s="21" t="s">
        <v>15</v>
      </c>
      <c r="C594" s="21" t="s">
        <v>16</v>
      </c>
      <c r="D594" s="23">
        <v>7</v>
      </c>
      <c r="E594" s="24"/>
      <c r="F594" s="21" t="s">
        <v>121</v>
      </c>
      <c r="G594" s="12">
        <v>17</v>
      </c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5" customHeight="1">
      <c r="A595" s="22">
        <v>753551</v>
      </c>
      <c r="B595" s="21" t="s">
        <v>15</v>
      </c>
      <c r="C595" s="21" t="s">
        <v>16</v>
      </c>
      <c r="D595" s="23">
        <v>7</v>
      </c>
      <c r="E595" s="24"/>
      <c r="F595" s="21" t="s">
        <v>123</v>
      </c>
      <c r="G595" s="12">
        <v>18</v>
      </c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5" customHeight="1">
      <c r="A596" s="22">
        <v>753552</v>
      </c>
      <c r="B596" s="21" t="s">
        <v>15</v>
      </c>
      <c r="C596" s="21" t="s">
        <v>16</v>
      </c>
      <c r="D596" s="23">
        <v>7</v>
      </c>
      <c r="E596" s="24"/>
      <c r="F596" s="21" t="s">
        <v>125</v>
      </c>
      <c r="G596" s="12">
        <v>19</v>
      </c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5" customHeight="1">
      <c r="A597" s="22">
        <v>753560</v>
      </c>
      <c r="B597" s="21" t="s">
        <v>15</v>
      </c>
      <c r="C597" s="21" t="s">
        <v>16</v>
      </c>
      <c r="D597" s="23">
        <v>7</v>
      </c>
      <c r="E597" s="24"/>
      <c r="F597" s="21" t="s">
        <v>86</v>
      </c>
      <c r="G597" s="12">
        <v>20</v>
      </c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5" customHeight="1">
      <c r="A598" s="22">
        <v>753559</v>
      </c>
      <c r="B598" s="21" t="s">
        <v>15</v>
      </c>
      <c r="C598" s="21" t="s">
        <v>16</v>
      </c>
      <c r="D598" s="23">
        <v>7</v>
      </c>
      <c r="E598" s="24"/>
      <c r="F598" s="21" t="s">
        <v>87</v>
      </c>
      <c r="G598" s="12">
        <v>21</v>
      </c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5" customHeight="1">
      <c r="A599" s="22">
        <v>753558</v>
      </c>
      <c r="B599" s="21" t="s">
        <v>15</v>
      </c>
      <c r="C599" s="21" t="s">
        <v>16</v>
      </c>
      <c r="D599" s="23">
        <v>7</v>
      </c>
      <c r="E599" s="24"/>
      <c r="F599" s="21" t="s">
        <v>88</v>
      </c>
      <c r="G599" s="12">
        <v>22</v>
      </c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5" customHeight="1">
      <c r="A600" s="22">
        <v>753553</v>
      </c>
      <c r="B600" s="21" t="s">
        <v>15</v>
      </c>
      <c r="C600" s="21" t="s">
        <v>16</v>
      </c>
      <c r="D600" s="23">
        <v>7</v>
      </c>
      <c r="E600" s="24"/>
      <c r="F600" s="21" t="s">
        <v>89</v>
      </c>
      <c r="G600" s="12">
        <v>23</v>
      </c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5" customHeight="1">
      <c r="A601" s="22">
        <v>753554</v>
      </c>
      <c r="B601" s="21" t="s">
        <v>15</v>
      </c>
      <c r="C601" s="21" t="s">
        <v>16</v>
      </c>
      <c r="D601" s="23">
        <v>7</v>
      </c>
      <c r="E601" s="24"/>
      <c r="F601" s="21" t="s">
        <v>90</v>
      </c>
      <c r="G601" s="12">
        <v>24</v>
      </c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5" customHeight="1">
      <c r="A602" s="22">
        <v>753555</v>
      </c>
      <c r="B602" s="21" t="s">
        <v>15</v>
      </c>
      <c r="C602" s="21" t="s">
        <v>16</v>
      </c>
      <c r="D602" s="23">
        <v>7</v>
      </c>
      <c r="E602" s="24"/>
      <c r="F602" s="21" t="s">
        <v>132</v>
      </c>
      <c r="G602" s="12">
        <v>25</v>
      </c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5" customHeight="1">
      <c r="A603" s="22">
        <v>753556</v>
      </c>
      <c r="B603" s="21" t="s">
        <v>15</v>
      </c>
      <c r="C603" s="21" t="s">
        <v>16</v>
      </c>
      <c r="D603" s="23">
        <v>7</v>
      </c>
      <c r="E603" s="24"/>
      <c r="F603" s="21" t="s">
        <v>134</v>
      </c>
      <c r="G603" s="12">
        <v>26</v>
      </c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5" customHeight="1">
      <c r="A604" s="22">
        <v>753557</v>
      </c>
      <c r="B604" s="21" t="s">
        <v>15</v>
      </c>
      <c r="C604" s="21" t="s">
        <v>16</v>
      </c>
      <c r="D604" s="23">
        <v>7</v>
      </c>
      <c r="E604" s="24"/>
      <c r="F604" s="21" t="s">
        <v>136</v>
      </c>
      <c r="G604" s="12">
        <v>27</v>
      </c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5" customHeight="1">
      <c r="A605" s="22">
        <v>753447</v>
      </c>
      <c r="B605" s="21" t="s">
        <v>15</v>
      </c>
      <c r="C605" s="21" t="s">
        <v>16</v>
      </c>
      <c r="D605" s="23">
        <v>7</v>
      </c>
      <c r="E605" s="24"/>
      <c r="F605" s="21" t="s">
        <v>138</v>
      </c>
      <c r="G605" s="12">
        <v>28</v>
      </c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5" customHeight="1">
      <c r="A606" s="22">
        <v>753448</v>
      </c>
      <c r="B606" s="21" t="s">
        <v>15</v>
      </c>
      <c r="C606" s="21" t="s">
        <v>16</v>
      </c>
      <c r="D606" s="23">
        <v>7</v>
      </c>
      <c r="E606" s="24"/>
      <c r="F606" s="21" t="s">
        <v>140</v>
      </c>
      <c r="G606" s="12">
        <v>29</v>
      </c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5" customHeight="1">
      <c r="A607" s="22">
        <v>753449</v>
      </c>
      <c r="B607" s="21" t="s">
        <v>15</v>
      </c>
      <c r="C607" s="21" t="s">
        <v>16</v>
      </c>
      <c r="D607" s="23">
        <v>7</v>
      </c>
      <c r="E607" s="24"/>
      <c r="F607" s="21" t="s">
        <v>142</v>
      </c>
      <c r="G607" s="12">
        <v>30</v>
      </c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5" customHeight="1">
      <c r="A608" s="22">
        <v>753450</v>
      </c>
      <c r="B608" s="21" t="s">
        <v>15</v>
      </c>
      <c r="C608" s="21" t="s">
        <v>16</v>
      </c>
      <c r="D608" s="23">
        <v>7</v>
      </c>
      <c r="E608" s="24"/>
      <c r="F608" s="21" t="s">
        <v>144</v>
      </c>
      <c r="G608" s="12">
        <v>31</v>
      </c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5" customHeight="1">
      <c r="A609" s="22">
        <v>753451</v>
      </c>
      <c r="B609" s="21" t="s">
        <v>15</v>
      </c>
      <c r="C609" s="21" t="s">
        <v>16</v>
      </c>
      <c r="D609" s="23">
        <v>7</v>
      </c>
      <c r="E609" s="24"/>
      <c r="F609" s="21" t="s">
        <v>146</v>
      </c>
      <c r="G609" s="12">
        <v>32</v>
      </c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5" customHeight="1">
      <c r="A610" s="22">
        <v>753459</v>
      </c>
      <c r="B610" s="21" t="s">
        <v>15</v>
      </c>
      <c r="C610" s="21" t="s">
        <v>16</v>
      </c>
      <c r="D610" s="23">
        <v>7</v>
      </c>
      <c r="E610" s="24"/>
      <c r="F610" s="21" t="s">
        <v>148</v>
      </c>
      <c r="G610" s="12">
        <v>33</v>
      </c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5" customHeight="1">
      <c r="A611" s="22">
        <v>753458</v>
      </c>
      <c r="B611" s="21" t="s">
        <v>15</v>
      </c>
      <c r="C611" s="21" t="s">
        <v>16</v>
      </c>
      <c r="D611" s="23">
        <v>7</v>
      </c>
      <c r="E611" s="24"/>
      <c r="F611" s="21" t="s">
        <v>150</v>
      </c>
      <c r="G611" s="12">
        <v>34</v>
      </c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5" customHeight="1">
      <c r="A612" s="22">
        <v>753457</v>
      </c>
      <c r="B612" s="21" t="s">
        <v>15</v>
      </c>
      <c r="C612" s="21" t="s">
        <v>16</v>
      </c>
      <c r="D612" s="23">
        <v>7</v>
      </c>
      <c r="E612" s="24"/>
      <c r="F612" s="21" t="s">
        <v>13</v>
      </c>
      <c r="G612" s="12">
        <v>35</v>
      </c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5" customHeight="1">
      <c r="A613" s="22">
        <v>753456</v>
      </c>
      <c r="B613" s="21" t="s">
        <v>15</v>
      </c>
      <c r="C613" s="21" t="s">
        <v>16</v>
      </c>
      <c r="D613" s="23">
        <v>7</v>
      </c>
      <c r="E613" s="24"/>
      <c r="F613" s="21" t="s">
        <v>17</v>
      </c>
      <c r="G613" s="12">
        <v>36</v>
      </c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5" customHeight="1">
      <c r="A614" s="22">
        <v>753455</v>
      </c>
      <c r="B614" s="21" t="s">
        <v>15</v>
      </c>
      <c r="C614" s="21" t="s">
        <v>16</v>
      </c>
      <c r="D614" s="23">
        <v>7</v>
      </c>
      <c r="E614" s="24"/>
      <c r="F614" s="21" t="s">
        <v>19</v>
      </c>
      <c r="G614" s="12">
        <v>37</v>
      </c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5" customHeight="1">
      <c r="A615" s="22">
        <v>753470</v>
      </c>
      <c r="B615" s="21" t="s">
        <v>15</v>
      </c>
      <c r="C615" s="21" t="s">
        <v>16</v>
      </c>
      <c r="D615" s="23">
        <v>7</v>
      </c>
      <c r="E615" s="24"/>
      <c r="F615" s="21" t="s">
        <v>21</v>
      </c>
      <c r="G615" s="12">
        <v>38</v>
      </c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5" customHeight="1">
      <c r="A616" s="22">
        <v>753469</v>
      </c>
      <c r="B616" s="21" t="s">
        <v>15</v>
      </c>
      <c r="C616" s="21" t="s">
        <v>16</v>
      </c>
      <c r="D616" s="23">
        <v>7</v>
      </c>
      <c r="E616" s="24"/>
      <c r="F616" s="21" t="s">
        <v>152</v>
      </c>
      <c r="G616" s="12">
        <v>39</v>
      </c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5" customHeight="1">
      <c r="A617" s="22">
        <v>753468</v>
      </c>
      <c r="B617" s="21" t="s">
        <v>15</v>
      </c>
      <c r="C617" s="21" t="s">
        <v>16</v>
      </c>
      <c r="D617" s="23">
        <v>7</v>
      </c>
      <c r="E617" s="24"/>
      <c r="F617" s="21" t="s">
        <v>154</v>
      </c>
      <c r="G617" s="12">
        <v>40</v>
      </c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5" customHeight="1">
      <c r="A618" s="22">
        <v>753452</v>
      </c>
      <c r="B618" s="21" t="s">
        <v>15</v>
      </c>
      <c r="C618" s="21" t="s">
        <v>16</v>
      </c>
      <c r="D618" s="23">
        <v>7</v>
      </c>
      <c r="E618" s="24"/>
      <c r="F618" s="21" t="s">
        <v>156</v>
      </c>
      <c r="G618" s="12">
        <v>41</v>
      </c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5" customHeight="1">
      <c r="A619" s="22">
        <v>753453</v>
      </c>
      <c r="B619" s="21" t="s">
        <v>15</v>
      </c>
      <c r="C619" s="21" t="s">
        <v>16</v>
      </c>
      <c r="D619" s="23">
        <v>7</v>
      </c>
      <c r="E619" s="24"/>
      <c r="F619" s="21" t="s">
        <v>158</v>
      </c>
      <c r="G619" s="12">
        <v>42</v>
      </c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5" customHeight="1">
      <c r="A620" s="22">
        <v>753454</v>
      </c>
      <c r="B620" s="21" t="s">
        <v>15</v>
      </c>
      <c r="C620" s="21" t="s">
        <v>16</v>
      </c>
      <c r="D620" s="23">
        <v>7</v>
      </c>
      <c r="E620" s="24"/>
      <c r="F620" s="21" t="s">
        <v>160</v>
      </c>
      <c r="G620" s="12">
        <v>43</v>
      </c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5" customHeight="1">
      <c r="A621" s="22">
        <v>753460</v>
      </c>
      <c r="B621" s="21" t="s">
        <v>15</v>
      </c>
      <c r="C621" s="21" t="s">
        <v>16</v>
      </c>
      <c r="D621" s="23">
        <v>7</v>
      </c>
      <c r="E621" s="24"/>
      <c r="F621" s="21" t="s">
        <v>23</v>
      </c>
      <c r="G621" s="12">
        <v>44</v>
      </c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5" customHeight="1">
      <c r="A622" s="22">
        <v>753461</v>
      </c>
      <c r="B622" s="21" t="s">
        <v>15</v>
      </c>
      <c r="C622" s="21" t="s">
        <v>16</v>
      </c>
      <c r="D622" s="23">
        <v>7</v>
      </c>
      <c r="E622" s="24"/>
      <c r="F622" s="21" t="s">
        <v>25</v>
      </c>
      <c r="G622" s="12">
        <v>45</v>
      </c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5" customHeight="1">
      <c r="A623" s="22">
        <v>753462</v>
      </c>
      <c r="B623" s="21" t="s">
        <v>15</v>
      </c>
      <c r="C623" s="21" t="s">
        <v>16</v>
      </c>
      <c r="D623" s="23">
        <v>7</v>
      </c>
      <c r="E623" s="24"/>
      <c r="F623" s="21" t="s">
        <v>27</v>
      </c>
      <c r="G623" s="12">
        <v>46</v>
      </c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5" customHeight="1">
      <c r="A624" s="22">
        <v>753431</v>
      </c>
      <c r="B624" s="21" t="s">
        <v>15</v>
      </c>
      <c r="C624" s="21" t="s">
        <v>16</v>
      </c>
      <c r="D624" s="23">
        <v>7</v>
      </c>
      <c r="E624" s="24"/>
      <c r="F624" s="21" t="s">
        <v>162</v>
      </c>
      <c r="G624" s="12">
        <v>47</v>
      </c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5" customHeight="1">
      <c r="A625" s="22">
        <v>753432</v>
      </c>
      <c r="B625" s="21" t="s">
        <v>15</v>
      </c>
      <c r="C625" s="21" t="s">
        <v>16</v>
      </c>
      <c r="D625" s="23">
        <v>7</v>
      </c>
      <c r="E625" s="24"/>
      <c r="F625" s="21" t="s">
        <v>164</v>
      </c>
      <c r="G625" s="12">
        <v>48</v>
      </c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5" customHeight="1">
      <c r="A626" s="22">
        <v>753433</v>
      </c>
      <c r="B626" s="21" t="s">
        <v>15</v>
      </c>
      <c r="C626" s="21" t="s">
        <v>16</v>
      </c>
      <c r="D626" s="23">
        <v>7</v>
      </c>
      <c r="E626" s="24"/>
      <c r="F626" s="21" t="s">
        <v>166</v>
      </c>
      <c r="G626" s="12">
        <v>49</v>
      </c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5" customHeight="1">
      <c r="A627" s="22">
        <v>753434</v>
      </c>
      <c r="B627" s="21" t="s">
        <v>15</v>
      </c>
      <c r="C627" s="21" t="s">
        <v>16</v>
      </c>
      <c r="D627" s="23">
        <v>7</v>
      </c>
      <c r="E627" s="24"/>
      <c r="F627" s="21" t="s">
        <v>168</v>
      </c>
      <c r="G627" s="12">
        <v>50</v>
      </c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5" customHeight="1">
      <c r="A628" s="22">
        <v>753435</v>
      </c>
      <c r="B628" s="21" t="s">
        <v>15</v>
      </c>
      <c r="C628" s="21" t="s">
        <v>16</v>
      </c>
      <c r="D628" s="23">
        <v>7</v>
      </c>
      <c r="E628" s="24"/>
      <c r="F628" s="21" t="s">
        <v>43</v>
      </c>
      <c r="G628" s="12">
        <v>51</v>
      </c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5" customHeight="1">
      <c r="A629" s="22">
        <v>753443</v>
      </c>
      <c r="B629" s="21" t="s">
        <v>15</v>
      </c>
      <c r="C629" s="21" t="s">
        <v>16</v>
      </c>
      <c r="D629" s="23">
        <v>7</v>
      </c>
      <c r="E629" s="24"/>
      <c r="F629" s="21" t="s">
        <v>45</v>
      </c>
      <c r="G629" s="12">
        <v>52</v>
      </c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5" customHeight="1">
      <c r="A630" s="22">
        <v>753442</v>
      </c>
      <c r="B630" s="21" t="s">
        <v>15</v>
      </c>
      <c r="C630" s="21" t="s">
        <v>16</v>
      </c>
      <c r="D630" s="23">
        <v>7</v>
      </c>
      <c r="E630" s="24"/>
      <c r="F630" s="21" t="s">
        <v>170</v>
      </c>
      <c r="G630" s="12">
        <v>53</v>
      </c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5" customHeight="1">
      <c r="A631" s="22">
        <v>753441</v>
      </c>
      <c r="B631" s="21" t="s">
        <v>15</v>
      </c>
      <c r="C631" s="21" t="s">
        <v>16</v>
      </c>
      <c r="D631" s="23">
        <v>7</v>
      </c>
      <c r="E631" s="24"/>
      <c r="F631" s="21" t="s">
        <v>29</v>
      </c>
      <c r="G631" s="12">
        <v>54</v>
      </c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5" customHeight="1">
      <c r="A632" s="22">
        <v>753440</v>
      </c>
      <c r="B632" s="21" t="s">
        <v>15</v>
      </c>
      <c r="C632" s="21" t="s">
        <v>16</v>
      </c>
      <c r="D632" s="23">
        <v>7</v>
      </c>
      <c r="E632" s="24"/>
      <c r="F632" s="21" t="s">
        <v>31</v>
      </c>
      <c r="G632" s="12">
        <v>55</v>
      </c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5" customHeight="1">
      <c r="A633" s="22">
        <v>753439</v>
      </c>
      <c r="B633" s="21" t="s">
        <v>15</v>
      </c>
      <c r="C633" s="21" t="s">
        <v>16</v>
      </c>
      <c r="D633" s="23">
        <v>7</v>
      </c>
      <c r="E633" s="24"/>
      <c r="F633" s="21" t="s">
        <v>33</v>
      </c>
      <c r="G633" s="12">
        <v>56</v>
      </c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5" customHeight="1">
      <c r="A634" s="22">
        <v>753446</v>
      </c>
      <c r="B634" s="21" t="s">
        <v>15</v>
      </c>
      <c r="C634" s="21" t="s">
        <v>16</v>
      </c>
      <c r="D634" s="23">
        <v>7</v>
      </c>
      <c r="E634" s="24"/>
      <c r="F634" s="21" t="s">
        <v>35</v>
      </c>
      <c r="G634" s="12">
        <v>57</v>
      </c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5" customHeight="1">
      <c r="A635" s="22">
        <v>753445</v>
      </c>
      <c r="B635" s="21" t="s">
        <v>15</v>
      </c>
      <c r="C635" s="21" t="s">
        <v>16</v>
      </c>
      <c r="D635" s="23">
        <v>7</v>
      </c>
      <c r="E635" s="24"/>
      <c r="F635" s="21" t="s">
        <v>37</v>
      </c>
      <c r="G635" s="12">
        <v>58</v>
      </c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5" customHeight="1">
      <c r="A636" s="22">
        <v>753444</v>
      </c>
      <c r="B636" s="21" t="s">
        <v>15</v>
      </c>
      <c r="C636" s="21" t="s">
        <v>16</v>
      </c>
      <c r="D636" s="23">
        <v>7</v>
      </c>
      <c r="E636" s="24"/>
      <c r="F636" s="21" t="s">
        <v>172</v>
      </c>
      <c r="G636" s="12">
        <v>59</v>
      </c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5" customHeight="1">
      <c r="A637" s="22">
        <v>753436</v>
      </c>
      <c r="B637" s="21" t="s">
        <v>15</v>
      </c>
      <c r="C637" s="21" t="s">
        <v>16</v>
      </c>
      <c r="D637" s="23">
        <v>7</v>
      </c>
      <c r="E637" s="24"/>
      <c r="F637" s="21" t="s">
        <v>174</v>
      </c>
      <c r="G637" s="12">
        <v>60</v>
      </c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5" customHeight="1">
      <c r="A638" s="22">
        <v>753437</v>
      </c>
      <c r="B638" s="21" t="s">
        <v>15</v>
      </c>
      <c r="C638" s="21" t="s">
        <v>16</v>
      </c>
      <c r="D638" s="23">
        <v>7</v>
      </c>
      <c r="E638" s="24"/>
      <c r="F638" s="21" t="s">
        <v>176</v>
      </c>
      <c r="G638" s="12">
        <v>61</v>
      </c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5" customHeight="1">
      <c r="A639" s="22">
        <v>753438</v>
      </c>
      <c r="B639" s="21" t="s">
        <v>15</v>
      </c>
      <c r="C639" s="21" t="s">
        <v>16</v>
      </c>
      <c r="D639" s="23">
        <v>7</v>
      </c>
      <c r="E639" s="24"/>
      <c r="F639" s="21" t="s">
        <v>178</v>
      </c>
      <c r="G639" s="12">
        <v>62</v>
      </c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5" customHeight="1">
      <c r="A640" s="22">
        <v>753420</v>
      </c>
      <c r="B640" s="21" t="s">
        <v>15</v>
      </c>
      <c r="C640" s="21" t="s">
        <v>16</v>
      </c>
      <c r="D640" s="23">
        <v>7</v>
      </c>
      <c r="E640" s="24"/>
      <c r="F640" s="21" t="s">
        <v>180</v>
      </c>
      <c r="G640" s="12">
        <v>63</v>
      </c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5" customHeight="1">
      <c r="A641" s="22">
        <v>753421</v>
      </c>
      <c r="B641" s="21" t="s">
        <v>15</v>
      </c>
      <c r="C641" s="21" t="s">
        <v>16</v>
      </c>
      <c r="D641" s="23">
        <v>7</v>
      </c>
      <c r="E641" s="24"/>
      <c r="F641" s="21" t="s">
        <v>182</v>
      </c>
      <c r="G641" s="12">
        <v>64</v>
      </c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5" customHeight="1">
      <c r="A642" s="22">
        <v>753422</v>
      </c>
      <c r="B642" s="21" t="s">
        <v>15</v>
      </c>
      <c r="C642" s="21" t="s">
        <v>16</v>
      </c>
      <c r="D642" s="23">
        <v>7</v>
      </c>
      <c r="E642" s="24"/>
      <c r="F642" s="21" t="s">
        <v>39</v>
      </c>
      <c r="G642" s="12">
        <v>65</v>
      </c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5" customHeight="1">
      <c r="A643" s="22">
        <v>753430</v>
      </c>
      <c r="B643" s="21" t="s">
        <v>15</v>
      </c>
      <c r="C643" s="21" t="s">
        <v>16</v>
      </c>
      <c r="D643" s="23">
        <v>7</v>
      </c>
      <c r="E643" s="24"/>
      <c r="F643" s="21" t="s">
        <v>41</v>
      </c>
      <c r="G643" s="12">
        <v>66</v>
      </c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5" customHeight="1">
      <c r="A644" s="22">
        <v>753429</v>
      </c>
      <c r="B644" s="21" t="s">
        <v>15</v>
      </c>
      <c r="C644" s="21" t="s">
        <v>16</v>
      </c>
      <c r="D644" s="23">
        <v>7</v>
      </c>
      <c r="E644" s="24"/>
      <c r="F644" s="21" t="s">
        <v>184</v>
      </c>
      <c r="G644" s="12">
        <v>67</v>
      </c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5" customHeight="1">
      <c r="A645" s="22">
        <v>753428</v>
      </c>
      <c r="B645" s="21" t="s">
        <v>15</v>
      </c>
      <c r="C645" s="21" t="s">
        <v>16</v>
      </c>
      <c r="D645" s="23">
        <v>7</v>
      </c>
      <c r="E645" s="24"/>
      <c r="F645" s="21" t="s">
        <v>186</v>
      </c>
      <c r="G645" s="12">
        <v>68</v>
      </c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5" customHeight="1">
      <c r="A646" s="22">
        <v>753415</v>
      </c>
      <c r="B646" s="21" t="s">
        <v>15</v>
      </c>
      <c r="C646" s="21" t="s">
        <v>16</v>
      </c>
      <c r="D646" s="23">
        <v>7</v>
      </c>
      <c r="E646" s="24"/>
      <c r="F646" s="21" t="s">
        <v>188</v>
      </c>
      <c r="G646" s="12">
        <v>69</v>
      </c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5" customHeight="1">
      <c r="A647" s="22">
        <v>753416</v>
      </c>
      <c r="B647" s="21" t="s">
        <v>15</v>
      </c>
      <c r="C647" s="21" t="s">
        <v>16</v>
      </c>
      <c r="D647" s="23">
        <v>7</v>
      </c>
      <c r="E647" s="24"/>
      <c r="F647" s="21" t="s">
        <v>190</v>
      </c>
      <c r="G647" s="12">
        <v>70</v>
      </c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5" customHeight="1">
      <c r="A648" s="22">
        <v>753417</v>
      </c>
      <c r="B648" s="21" t="s">
        <v>15</v>
      </c>
      <c r="C648" s="21" t="s">
        <v>16</v>
      </c>
      <c r="D648" s="23">
        <v>7</v>
      </c>
      <c r="E648" s="24"/>
      <c r="F648" s="21" t="s">
        <v>192</v>
      </c>
      <c r="G648" s="12">
        <v>71</v>
      </c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5" customHeight="1">
      <c r="A649" s="22">
        <v>753418</v>
      </c>
      <c r="B649" s="21" t="s">
        <v>15</v>
      </c>
      <c r="C649" s="21" t="s">
        <v>16</v>
      </c>
      <c r="D649" s="23">
        <v>7</v>
      </c>
      <c r="E649" s="24"/>
      <c r="F649" s="21" t="s">
        <v>194</v>
      </c>
      <c r="G649" s="12">
        <v>72</v>
      </c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5" customHeight="1">
      <c r="A650" s="22">
        <v>753419</v>
      </c>
      <c r="B650" s="21" t="s">
        <v>15</v>
      </c>
      <c r="C650" s="21" t="s">
        <v>16</v>
      </c>
      <c r="D650" s="23">
        <v>7</v>
      </c>
      <c r="E650" s="24"/>
      <c r="F650" s="21" t="s">
        <v>196</v>
      </c>
      <c r="G650" s="12">
        <v>73</v>
      </c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5" customHeight="1">
      <c r="A651" s="22">
        <v>753427</v>
      </c>
      <c r="B651" s="21" t="s">
        <v>15</v>
      </c>
      <c r="C651" s="21" t="s">
        <v>16</v>
      </c>
      <c r="D651" s="23">
        <v>7</v>
      </c>
      <c r="E651" s="24"/>
      <c r="F651" s="21" t="s">
        <v>198</v>
      </c>
      <c r="G651" s="12">
        <v>74</v>
      </c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5" customHeight="1">
      <c r="A652" s="22">
        <v>753426</v>
      </c>
      <c r="B652" s="21" t="s">
        <v>15</v>
      </c>
      <c r="C652" s="21" t="s">
        <v>16</v>
      </c>
      <c r="D652" s="23">
        <v>7</v>
      </c>
      <c r="E652" s="24"/>
      <c r="F652" s="21" t="s">
        <v>200</v>
      </c>
      <c r="G652" s="12">
        <v>75</v>
      </c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5" customHeight="1">
      <c r="A653" s="22">
        <v>753425</v>
      </c>
      <c r="B653" s="21" t="s">
        <v>15</v>
      </c>
      <c r="C653" s="21" t="s">
        <v>16</v>
      </c>
      <c r="D653" s="23">
        <v>7</v>
      </c>
      <c r="E653" s="24"/>
      <c r="F653" s="21" t="s">
        <v>202</v>
      </c>
      <c r="G653" s="12">
        <v>76</v>
      </c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5" customHeight="1">
      <c r="A654" s="22">
        <v>753424</v>
      </c>
      <c r="B654" s="21" t="s">
        <v>15</v>
      </c>
      <c r="C654" s="21" t="s">
        <v>16</v>
      </c>
      <c r="D654" s="23">
        <v>7</v>
      </c>
      <c r="E654" s="24"/>
      <c r="F654" s="21" t="s">
        <v>204</v>
      </c>
      <c r="G654" s="12">
        <v>77</v>
      </c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5" customHeight="1">
      <c r="A655" s="22">
        <v>753423</v>
      </c>
      <c r="B655" s="21" t="s">
        <v>15</v>
      </c>
      <c r="C655" s="21" t="s">
        <v>16</v>
      </c>
      <c r="D655" s="23">
        <v>7</v>
      </c>
      <c r="E655" s="24"/>
      <c r="F655" s="21" t="s">
        <v>206</v>
      </c>
      <c r="G655" s="12">
        <v>78</v>
      </c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5" customHeight="1">
      <c r="A656" s="11"/>
      <c r="B656" s="11" t="s">
        <v>15</v>
      </c>
      <c r="C656" s="11" t="s">
        <v>16</v>
      </c>
      <c r="D656" s="11">
        <v>7</v>
      </c>
      <c r="E656" s="11"/>
      <c r="F656" s="11" t="s">
        <v>91</v>
      </c>
      <c r="G656" s="12">
        <v>79</v>
      </c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5" customHeight="1">
      <c r="A657" s="11"/>
      <c r="B657" s="11" t="s">
        <v>15</v>
      </c>
      <c r="C657" s="11" t="s">
        <v>16</v>
      </c>
      <c r="D657" s="11">
        <v>7</v>
      </c>
      <c r="E657" s="11"/>
      <c r="F657" s="11" t="s">
        <v>92</v>
      </c>
      <c r="G657" s="12">
        <v>80</v>
      </c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5" customHeight="1">
      <c r="A658" s="11"/>
      <c r="B658" s="11" t="s">
        <v>15</v>
      </c>
      <c r="C658" s="11" t="s">
        <v>16</v>
      </c>
      <c r="D658" s="11">
        <v>7</v>
      </c>
      <c r="E658" s="11"/>
      <c r="F658" s="11" t="s">
        <v>93</v>
      </c>
      <c r="G658" s="12">
        <v>81</v>
      </c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5" customHeight="1">
      <c r="A659" s="11"/>
      <c r="B659" s="11" t="s">
        <v>15</v>
      </c>
      <c r="C659" s="11" t="s">
        <v>16</v>
      </c>
      <c r="D659" s="11">
        <v>7</v>
      </c>
      <c r="E659" s="11"/>
      <c r="F659" s="11" t="s">
        <v>94</v>
      </c>
      <c r="G659" s="12">
        <v>82</v>
      </c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5" customHeight="1">
      <c r="A660" s="11"/>
      <c r="B660" s="11" t="s">
        <v>15</v>
      </c>
      <c r="C660" s="11" t="s">
        <v>16</v>
      </c>
      <c r="D660" s="11">
        <v>7</v>
      </c>
      <c r="E660" s="11"/>
      <c r="F660" s="11" t="s">
        <v>49</v>
      </c>
      <c r="G660" s="12">
        <v>83</v>
      </c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5" customHeight="1">
      <c r="A661" s="11"/>
      <c r="B661" s="11" t="s">
        <v>15</v>
      </c>
      <c r="C661" s="11" t="s">
        <v>16</v>
      </c>
      <c r="D661" s="11">
        <v>7</v>
      </c>
      <c r="E661" s="11"/>
      <c r="F661" s="11" t="s">
        <v>51</v>
      </c>
      <c r="G661" s="12">
        <v>84</v>
      </c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5" customHeight="1">
      <c r="A662" s="11"/>
      <c r="B662" s="11" t="s">
        <v>15</v>
      </c>
      <c r="C662" s="11" t="s">
        <v>16</v>
      </c>
      <c r="D662" s="11">
        <v>7</v>
      </c>
      <c r="E662" s="11"/>
      <c r="F662" s="11" t="s">
        <v>95</v>
      </c>
      <c r="G662" s="12">
        <v>85</v>
      </c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5" customHeight="1">
      <c r="A663" s="11"/>
      <c r="B663" s="11" t="s">
        <v>15</v>
      </c>
      <c r="C663" s="11" t="s">
        <v>16</v>
      </c>
      <c r="D663" s="11">
        <v>7</v>
      </c>
      <c r="E663" s="11"/>
      <c r="F663" s="11" t="s">
        <v>53</v>
      </c>
      <c r="G663" s="12">
        <v>86</v>
      </c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5" customHeight="1">
      <c r="A664" s="11"/>
      <c r="B664" s="11" t="s">
        <v>15</v>
      </c>
      <c r="C664" s="11" t="s">
        <v>16</v>
      </c>
      <c r="D664" s="11">
        <v>7</v>
      </c>
      <c r="E664" s="11"/>
      <c r="F664" s="11" t="s">
        <v>55</v>
      </c>
      <c r="G664" s="12">
        <v>87</v>
      </c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5" customHeight="1">
      <c r="A665" s="11"/>
      <c r="B665" s="11" t="s">
        <v>15</v>
      </c>
      <c r="C665" s="11" t="s">
        <v>16</v>
      </c>
      <c r="D665" s="11">
        <v>7</v>
      </c>
      <c r="E665" s="11"/>
      <c r="F665" s="11" t="s">
        <v>57</v>
      </c>
      <c r="G665" s="12">
        <v>88</v>
      </c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5" customHeight="1">
      <c r="A666" s="11"/>
      <c r="B666" s="11" t="s">
        <v>15</v>
      </c>
      <c r="C666" s="11" t="s">
        <v>16</v>
      </c>
      <c r="D666" s="11">
        <v>7</v>
      </c>
      <c r="E666" s="11"/>
      <c r="F666" s="11" t="s">
        <v>59</v>
      </c>
      <c r="G666" s="12">
        <v>89</v>
      </c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5" customHeight="1">
      <c r="A667" s="11"/>
      <c r="B667" s="11" t="s">
        <v>15</v>
      </c>
      <c r="C667" s="11" t="s">
        <v>16</v>
      </c>
      <c r="D667" s="11">
        <v>7</v>
      </c>
      <c r="E667" s="11"/>
      <c r="F667" s="11" t="s">
        <v>61</v>
      </c>
      <c r="G667" s="12">
        <v>90</v>
      </c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5" customHeight="1">
      <c r="A668" s="11"/>
      <c r="B668" s="11" t="s">
        <v>15</v>
      </c>
      <c r="C668" s="11" t="s">
        <v>16</v>
      </c>
      <c r="D668" s="11">
        <v>7</v>
      </c>
      <c r="E668" s="11"/>
      <c r="F668" s="11" t="s">
        <v>63</v>
      </c>
      <c r="G668" s="12">
        <v>91</v>
      </c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5" customHeight="1">
      <c r="A669" s="11"/>
      <c r="B669" s="11" t="s">
        <v>15</v>
      </c>
      <c r="C669" s="11" t="s">
        <v>16</v>
      </c>
      <c r="D669" s="11">
        <v>7</v>
      </c>
      <c r="E669" s="11"/>
      <c r="F669" s="11" t="s">
        <v>65</v>
      </c>
      <c r="G669" s="12">
        <v>92</v>
      </c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5" customHeight="1">
      <c r="A670" s="11"/>
      <c r="B670" s="11" t="s">
        <v>15</v>
      </c>
      <c r="C670" s="11" t="s">
        <v>16</v>
      </c>
      <c r="D670" s="11">
        <v>7</v>
      </c>
      <c r="E670" s="11"/>
      <c r="F670" s="11" t="s">
        <v>67</v>
      </c>
      <c r="G670" s="12">
        <v>93</v>
      </c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5" customHeight="1">
      <c r="A671" s="11"/>
      <c r="B671" s="11" t="s">
        <v>15</v>
      </c>
      <c r="C671" s="11" t="s">
        <v>16</v>
      </c>
      <c r="D671" s="11">
        <v>7</v>
      </c>
      <c r="E671" s="11"/>
      <c r="F671" s="11" t="s">
        <v>96</v>
      </c>
      <c r="G671" s="12">
        <v>94</v>
      </c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5" customHeight="1">
      <c r="A672" s="11"/>
      <c r="B672" s="11" t="s">
        <v>15</v>
      </c>
      <c r="C672" s="11" t="s">
        <v>16</v>
      </c>
      <c r="D672" s="11">
        <v>7</v>
      </c>
      <c r="E672" s="11"/>
      <c r="F672" s="11" t="s">
        <v>97</v>
      </c>
      <c r="G672" s="12">
        <v>95</v>
      </c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5" customHeight="1">
      <c r="A673" s="11"/>
      <c r="B673" s="11" t="s">
        <v>15</v>
      </c>
      <c r="C673" s="11" t="s">
        <v>16</v>
      </c>
      <c r="D673" s="11">
        <v>7</v>
      </c>
      <c r="E673" s="11"/>
      <c r="F673" s="11" t="s">
        <v>47</v>
      </c>
      <c r="G673" s="12">
        <v>96</v>
      </c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5" customHeight="1">
      <c r="A674" s="11"/>
      <c r="B674" s="7"/>
      <c r="C674" s="7"/>
      <c r="D674" s="11"/>
      <c r="E674" s="11"/>
      <c r="F674" s="11"/>
      <c r="G674" s="12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5" customHeight="1">
      <c r="A675" s="11"/>
      <c r="B675" s="7"/>
      <c r="C675" s="7"/>
      <c r="D675" s="11"/>
      <c r="E675" s="11"/>
      <c r="F675" s="11"/>
      <c r="G675" s="12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5" customHeight="1">
      <c r="A676" s="11"/>
      <c r="B676" s="7"/>
      <c r="C676" s="7"/>
      <c r="D676" s="11"/>
      <c r="E676" s="11"/>
      <c r="F676" s="11"/>
      <c r="G676" s="12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5" customHeight="1">
      <c r="A677" s="11"/>
      <c r="B677" s="7"/>
      <c r="C677" s="7"/>
      <c r="D677" s="11"/>
      <c r="E677" s="11"/>
      <c r="F677" s="11"/>
      <c r="G677" s="12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5" customHeight="1">
      <c r="A678" s="11"/>
      <c r="B678" s="7"/>
      <c r="C678" s="7"/>
      <c r="D678" s="11"/>
      <c r="E678" s="11"/>
      <c r="F678" s="11"/>
      <c r="G678" s="12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5" customHeight="1">
      <c r="A679" s="11"/>
      <c r="B679" s="7"/>
      <c r="C679" s="7"/>
      <c r="D679" s="11"/>
      <c r="E679" s="11"/>
      <c r="F679" s="11"/>
      <c r="G679" s="12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5" customHeight="1">
      <c r="A680" s="11"/>
      <c r="B680" s="7"/>
      <c r="C680" s="7"/>
      <c r="D680" s="11"/>
      <c r="E680" s="11"/>
      <c r="F680" s="11"/>
      <c r="G680" s="12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5" customHeight="1">
      <c r="A681" s="11"/>
      <c r="B681" s="7"/>
      <c r="C681" s="7"/>
      <c r="D681" s="11"/>
      <c r="E681" s="11"/>
      <c r="F681" s="11"/>
      <c r="G681" s="12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5" customHeight="1">
      <c r="A682" s="11"/>
      <c r="B682" s="7"/>
      <c r="C682" s="7"/>
      <c r="D682" s="11"/>
      <c r="E682" s="11"/>
      <c r="F682" s="11"/>
      <c r="G682" s="12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5" customHeight="1">
      <c r="A683" s="11"/>
      <c r="B683" s="7"/>
      <c r="C683" s="7"/>
      <c r="D683" s="11"/>
      <c r="E683" s="11"/>
      <c r="F683" s="11"/>
      <c r="G683" s="12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5" customHeight="1">
      <c r="A684" s="11"/>
      <c r="B684" s="7"/>
      <c r="C684" s="7"/>
      <c r="D684" s="11"/>
      <c r="E684" s="11"/>
      <c r="F684" s="11"/>
      <c r="G684" s="12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5" customHeight="1">
      <c r="A685" s="11"/>
      <c r="B685" s="7"/>
      <c r="C685" s="7"/>
      <c r="D685" s="11"/>
      <c r="E685" s="11"/>
      <c r="F685" s="11"/>
      <c r="G685" s="12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5" customHeight="1">
      <c r="A686" s="11"/>
      <c r="B686" s="7"/>
      <c r="C686" s="7"/>
      <c r="D686" s="11"/>
      <c r="E686" s="11"/>
      <c r="F686" s="11"/>
      <c r="G686" s="12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5" customHeight="1">
      <c r="A687" s="11"/>
      <c r="B687" s="7"/>
      <c r="C687" s="7"/>
      <c r="D687" s="11"/>
      <c r="E687" s="11"/>
      <c r="F687" s="11"/>
      <c r="G687" s="12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5" customHeight="1">
      <c r="A688" s="11"/>
      <c r="B688" s="7"/>
      <c r="C688" s="7"/>
      <c r="D688" s="11"/>
      <c r="E688" s="11"/>
      <c r="F688" s="11"/>
      <c r="G688" s="12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5" customHeight="1">
      <c r="A689" s="11"/>
      <c r="B689" s="7"/>
      <c r="C689" s="7"/>
      <c r="D689" s="11"/>
      <c r="E689" s="11"/>
      <c r="F689" s="11"/>
      <c r="G689" s="12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5" customHeight="1">
      <c r="A690" s="11"/>
      <c r="B690" s="7"/>
      <c r="C690" s="7"/>
      <c r="D690" s="11"/>
      <c r="E690" s="11"/>
      <c r="F690" s="11"/>
      <c r="G690" s="12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5" customHeight="1">
      <c r="A691" s="11"/>
      <c r="B691" s="7"/>
      <c r="C691" s="7"/>
      <c r="D691" s="11"/>
      <c r="E691" s="11"/>
      <c r="F691" s="11"/>
      <c r="G691" s="12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5" customHeight="1">
      <c r="A692" s="11"/>
      <c r="B692" s="7"/>
      <c r="C692" s="7"/>
      <c r="D692" s="11"/>
      <c r="E692" s="11"/>
      <c r="F692" s="11"/>
      <c r="G692" s="12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5" customHeight="1">
      <c r="A693" s="11"/>
      <c r="B693" s="7"/>
      <c r="C693" s="7"/>
      <c r="D693" s="11"/>
      <c r="E693" s="11"/>
      <c r="F693" s="11"/>
      <c r="G693" s="12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5" customHeight="1">
      <c r="A694" s="11"/>
      <c r="B694" s="7"/>
      <c r="C694" s="7"/>
      <c r="D694" s="11"/>
      <c r="E694" s="11"/>
      <c r="F694" s="11"/>
      <c r="G694" s="12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5" customHeight="1">
      <c r="A695" s="11"/>
      <c r="B695" s="7"/>
      <c r="C695" s="7"/>
      <c r="D695" s="11"/>
      <c r="E695" s="11"/>
      <c r="F695" s="11"/>
      <c r="G695" s="12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5" customHeight="1">
      <c r="A696" s="11"/>
      <c r="B696" s="7"/>
      <c r="C696" s="7"/>
      <c r="D696" s="11"/>
      <c r="E696" s="11"/>
      <c r="F696" s="11"/>
      <c r="G696" s="12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5" customHeight="1">
      <c r="A697" s="11"/>
      <c r="B697" s="7"/>
      <c r="C697" s="7"/>
      <c r="D697" s="11"/>
      <c r="E697" s="11"/>
      <c r="F697" s="11"/>
      <c r="G697" s="12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5" customHeight="1">
      <c r="A698" s="11"/>
      <c r="B698" s="7"/>
      <c r="C698" s="7"/>
      <c r="D698" s="11"/>
      <c r="E698" s="11"/>
      <c r="F698" s="11"/>
      <c r="G698" s="12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5" customHeight="1">
      <c r="A699" s="11"/>
      <c r="B699" s="7"/>
      <c r="C699" s="7"/>
      <c r="D699" s="11"/>
      <c r="E699" s="11"/>
      <c r="F699" s="11"/>
      <c r="G699" s="12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5" customHeight="1">
      <c r="A700" s="11"/>
      <c r="B700" s="7"/>
      <c r="C700" s="7"/>
      <c r="D700" s="11"/>
      <c r="E700" s="11"/>
      <c r="F700" s="11"/>
      <c r="G700" s="12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5" customHeight="1">
      <c r="A701" s="11"/>
      <c r="B701" s="7"/>
      <c r="C701" s="7"/>
      <c r="D701" s="11"/>
      <c r="E701" s="11"/>
      <c r="F701" s="11"/>
      <c r="G701" s="12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5" customHeight="1">
      <c r="A702" s="11"/>
      <c r="B702" s="7"/>
      <c r="C702" s="7"/>
      <c r="D702" s="11"/>
      <c r="E702" s="11"/>
      <c r="F702" s="11"/>
      <c r="G702" s="12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5" customHeight="1">
      <c r="A703" s="11"/>
      <c r="B703" s="7"/>
      <c r="C703" s="7"/>
      <c r="D703" s="11"/>
      <c r="E703" s="11"/>
      <c r="F703" s="11"/>
      <c r="G703" s="12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5" customHeight="1">
      <c r="A704" s="11"/>
      <c r="B704" s="7"/>
      <c r="C704" s="7"/>
      <c r="D704" s="11"/>
      <c r="E704" s="11"/>
      <c r="F704" s="11"/>
      <c r="G704" s="12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5" customHeight="1">
      <c r="A705" s="11"/>
      <c r="B705" s="7"/>
      <c r="C705" s="7"/>
      <c r="D705" s="11"/>
      <c r="E705" s="11"/>
      <c r="F705" s="11"/>
      <c r="G705" s="12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5" customHeight="1">
      <c r="A706" s="11"/>
      <c r="B706" s="7"/>
      <c r="C706" s="7"/>
      <c r="D706" s="11"/>
      <c r="E706" s="11"/>
      <c r="F706" s="11"/>
      <c r="G706" s="12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5" customHeight="1">
      <c r="A707" s="11"/>
      <c r="B707" s="7"/>
      <c r="C707" s="7"/>
      <c r="D707" s="11"/>
      <c r="E707" s="11"/>
      <c r="F707" s="11"/>
      <c r="G707" s="12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5" customHeight="1">
      <c r="A708" s="11"/>
      <c r="B708" s="7"/>
      <c r="C708" s="7"/>
      <c r="D708" s="11"/>
      <c r="E708" s="11"/>
      <c r="F708" s="11"/>
      <c r="G708" s="12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5" customHeight="1">
      <c r="A709" s="11"/>
      <c r="B709" s="7"/>
      <c r="C709" s="7"/>
      <c r="D709" s="11"/>
      <c r="E709" s="11"/>
      <c r="F709" s="11"/>
      <c r="G709" s="12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5" customHeight="1">
      <c r="A710" s="11"/>
      <c r="B710" s="7"/>
      <c r="C710" s="7"/>
      <c r="D710" s="11"/>
      <c r="E710" s="11"/>
      <c r="F710" s="11"/>
      <c r="G710" s="12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5" customHeight="1">
      <c r="A711" s="11"/>
      <c r="B711" s="7"/>
      <c r="C711" s="7"/>
      <c r="D711" s="11"/>
      <c r="E711" s="11"/>
      <c r="F711" s="11"/>
      <c r="G711" s="12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5" customHeight="1">
      <c r="A712" s="11"/>
      <c r="B712" s="7"/>
      <c r="C712" s="7"/>
      <c r="D712" s="11"/>
      <c r="E712" s="11"/>
      <c r="F712" s="11"/>
      <c r="G712" s="12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5" customHeight="1">
      <c r="A713" s="11"/>
      <c r="B713" s="7"/>
      <c r="C713" s="7"/>
      <c r="D713" s="11"/>
      <c r="E713" s="11"/>
      <c r="F713" s="11"/>
      <c r="G713" s="12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5" customHeight="1">
      <c r="A714" s="11"/>
      <c r="B714" s="7"/>
      <c r="C714" s="7"/>
      <c r="D714" s="11"/>
      <c r="E714" s="11"/>
      <c r="F714" s="11"/>
      <c r="G714" s="12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5" customHeight="1">
      <c r="A715" s="11"/>
      <c r="B715" s="7"/>
      <c r="C715" s="7"/>
      <c r="D715" s="11"/>
      <c r="E715" s="11"/>
      <c r="F715" s="11"/>
      <c r="G715" s="12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5" customHeight="1">
      <c r="A716" s="11"/>
      <c r="B716" s="7"/>
      <c r="C716" s="7"/>
      <c r="D716" s="11"/>
      <c r="E716" s="11"/>
      <c r="F716" s="11"/>
      <c r="G716" s="12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5" customHeight="1">
      <c r="A717" s="11"/>
      <c r="B717" s="7"/>
      <c r="C717" s="7"/>
      <c r="D717" s="11"/>
      <c r="E717" s="11"/>
      <c r="F717" s="11"/>
      <c r="G717" s="12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5" customHeight="1">
      <c r="A718" s="11"/>
      <c r="B718" s="7"/>
      <c r="C718" s="7"/>
      <c r="D718" s="11"/>
      <c r="E718" s="11"/>
      <c r="F718" s="11"/>
      <c r="G718" s="12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5" customHeight="1">
      <c r="A719" s="11"/>
      <c r="B719" s="7"/>
      <c r="C719" s="7"/>
      <c r="D719" s="11"/>
      <c r="E719" s="11"/>
      <c r="F719" s="11"/>
      <c r="G719" s="12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5" customHeight="1">
      <c r="A720" s="11"/>
      <c r="B720" s="7"/>
      <c r="C720" s="7"/>
      <c r="D720" s="11"/>
      <c r="E720" s="11"/>
      <c r="F720" s="11"/>
      <c r="G720" s="12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5" customHeight="1">
      <c r="A721" s="11"/>
      <c r="B721" s="7"/>
      <c r="C721" s="7"/>
      <c r="D721" s="11"/>
      <c r="E721" s="11"/>
      <c r="F721" s="11"/>
      <c r="G721" s="12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5" customHeight="1">
      <c r="A722" s="11"/>
      <c r="B722" s="7"/>
      <c r="C722" s="7"/>
      <c r="D722" s="11"/>
      <c r="E722" s="11"/>
      <c r="F722" s="11"/>
      <c r="G722" s="12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5" customHeight="1">
      <c r="A723" s="11"/>
      <c r="B723" s="7"/>
      <c r="C723" s="7"/>
      <c r="D723" s="11"/>
      <c r="E723" s="11"/>
      <c r="F723" s="11"/>
      <c r="G723" s="12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5" customHeight="1">
      <c r="A724" s="11"/>
      <c r="B724" s="7"/>
      <c r="C724" s="7"/>
      <c r="D724" s="11"/>
      <c r="E724" s="11"/>
      <c r="F724" s="11"/>
      <c r="G724" s="12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5" customHeight="1">
      <c r="A725" s="11"/>
      <c r="B725" s="7"/>
      <c r="C725" s="7"/>
      <c r="D725" s="11"/>
      <c r="E725" s="11"/>
      <c r="F725" s="11"/>
      <c r="G725" s="12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5" customHeight="1">
      <c r="A726" s="11"/>
      <c r="B726" s="7"/>
      <c r="C726" s="7"/>
      <c r="D726" s="11"/>
      <c r="E726" s="11"/>
      <c r="F726" s="11"/>
      <c r="G726" s="12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5" customHeight="1">
      <c r="A727" s="11"/>
      <c r="B727" s="7"/>
      <c r="C727" s="7"/>
      <c r="D727" s="11"/>
      <c r="E727" s="11"/>
      <c r="F727" s="11"/>
      <c r="G727" s="12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5" customHeight="1">
      <c r="A728" s="11"/>
      <c r="B728" s="7"/>
      <c r="C728" s="7"/>
      <c r="D728" s="11"/>
      <c r="E728" s="11"/>
      <c r="F728" s="11"/>
      <c r="G728" s="12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5" customHeight="1">
      <c r="A729" s="11"/>
      <c r="B729" s="7"/>
      <c r="C729" s="7"/>
      <c r="D729" s="11"/>
      <c r="E729" s="11"/>
      <c r="F729" s="11"/>
      <c r="G729" s="12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5" customHeight="1">
      <c r="A730" s="11"/>
      <c r="B730" s="7"/>
      <c r="C730" s="7"/>
      <c r="D730" s="11"/>
      <c r="E730" s="11"/>
      <c r="F730" s="11"/>
      <c r="G730" s="12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5" customHeight="1">
      <c r="A731" s="11"/>
      <c r="B731" s="7"/>
      <c r="C731" s="7"/>
      <c r="D731" s="11"/>
      <c r="E731" s="11"/>
      <c r="F731" s="11"/>
      <c r="G731" s="12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5" customHeight="1">
      <c r="A732" s="11"/>
      <c r="B732" s="7"/>
      <c r="C732" s="7"/>
      <c r="D732" s="11"/>
      <c r="E732" s="11"/>
      <c r="F732" s="11"/>
      <c r="G732" s="12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5" customHeight="1">
      <c r="A733" s="11"/>
      <c r="B733" s="7"/>
      <c r="C733" s="7"/>
      <c r="D733" s="11"/>
      <c r="E733" s="11"/>
      <c r="F733" s="11"/>
      <c r="G733" s="12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5" customHeight="1">
      <c r="A734" s="11"/>
      <c r="B734" s="7"/>
      <c r="C734" s="7"/>
      <c r="D734" s="11"/>
      <c r="E734" s="11"/>
      <c r="F734" s="11"/>
      <c r="G734" s="12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5" customHeight="1">
      <c r="A735" s="11"/>
      <c r="B735" s="7"/>
      <c r="C735" s="7"/>
      <c r="D735" s="11"/>
      <c r="E735" s="11"/>
      <c r="F735" s="11"/>
      <c r="G735" s="12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5" customHeight="1">
      <c r="A736" s="11"/>
      <c r="B736" s="7"/>
      <c r="C736" s="7"/>
      <c r="D736" s="11"/>
      <c r="E736" s="11"/>
      <c r="F736" s="11"/>
      <c r="G736" s="12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5" customHeight="1">
      <c r="A737" s="11"/>
      <c r="B737" s="7"/>
      <c r="C737" s="7"/>
      <c r="D737" s="11"/>
      <c r="E737" s="11"/>
      <c r="F737" s="11"/>
      <c r="G737" s="12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5" customHeight="1">
      <c r="A738" s="11"/>
      <c r="B738" s="7"/>
      <c r="C738" s="7"/>
      <c r="D738" s="11"/>
      <c r="E738" s="11"/>
      <c r="F738" s="11"/>
      <c r="G738" s="12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5" customHeight="1">
      <c r="A739" s="11"/>
      <c r="B739" s="7"/>
      <c r="C739" s="7"/>
      <c r="D739" s="11"/>
      <c r="E739" s="11"/>
      <c r="F739" s="11"/>
      <c r="G739" s="12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5" customHeight="1">
      <c r="A740" s="11"/>
      <c r="B740" s="7"/>
      <c r="C740" s="7"/>
      <c r="D740" s="11"/>
      <c r="E740" s="11"/>
      <c r="F740" s="11"/>
      <c r="G740" s="12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5" customHeight="1">
      <c r="A741" s="11"/>
      <c r="B741" s="7"/>
      <c r="C741" s="7"/>
      <c r="D741" s="11"/>
      <c r="E741" s="11"/>
      <c r="F741" s="11"/>
      <c r="G741" s="12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5" customHeight="1">
      <c r="A742" s="11"/>
      <c r="B742" s="7"/>
      <c r="C742" s="7"/>
      <c r="D742" s="11"/>
      <c r="E742" s="11"/>
      <c r="F742" s="11"/>
      <c r="G742" s="12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5" customHeight="1">
      <c r="A743" s="11"/>
      <c r="B743" s="7"/>
      <c r="C743" s="7"/>
      <c r="D743" s="11"/>
      <c r="E743" s="11"/>
      <c r="F743" s="11"/>
      <c r="G743" s="12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5" customHeight="1">
      <c r="A744" s="11"/>
      <c r="B744" s="7"/>
      <c r="C744" s="7"/>
      <c r="D744" s="11"/>
      <c r="E744" s="11"/>
      <c r="F744" s="11"/>
      <c r="G744" s="12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5" customHeight="1">
      <c r="A745" s="11"/>
      <c r="B745" s="7"/>
      <c r="C745" s="7"/>
      <c r="D745" s="11"/>
      <c r="E745" s="11"/>
      <c r="F745" s="11"/>
      <c r="G745" s="12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5" customHeight="1">
      <c r="A746" s="11"/>
      <c r="B746" s="7"/>
      <c r="C746" s="7"/>
      <c r="D746" s="11"/>
      <c r="E746" s="11"/>
      <c r="F746" s="11"/>
      <c r="G746" s="12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5" customHeight="1">
      <c r="A747" s="11"/>
      <c r="B747" s="7"/>
      <c r="C747" s="7"/>
      <c r="D747" s="11"/>
      <c r="E747" s="11"/>
      <c r="F747" s="11"/>
      <c r="G747" s="12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5" customHeight="1">
      <c r="A748" s="11"/>
      <c r="B748" s="7"/>
      <c r="C748" s="7"/>
      <c r="D748" s="11"/>
      <c r="E748" s="11"/>
      <c r="F748" s="11"/>
      <c r="G748" s="12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5" customHeight="1">
      <c r="A749" s="11"/>
      <c r="B749" s="7"/>
      <c r="C749" s="7"/>
      <c r="D749" s="11"/>
      <c r="E749" s="11"/>
      <c r="F749" s="11"/>
      <c r="G749" s="12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5" customHeight="1">
      <c r="A750" s="11"/>
      <c r="B750" s="7"/>
      <c r="C750" s="7"/>
      <c r="D750" s="11"/>
      <c r="E750" s="11"/>
      <c r="F750" s="11"/>
      <c r="G750" s="12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5" customHeight="1">
      <c r="A751" s="11"/>
      <c r="B751" s="7"/>
      <c r="C751" s="7"/>
      <c r="D751" s="11"/>
      <c r="E751" s="11"/>
      <c r="F751" s="11"/>
      <c r="G751" s="12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5" customHeight="1">
      <c r="A752" s="11"/>
      <c r="B752" s="7"/>
      <c r="C752" s="7"/>
      <c r="D752" s="11"/>
      <c r="E752" s="11"/>
      <c r="F752" s="11"/>
      <c r="G752" s="12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5" customHeight="1">
      <c r="A753" s="11"/>
      <c r="B753" s="7"/>
      <c r="C753" s="7"/>
      <c r="D753" s="11"/>
      <c r="E753" s="11"/>
      <c r="F753" s="11"/>
      <c r="G753" s="12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5" customHeight="1">
      <c r="A754" s="11"/>
      <c r="B754" s="7"/>
      <c r="C754" s="7"/>
      <c r="D754" s="11"/>
      <c r="E754" s="11"/>
      <c r="F754" s="11"/>
      <c r="G754" s="12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5" customHeight="1">
      <c r="A755" s="11"/>
      <c r="B755" s="7"/>
      <c r="C755" s="7"/>
      <c r="D755" s="11"/>
      <c r="E755" s="11"/>
      <c r="F755" s="11"/>
      <c r="G755" s="12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5" customHeight="1">
      <c r="A756" s="11"/>
      <c r="B756" s="7"/>
      <c r="C756" s="7"/>
      <c r="D756" s="11"/>
      <c r="E756" s="11"/>
      <c r="F756" s="11"/>
      <c r="G756" s="12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5" customHeight="1">
      <c r="A757" s="11"/>
      <c r="B757" s="7"/>
      <c r="C757" s="7"/>
      <c r="D757" s="11"/>
      <c r="E757" s="11"/>
      <c r="F757" s="11"/>
      <c r="G757" s="12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5" customHeight="1">
      <c r="A758" s="11"/>
      <c r="B758" s="7"/>
      <c r="C758" s="7"/>
      <c r="D758" s="11"/>
      <c r="E758" s="11"/>
      <c r="F758" s="11"/>
      <c r="G758" s="12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5" customHeight="1">
      <c r="A759" s="11"/>
      <c r="B759" s="7"/>
      <c r="C759" s="7"/>
      <c r="D759" s="11"/>
      <c r="E759" s="11"/>
      <c r="F759" s="11"/>
      <c r="G759" s="12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5" customHeight="1">
      <c r="A760" s="11"/>
      <c r="B760" s="7"/>
      <c r="C760" s="7"/>
      <c r="D760" s="11"/>
      <c r="E760" s="11"/>
      <c r="F760" s="11"/>
      <c r="G760" s="12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5" customHeight="1">
      <c r="A761" s="11"/>
      <c r="B761" s="7"/>
      <c r="C761" s="7"/>
      <c r="D761" s="11"/>
      <c r="E761" s="11"/>
      <c r="F761" s="11"/>
      <c r="G761" s="12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5" customHeight="1">
      <c r="A762" s="11"/>
      <c r="B762" s="7"/>
      <c r="C762" s="7"/>
      <c r="D762" s="11"/>
      <c r="E762" s="11"/>
      <c r="F762" s="11"/>
      <c r="G762" s="12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5" customHeight="1">
      <c r="A763" s="11"/>
      <c r="B763" s="7"/>
      <c r="C763" s="7"/>
      <c r="D763" s="11"/>
      <c r="E763" s="11"/>
      <c r="F763" s="11"/>
      <c r="G763" s="12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5" customHeight="1">
      <c r="A764" s="11"/>
      <c r="B764" s="7"/>
      <c r="C764" s="7"/>
      <c r="D764" s="11"/>
      <c r="E764" s="11"/>
      <c r="F764" s="11"/>
      <c r="G764" s="12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5" customHeight="1">
      <c r="A765" s="11"/>
      <c r="B765" s="7"/>
      <c r="C765" s="7"/>
      <c r="D765" s="11"/>
      <c r="E765" s="11"/>
      <c r="F765" s="11"/>
      <c r="G765" s="12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5" customHeight="1">
      <c r="A766" s="11"/>
      <c r="B766" s="7"/>
      <c r="C766" s="7"/>
      <c r="D766" s="11"/>
      <c r="E766" s="11"/>
      <c r="F766" s="11"/>
      <c r="G766" s="12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5" customHeight="1">
      <c r="A767" s="11"/>
      <c r="B767" s="7"/>
      <c r="C767" s="7"/>
      <c r="D767" s="11"/>
      <c r="E767" s="11"/>
      <c r="F767" s="11"/>
      <c r="G767" s="12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5" customHeight="1">
      <c r="A768" s="11"/>
      <c r="B768" s="7"/>
      <c r="C768" s="7"/>
      <c r="D768" s="11"/>
      <c r="E768" s="11"/>
      <c r="F768" s="11"/>
      <c r="G768" s="12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5" customHeight="1">
      <c r="A769" s="11"/>
      <c r="B769" s="7"/>
      <c r="C769" s="7"/>
      <c r="D769" s="11"/>
      <c r="E769" s="11"/>
      <c r="F769" s="11"/>
      <c r="G769" s="12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5" customHeight="1">
      <c r="A770" s="11"/>
      <c r="B770" s="7"/>
      <c r="C770" s="7"/>
      <c r="D770" s="11"/>
      <c r="E770" s="11"/>
      <c r="F770" s="11"/>
      <c r="G770" s="12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5" customHeight="1">
      <c r="A771" s="11"/>
      <c r="B771" s="7"/>
      <c r="C771" s="7"/>
      <c r="D771" s="11"/>
      <c r="E771" s="11"/>
      <c r="F771" s="11"/>
      <c r="G771" s="12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5" customHeight="1">
      <c r="A772" s="11"/>
      <c r="B772" s="7"/>
      <c r="C772" s="7"/>
      <c r="D772" s="11"/>
      <c r="E772" s="11"/>
      <c r="F772" s="11"/>
      <c r="G772" s="12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5" customHeight="1">
      <c r="A773" s="11"/>
      <c r="B773" s="7"/>
      <c r="C773" s="7"/>
      <c r="D773" s="11"/>
      <c r="E773" s="11"/>
      <c r="F773" s="11"/>
      <c r="G773" s="12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5" customHeight="1">
      <c r="A774" s="11"/>
      <c r="B774" s="7"/>
      <c r="C774" s="7"/>
      <c r="D774" s="11"/>
      <c r="E774" s="11"/>
      <c r="F774" s="11"/>
      <c r="G774" s="12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5" customHeight="1">
      <c r="A775" s="11"/>
      <c r="B775" s="7"/>
      <c r="C775" s="7"/>
      <c r="D775" s="11"/>
      <c r="E775" s="11"/>
      <c r="F775" s="11"/>
      <c r="G775" s="12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5" customHeight="1">
      <c r="A776" s="11"/>
      <c r="B776" s="7"/>
      <c r="C776" s="7"/>
      <c r="D776" s="11"/>
      <c r="E776" s="11"/>
      <c r="F776" s="11"/>
      <c r="G776" s="12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5" customHeight="1">
      <c r="A777" s="11"/>
      <c r="B777" s="7"/>
      <c r="C777" s="7"/>
      <c r="D777" s="11"/>
      <c r="E777" s="11"/>
      <c r="F777" s="11"/>
      <c r="G777" s="12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5" customHeight="1">
      <c r="A778" s="11"/>
      <c r="B778" s="7"/>
      <c r="C778" s="7"/>
      <c r="D778" s="11"/>
      <c r="E778" s="11"/>
      <c r="F778" s="11"/>
      <c r="G778" s="12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5" customHeight="1">
      <c r="A779" s="11"/>
      <c r="B779" s="7"/>
      <c r="C779" s="7"/>
      <c r="D779" s="11"/>
      <c r="E779" s="11"/>
      <c r="F779" s="11"/>
      <c r="G779" s="12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5" customHeight="1">
      <c r="A780" s="11"/>
      <c r="B780" s="7"/>
      <c r="C780" s="7"/>
      <c r="D780" s="11"/>
      <c r="E780" s="11"/>
      <c r="F780" s="11"/>
      <c r="G780" s="12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5" customHeight="1">
      <c r="A781" s="11"/>
      <c r="B781" s="7"/>
      <c r="C781" s="7"/>
      <c r="D781" s="11"/>
      <c r="E781" s="11"/>
      <c r="F781" s="11"/>
      <c r="G781" s="12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5" customHeight="1">
      <c r="A782" s="11"/>
      <c r="B782" s="7"/>
      <c r="C782" s="7"/>
      <c r="D782" s="11"/>
      <c r="E782" s="11"/>
      <c r="F782" s="11"/>
      <c r="G782" s="12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5" customHeight="1">
      <c r="A783" s="11"/>
      <c r="B783" s="7"/>
      <c r="C783" s="7"/>
      <c r="D783" s="11"/>
      <c r="E783" s="11"/>
      <c r="F783" s="11"/>
      <c r="G783" s="12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5" customHeight="1">
      <c r="A784" s="11"/>
      <c r="B784" s="7"/>
      <c r="C784" s="7"/>
      <c r="D784" s="11"/>
      <c r="E784" s="11"/>
      <c r="F784" s="11"/>
      <c r="G784" s="12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5" customHeight="1">
      <c r="A785" s="11"/>
      <c r="B785" s="7"/>
      <c r="C785" s="7"/>
      <c r="D785" s="11"/>
      <c r="E785" s="11"/>
      <c r="F785" s="11"/>
      <c r="G785" s="12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5" customHeight="1">
      <c r="A786" s="11"/>
      <c r="B786" s="7"/>
      <c r="C786" s="7"/>
      <c r="D786" s="11"/>
      <c r="E786" s="11"/>
      <c r="F786" s="11"/>
      <c r="G786" s="12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5" customHeight="1">
      <c r="A787" s="11"/>
      <c r="B787" s="7"/>
      <c r="C787" s="7"/>
      <c r="D787" s="11"/>
      <c r="E787" s="11"/>
      <c r="F787" s="11"/>
      <c r="G787" s="12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5" customHeight="1">
      <c r="A788" s="11"/>
      <c r="B788" s="7"/>
      <c r="C788" s="7"/>
      <c r="D788" s="11"/>
      <c r="E788" s="11"/>
      <c r="F788" s="11"/>
      <c r="G788" s="12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5" customHeight="1">
      <c r="A789" s="11"/>
      <c r="B789" s="7"/>
      <c r="C789" s="7"/>
      <c r="D789" s="11"/>
      <c r="E789" s="11"/>
      <c r="F789" s="11"/>
      <c r="G789" s="12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5" customHeight="1">
      <c r="A790" s="11"/>
      <c r="B790" s="7"/>
      <c r="C790" s="7"/>
      <c r="D790" s="11"/>
      <c r="E790" s="11"/>
      <c r="F790" s="11"/>
      <c r="G790" s="12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5" customHeight="1">
      <c r="A791" s="11"/>
      <c r="B791" s="7"/>
      <c r="C791" s="7"/>
      <c r="D791" s="11"/>
      <c r="E791" s="11"/>
      <c r="F791" s="11"/>
      <c r="G791" s="12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5" customHeight="1">
      <c r="A792" s="11"/>
      <c r="B792" s="7"/>
      <c r="C792" s="7"/>
      <c r="D792" s="11"/>
      <c r="E792" s="11"/>
      <c r="F792" s="11"/>
      <c r="G792" s="12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5" customHeight="1">
      <c r="A793" s="11"/>
      <c r="B793" s="7"/>
      <c r="C793" s="7"/>
      <c r="D793" s="11"/>
      <c r="E793" s="11"/>
      <c r="F793" s="11"/>
      <c r="G793" s="12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5" customHeight="1">
      <c r="A794" s="11"/>
      <c r="B794" s="7"/>
      <c r="C794" s="7"/>
      <c r="D794" s="11"/>
      <c r="E794" s="11"/>
      <c r="F794" s="11"/>
      <c r="G794" s="12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5" customHeight="1">
      <c r="A795" s="11"/>
      <c r="B795" s="7"/>
      <c r="C795" s="7"/>
      <c r="D795" s="11"/>
      <c r="E795" s="11"/>
      <c r="F795" s="11"/>
      <c r="G795" s="12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5" customHeight="1">
      <c r="A796" s="11"/>
      <c r="B796" s="7"/>
      <c r="C796" s="7"/>
      <c r="D796" s="11"/>
      <c r="E796" s="11"/>
      <c r="F796" s="11"/>
      <c r="G796" s="12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5" customHeight="1">
      <c r="A797" s="11"/>
      <c r="B797" s="7"/>
      <c r="C797" s="7"/>
      <c r="D797" s="11"/>
      <c r="E797" s="11"/>
      <c r="F797" s="11"/>
      <c r="G797" s="12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5" customHeight="1">
      <c r="A798" s="11"/>
      <c r="B798" s="7"/>
      <c r="C798" s="7"/>
      <c r="D798" s="11"/>
      <c r="E798" s="11"/>
      <c r="F798" s="11"/>
      <c r="G798" s="12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5" customHeight="1">
      <c r="A799" s="11"/>
      <c r="B799" s="7"/>
      <c r="C799" s="7"/>
      <c r="D799" s="11"/>
      <c r="E799" s="11"/>
      <c r="F799" s="11"/>
      <c r="G799" s="12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5" customHeight="1">
      <c r="A800" s="11"/>
      <c r="B800" s="7"/>
      <c r="C800" s="7"/>
      <c r="D800" s="11"/>
      <c r="E800" s="11"/>
      <c r="F800" s="11"/>
      <c r="G800" s="12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5" customHeight="1">
      <c r="A801" s="11"/>
      <c r="B801" s="7"/>
      <c r="C801" s="7"/>
      <c r="D801" s="11"/>
      <c r="E801" s="11"/>
      <c r="F801" s="11"/>
      <c r="G801" s="12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5" customHeight="1">
      <c r="A802" s="11"/>
      <c r="B802" s="7"/>
      <c r="C802" s="7"/>
      <c r="D802" s="11"/>
      <c r="E802" s="11"/>
      <c r="F802" s="11"/>
      <c r="G802" s="12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5" customHeight="1">
      <c r="A803" s="11"/>
      <c r="B803" s="7"/>
      <c r="C803" s="7"/>
      <c r="D803" s="11"/>
      <c r="E803" s="11"/>
      <c r="F803" s="11"/>
      <c r="G803" s="12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5" customHeight="1">
      <c r="A804" s="11"/>
      <c r="B804" s="7"/>
      <c r="C804" s="7"/>
      <c r="D804" s="11"/>
      <c r="E804" s="11"/>
      <c r="F804" s="11"/>
      <c r="G804" s="12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5" customHeight="1">
      <c r="A805" s="11"/>
      <c r="B805" s="7"/>
      <c r="C805" s="7"/>
      <c r="D805" s="11"/>
      <c r="E805" s="11"/>
      <c r="F805" s="11"/>
      <c r="G805" s="12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5" customHeight="1">
      <c r="A806" s="11"/>
      <c r="B806" s="7"/>
      <c r="C806" s="7"/>
      <c r="D806" s="11"/>
      <c r="E806" s="11"/>
      <c r="F806" s="11"/>
      <c r="G806" s="12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5" customHeight="1">
      <c r="A807" s="11"/>
      <c r="B807" s="7"/>
      <c r="C807" s="7"/>
      <c r="D807" s="11"/>
      <c r="E807" s="11"/>
      <c r="F807" s="11"/>
      <c r="G807" s="12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5" customHeight="1">
      <c r="A808" s="11"/>
      <c r="B808" s="7"/>
      <c r="C808" s="7"/>
      <c r="D808" s="11"/>
      <c r="E808" s="11"/>
      <c r="F808" s="11"/>
      <c r="G808" s="12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5" customHeight="1">
      <c r="A809" s="11"/>
      <c r="B809" s="7"/>
      <c r="C809" s="7"/>
      <c r="D809" s="11"/>
      <c r="E809" s="11"/>
      <c r="F809" s="11"/>
      <c r="G809" s="12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5" customHeight="1">
      <c r="A810" s="11"/>
      <c r="B810" s="7"/>
      <c r="C810" s="7"/>
      <c r="D810" s="11"/>
      <c r="E810" s="11"/>
      <c r="F810" s="11"/>
      <c r="G810" s="12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5" customHeight="1">
      <c r="A811" s="11"/>
      <c r="B811" s="7"/>
      <c r="C811" s="7"/>
      <c r="D811" s="11"/>
      <c r="E811" s="11"/>
      <c r="F811" s="11"/>
      <c r="G811" s="12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5" customHeight="1">
      <c r="A812" s="11"/>
      <c r="B812" s="7"/>
      <c r="C812" s="7"/>
      <c r="D812" s="11"/>
      <c r="E812" s="11"/>
      <c r="F812" s="11"/>
      <c r="G812" s="12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5" customHeight="1">
      <c r="A813" s="11"/>
      <c r="B813" s="7"/>
      <c r="C813" s="7"/>
      <c r="D813" s="11"/>
      <c r="E813" s="11"/>
      <c r="F813" s="11"/>
      <c r="G813" s="12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5" customHeight="1">
      <c r="A814" s="11"/>
      <c r="B814" s="7"/>
      <c r="C814" s="7"/>
      <c r="D814" s="11"/>
      <c r="E814" s="11"/>
      <c r="F814" s="11"/>
      <c r="G814" s="12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5" customHeight="1">
      <c r="A815" s="11"/>
      <c r="B815" s="7"/>
      <c r="C815" s="7"/>
      <c r="D815" s="11"/>
      <c r="E815" s="11"/>
      <c r="F815" s="11"/>
      <c r="G815" s="12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5" customHeight="1">
      <c r="A816" s="11"/>
      <c r="B816" s="7"/>
      <c r="C816" s="7"/>
      <c r="D816" s="11"/>
      <c r="E816" s="11"/>
      <c r="F816" s="11"/>
      <c r="G816" s="12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5" customHeight="1">
      <c r="A817" s="11"/>
      <c r="B817" s="7"/>
      <c r="C817" s="7"/>
      <c r="D817" s="11"/>
      <c r="E817" s="11"/>
      <c r="F817" s="11"/>
      <c r="G817" s="12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5" customHeight="1">
      <c r="A818" s="11"/>
      <c r="B818" s="7"/>
      <c r="C818" s="7"/>
      <c r="D818" s="11"/>
      <c r="E818" s="11"/>
      <c r="F818" s="11"/>
      <c r="G818" s="12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5" customHeight="1">
      <c r="A819" s="11"/>
      <c r="B819" s="7"/>
      <c r="C819" s="7"/>
      <c r="D819" s="11"/>
      <c r="E819" s="11"/>
      <c r="F819" s="11"/>
      <c r="G819" s="12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5" customHeight="1">
      <c r="A820" s="11"/>
      <c r="B820" s="7"/>
      <c r="C820" s="7"/>
      <c r="D820" s="11"/>
      <c r="E820" s="11"/>
      <c r="F820" s="11"/>
      <c r="G820" s="12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5" customHeight="1">
      <c r="A821" s="11"/>
      <c r="B821" s="7"/>
      <c r="C821" s="7"/>
      <c r="D821" s="11"/>
      <c r="E821" s="11"/>
      <c r="F821" s="11"/>
      <c r="G821" s="12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5" customHeight="1">
      <c r="A822" s="11"/>
      <c r="B822" s="7"/>
      <c r="C822" s="7"/>
      <c r="D822" s="11"/>
      <c r="E822" s="11"/>
      <c r="F822" s="11"/>
      <c r="G822" s="12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5" customHeight="1">
      <c r="A823" s="11"/>
      <c r="B823" s="7"/>
      <c r="C823" s="7"/>
      <c r="D823" s="11"/>
      <c r="E823" s="11"/>
      <c r="F823" s="11"/>
      <c r="G823" s="12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5" customHeight="1">
      <c r="A824" s="11"/>
      <c r="B824" s="7"/>
      <c r="C824" s="7"/>
      <c r="D824" s="11"/>
      <c r="E824" s="11"/>
      <c r="F824" s="11"/>
      <c r="G824" s="12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5" customHeight="1">
      <c r="A825" s="11"/>
      <c r="B825" s="7"/>
      <c r="C825" s="7"/>
      <c r="D825" s="11"/>
      <c r="E825" s="11"/>
      <c r="F825" s="11"/>
      <c r="G825" s="12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5" customHeight="1">
      <c r="A826" s="11"/>
      <c r="B826" s="7"/>
      <c r="C826" s="7"/>
      <c r="D826" s="11"/>
      <c r="E826" s="11"/>
      <c r="F826" s="11"/>
      <c r="G826" s="12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5" customHeight="1">
      <c r="A827" s="11"/>
      <c r="B827" s="7"/>
      <c r="C827" s="7"/>
      <c r="D827" s="11"/>
      <c r="E827" s="11"/>
      <c r="F827" s="11"/>
      <c r="G827" s="12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5" customHeight="1">
      <c r="A828" s="11"/>
      <c r="B828" s="7"/>
      <c r="C828" s="7"/>
      <c r="D828" s="11"/>
      <c r="E828" s="11"/>
      <c r="F828" s="11"/>
      <c r="G828" s="12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5" customHeight="1">
      <c r="A829" s="11"/>
      <c r="B829" s="7"/>
      <c r="C829" s="7"/>
      <c r="D829" s="11"/>
      <c r="E829" s="11"/>
      <c r="F829" s="11"/>
      <c r="G829" s="12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5" customHeight="1">
      <c r="A830" s="11"/>
      <c r="B830" s="7"/>
      <c r="C830" s="7"/>
      <c r="D830" s="11"/>
      <c r="E830" s="11"/>
      <c r="F830" s="11"/>
      <c r="G830" s="12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5" customHeight="1">
      <c r="A831" s="11"/>
      <c r="B831" s="7"/>
      <c r="C831" s="7"/>
      <c r="D831" s="11"/>
      <c r="E831" s="11"/>
      <c r="F831" s="11"/>
      <c r="G831" s="12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5" customHeight="1">
      <c r="A832" s="11"/>
      <c r="B832" s="7"/>
      <c r="C832" s="7"/>
      <c r="D832" s="11"/>
      <c r="E832" s="11"/>
      <c r="F832" s="11"/>
      <c r="G832" s="12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5" customHeight="1">
      <c r="A833" s="11"/>
      <c r="B833" s="7"/>
      <c r="C833" s="7"/>
      <c r="D833" s="11"/>
      <c r="E833" s="11"/>
      <c r="F833" s="11"/>
      <c r="G833" s="12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5" customHeight="1">
      <c r="A834" s="11"/>
      <c r="B834" s="7"/>
      <c r="C834" s="7"/>
      <c r="D834" s="11"/>
      <c r="E834" s="11"/>
      <c r="F834" s="11"/>
      <c r="G834" s="12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5" customHeight="1">
      <c r="A835" s="11"/>
      <c r="B835" s="7"/>
      <c r="C835" s="7"/>
      <c r="D835" s="11"/>
      <c r="E835" s="11"/>
      <c r="F835" s="11"/>
      <c r="G835" s="12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5" customHeight="1">
      <c r="A836" s="11"/>
      <c r="B836" s="7"/>
      <c r="C836" s="7"/>
      <c r="D836" s="11"/>
      <c r="E836" s="11"/>
      <c r="F836" s="11"/>
      <c r="G836" s="12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5" customHeight="1">
      <c r="A837" s="11"/>
      <c r="B837" s="7"/>
      <c r="C837" s="7"/>
      <c r="D837" s="11"/>
      <c r="E837" s="11"/>
      <c r="F837" s="11"/>
      <c r="G837" s="12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5" customHeight="1">
      <c r="A838" s="11"/>
      <c r="B838" s="7"/>
      <c r="C838" s="7"/>
      <c r="D838" s="11"/>
      <c r="E838" s="11"/>
      <c r="F838" s="11"/>
      <c r="G838" s="12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5" customHeight="1">
      <c r="A839" s="11"/>
      <c r="B839" s="7"/>
      <c r="C839" s="7"/>
      <c r="D839" s="11"/>
      <c r="E839" s="11"/>
      <c r="F839" s="11"/>
      <c r="G839" s="12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5" customHeight="1">
      <c r="A840" s="11"/>
      <c r="B840" s="7"/>
      <c r="C840" s="7"/>
      <c r="D840" s="11"/>
      <c r="E840" s="11"/>
      <c r="F840" s="11"/>
      <c r="G840" s="12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5" customHeight="1">
      <c r="A841" s="11"/>
      <c r="B841" s="7"/>
      <c r="C841" s="7"/>
      <c r="D841" s="11"/>
      <c r="E841" s="11"/>
      <c r="F841" s="11"/>
      <c r="G841" s="12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5" customHeight="1">
      <c r="A842" s="11"/>
      <c r="B842" s="7"/>
      <c r="C842" s="7"/>
      <c r="D842" s="11"/>
      <c r="E842" s="11"/>
      <c r="F842" s="11"/>
      <c r="G842" s="12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5" customHeight="1">
      <c r="A843" s="11"/>
      <c r="B843" s="7"/>
      <c r="C843" s="7"/>
      <c r="D843" s="11"/>
      <c r="E843" s="11"/>
      <c r="F843" s="11"/>
      <c r="G843" s="12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5" customHeight="1">
      <c r="A844" s="11"/>
      <c r="B844" s="7"/>
      <c r="C844" s="7"/>
      <c r="D844" s="11"/>
      <c r="E844" s="11"/>
      <c r="F844" s="11"/>
      <c r="G844" s="12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5" customHeight="1">
      <c r="A845" s="11"/>
      <c r="B845" s="7"/>
      <c r="C845" s="7"/>
      <c r="D845" s="11"/>
      <c r="E845" s="11"/>
      <c r="F845" s="11"/>
      <c r="G845" s="12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5" customHeight="1">
      <c r="A846" s="11"/>
      <c r="B846" s="7"/>
      <c r="C846" s="7"/>
      <c r="D846" s="11"/>
      <c r="E846" s="11"/>
      <c r="F846" s="11"/>
      <c r="G846" s="12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5" customHeight="1">
      <c r="A847" s="11"/>
      <c r="B847" s="7"/>
      <c r="C847" s="7"/>
      <c r="D847" s="11"/>
      <c r="E847" s="11"/>
      <c r="F847" s="11"/>
      <c r="G847" s="12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5" customHeight="1">
      <c r="A848" s="11"/>
      <c r="B848" s="7"/>
      <c r="C848" s="7"/>
      <c r="D848" s="11"/>
      <c r="E848" s="11"/>
      <c r="F848" s="11"/>
      <c r="G848" s="12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5" customHeight="1">
      <c r="A849" s="11"/>
      <c r="B849" s="7"/>
      <c r="C849" s="7"/>
      <c r="D849" s="11"/>
      <c r="E849" s="11"/>
      <c r="F849" s="11"/>
      <c r="G849" s="12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5" customHeight="1">
      <c r="A850" s="11"/>
      <c r="B850" s="7"/>
      <c r="C850" s="7"/>
      <c r="D850" s="11"/>
      <c r="E850" s="11"/>
      <c r="F850" s="11"/>
      <c r="G850" s="12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5" customHeight="1">
      <c r="A851" s="11"/>
      <c r="B851" s="7"/>
      <c r="C851" s="7"/>
      <c r="D851" s="11"/>
      <c r="E851" s="11"/>
      <c r="F851" s="11"/>
      <c r="G851" s="12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5" customHeight="1">
      <c r="A852" s="11"/>
      <c r="B852" s="7"/>
      <c r="C852" s="7"/>
      <c r="D852" s="11"/>
      <c r="E852" s="11"/>
      <c r="F852" s="11"/>
      <c r="G852" s="12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5" customHeight="1">
      <c r="A853" s="11"/>
      <c r="B853" s="7"/>
      <c r="C853" s="7"/>
      <c r="D853" s="11"/>
      <c r="E853" s="11"/>
      <c r="F853" s="11"/>
      <c r="G853" s="12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5" customHeight="1">
      <c r="A854" s="11"/>
      <c r="B854" s="7"/>
      <c r="C854" s="7"/>
      <c r="D854" s="11"/>
      <c r="E854" s="11"/>
      <c r="F854" s="11"/>
      <c r="G854" s="12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5" customHeight="1">
      <c r="A855" s="11"/>
      <c r="B855" s="7"/>
      <c r="C855" s="7"/>
      <c r="D855" s="11"/>
      <c r="E855" s="11"/>
      <c r="F855" s="11"/>
      <c r="G855" s="12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5" customHeight="1">
      <c r="A856" s="11"/>
      <c r="B856" s="7"/>
      <c r="C856" s="7"/>
      <c r="D856" s="11"/>
      <c r="E856" s="11"/>
      <c r="F856" s="11"/>
      <c r="G856" s="12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5" customHeight="1">
      <c r="A857" s="11"/>
      <c r="B857" s="7"/>
      <c r="C857" s="7"/>
      <c r="D857" s="11"/>
      <c r="E857" s="11"/>
      <c r="F857" s="11"/>
      <c r="G857" s="12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5" customHeight="1">
      <c r="A858" s="11"/>
      <c r="B858" s="7"/>
      <c r="C858" s="7"/>
      <c r="D858" s="11"/>
      <c r="E858" s="11"/>
      <c r="F858" s="11"/>
      <c r="G858" s="12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5" customHeight="1">
      <c r="A859" s="11"/>
      <c r="B859" s="7"/>
      <c r="C859" s="7"/>
      <c r="D859" s="11"/>
      <c r="E859" s="11"/>
      <c r="F859" s="11"/>
      <c r="G859" s="12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5" customHeight="1">
      <c r="A860" s="11"/>
      <c r="B860" s="7"/>
      <c r="C860" s="7"/>
      <c r="D860" s="11"/>
      <c r="E860" s="11"/>
      <c r="F860" s="11"/>
      <c r="G860" s="12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5" customHeight="1">
      <c r="A861" s="11"/>
      <c r="B861" s="7"/>
      <c r="C861" s="7"/>
      <c r="D861" s="11"/>
      <c r="E861" s="11"/>
      <c r="F861" s="11"/>
      <c r="G861" s="12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5" customHeight="1">
      <c r="A862" s="11"/>
      <c r="B862" s="7"/>
      <c r="C862" s="7"/>
      <c r="D862" s="11"/>
      <c r="E862" s="11"/>
      <c r="F862" s="11"/>
      <c r="G862" s="12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5" customHeight="1">
      <c r="A863" s="11"/>
      <c r="B863" s="7"/>
      <c r="C863" s="7"/>
      <c r="D863" s="11"/>
      <c r="E863" s="11"/>
      <c r="F863" s="11"/>
      <c r="G863" s="12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5" customHeight="1">
      <c r="A864" s="11"/>
      <c r="B864" s="7"/>
      <c r="C864" s="7"/>
      <c r="D864" s="11"/>
      <c r="E864" s="11"/>
      <c r="F864" s="11"/>
      <c r="G864" s="12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5" customHeight="1">
      <c r="A865" s="11"/>
      <c r="B865" s="7"/>
      <c r="C865" s="7"/>
      <c r="D865" s="11"/>
      <c r="E865" s="11"/>
      <c r="F865" s="11"/>
      <c r="G865" s="12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5" customHeight="1">
      <c r="A866" s="11"/>
      <c r="B866" s="7"/>
      <c r="C866" s="7"/>
      <c r="D866" s="11"/>
      <c r="E866" s="11"/>
      <c r="F866" s="11"/>
      <c r="G866" s="12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5" customHeight="1">
      <c r="A867" s="11"/>
      <c r="B867" s="7"/>
      <c r="C867" s="7"/>
      <c r="D867" s="11"/>
      <c r="E867" s="11"/>
      <c r="F867" s="11"/>
      <c r="G867" s="12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5" customHeight="1">
      <c r="A868" s="11"/>
      <c r="B868" s="7"/>
      <c r="C868" s="7"/>
      <c r="D868" s="11"/>
      <c r="E868" s="11"/>
      <c r="F868" s="11"/>
      <c r="G868" s="12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5" customHeight="1">
      <c r="A869" s="11"/>
      <c r="B869" s="7"/>
      <c r="C869" s="7"/>
      <c r="D869" s="11"/>
      <c r="E869" s="11"/>
      <c r="F869" s="11"/>
      <c r="G869" s="12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5" customHeight="1">
      <c r="A870" s="11"/>
      <c r="B870" s="7"/>
      <c r="C870" s="7"/>
      <c r="D870" s="11"/>
      <c r="E870" s="11"/>
      <c r="F870" s="11"/>
      <c r="G870" s="12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5" customHeight="1">
      <c r="A871" s="11"/>
      <c r="B871" s="7"/>
      <c r="C871" s="7"/>
      <c r="D871" s="11"/>
      <c r="E871" s="11"/>
      <c r="F871" s="11"/>
      <c r="G871" s="12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5" customHeight="1">
      <c r="A872" s="11"/>
      <c r="B872" s="7"/>
      <c r="C872" s="7"/>
      <c r="D872" s="11"/>
      <c r="E872" s="11"/>
      <c r="F872" s="11"/>
      <c r="G872" s="12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5" customHeight="1">
      <c r="A873" s="11"/>
      <c r="B873" s="7"/>
      <c r="C873" s="7"/>
      <c r="D873" s="11"/>
      <c r="E873" s="11"/>
      <c r="F873" s="11"/>
      <c r="G873" s="12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5" customHeight="1">
      <c r="A874" s="11"/>
      <c r="B874" s="7"/>
      <c r="C874" s="7"/>
      <c r="D874" s="11"/>
      <c r="E874" s="11"/>
      <c r="F874" s="11"/>
      <c r="G874" s="12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5" customHeight="1">
      <c r="A875" s="11"/>
      <c r="B875" s="7"/>
      <c r="C875" s="7"/>
      <c r="D875" s="11"/>
      <c r="E875" s="11"/>
      <c r="F875" s="11"/>
      <c r="G875" s="12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5" customHeight="1">
      <c r="A876" s="11"/>
      <c r="B876" s="7"/>
      <c r="C876" s="7"/>
      <c r="D876" s="11"/>
      <c r="E876" s="11"/>
      <c r="F876" s="11"/>
      <c r="G876" s="12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5" customHeight="1">
      <c r="A877" s="11"/>
      <c r="B877" s="7"/>
      <c r="C877" s="7"/>
      <c r="D877" s="11"/>
      <c r="E877" s="11"/>
      <c r="F877" s="11"/>
      <c r="G877" s="12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5" customHeight="1">
      <c r="A878" s="11"/>
      <c r="B878" s="7"/>
      <c r="C878" s="7"/>
      <c r="D878" s="11"/>
      <c r="E878" s="11"/>
      <c r="F878" s="11"/>
      <c r="G878" s="12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5" customHeight="1">
      <c r="A879" s="11"/>
      <c r="B879" s="7"/>
      <c r="C879" s="7"/>
      <c r="D879" s="11"/>
      <c r="E879" s="11"/>
      <c r="F879" s="11"/>
      <c r="G879" s="12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5" customHeight="1">
      <c r="A880" s="11"/>
      <c r="B880" s="7"/>
      <c r="C880" s="7"/>
      <c r="D880" s="11"/>
      <c r="E880" s="11"/>
      <c r="F880" s="11"/>
      <c r="G880" s="12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5" customHeight="1">
      <c r="A881" s="11"/>
      <c r="B881" s="7"/>
      <c r="C881" s="7"/>
      <c r="D881" s="11"/>
      <c r="E881" s="11"/>
      <c r="F881" s="11"/>
      <c r="G881" s="12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5" customHeight="1">
      <c r="A882" s="11"/>
      <c r="B882" s="7"/>
      <c r="C882" s="7"/>
      <c r="D882" s="11"/>
      <c r="E882" s="11"/>
      <c r="F882" s="11"/>
      <c r="G882" s="12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5" customHeight="1">
      <c r="A883" s="11"/>
      <c r="B883" s="7"/>
      <c r="C883" s="7"/>
      <c r="D883" s="11"/>
      <c r="E883" s="11"/>
      <c r="F883" s="11"/>
      <c r="G883" s="12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5" customHeight="1">
      <c r="A884" s="11"/>
      <c r="B884" s="7"/>
      <c r="C884" s="7"/>
      <c r="D884" s="11"/>
      <c r="E884" s="11"/>
      <c r="F884" s="11"/>
      <c r="G884" s="12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5" customHeight="1">
      <c r="A885" s="11"/>
      <c r="B885" s="7"/>
      <c r="C885" s="7"/>
      <c r="D885" s="11"/>
      <c r="E885" s="11"/>
      <c r="F885" s="11"/>
      <c r="G885" s="12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5" customHeight="1">
      <c r="A886" s="11"/>
      <c r="B886" s="7"/>
      <c r="C886" s="7"/>
      <c r="D886" s="11"/>
      <c r="E886" s="11"/>
      <c r="F886" s="11"/>
      <c r="G886" s="12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5" customHeight="1">
      <c r="A887" s="11"/>
      <c r="B887" s="7"/>
      <c r="C887" s="7"/>
      <c r="D887" s="11"/>
      <c r="E887" s="11"/>
      <c r="F887" s="11"/>
      <c r="G887" s="12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5" customHeight="1">
      <c r="A888" s="11"/>
      <c r="B888" s="7"/>
      <c r="C888" s="7"/>
      <c r="D888" s="11"/>
      <c r="E888" s="11"/>
      <c r="F888" s="11"/>
      <c r="G888" s="12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5" customHeight="1">
      <c r="A889" s="11"/>
      <c r="B889" s="7"/>
      <c r="C889" s="7"/>
      <c r="D889" s="11"/>
      <c r="E889" s="11"/>
      <c r="F889" s="11"/>
      <c r="G889" s="12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5" customHeight="1">
      <c r="A890" s="11"/>
      <c r="B890" s="7"/>
      <c r="C890" s="7"/>
      <c r="D890" s="11"/>
      <c r="E890" s="11"/>
      <c r="F890" s="11"/>
      <c r="G890" s="12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5" customHeight="1">
      <c r="A891" s="11"/>
      <c r="B891" s="7"/>
      <c r="C891" s="7"/>
      <c r="D891" s="11"/>
      <c r="E891" s="11"/>
      <c r="F891" s="11"/>
      <c r="G891" s="12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5" customHeight="1">
      <c r="A892" s="11"/>
      <c r="B892" s="7"/>
      <c r="C892" s="7"/>
      <c r="D892" s="11"/>
      <c r="E892" s="11"/>
      <c r="F892" s="11"/>
      <c r="G892" s="12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5" customHeight="1">
      <c r="A893" s="11"/>
      <c r="B893" s="7"/>
      <c r="C893" s="7"/>
      <c r="D893" s="11"/>
      <c r="E893" s="11"/>
      <c r="F893" s="11"/>
      <c r="G893" s="12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5" customHeight="1">
      <c r="A894" s="11"/>
      <c r="B894" s="7"/>
      <c r="C894" s="7"/>
      <c r="D894" s="11"/>
      <c r="E894" s="11"/>
      <c r="F894" s="11"/>
      <c r="G894" s="12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5" customHeight="1">
      <c r="A895" s="11"/>
      <c r="B895" s="7"/>
      <c r="C895" s="7"/>
      <c r="D895" s="11"/>
      <c r="E895" s="11"/>
      <c r="F895" s="11"/>
      <c r="G895" s="12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5" customHeight="1">
      <c r="A896" s="11"/>
      <c r="B896" s="7"/>
      <c r="C896" s="7"/>
      <c r="D896" s="11"/>
      <c r="E896" s="11"/>
      <c r="F896" s="11"/>
      <c r="G896" s="12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5" customHeight="1">
      <c r="A897" s="11"/>
      <c r="B897" s="7"/>
      <c r="C897" s="7"/>
      <c r="D897" s="11"/>
      <c r="E897" s="11"/>
      <c r="F897" s="11"/>
      <c r="G897" s="12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5" customHeight="1">
      <c r="A898" s="11"/>
      <c r="B898" s="7"/>
      <c r="C898" s="7"/>
      <c r="D898" s="11"/>
      <c r="E898" s="11"/>
      <c r="F898" s="11"/>
      <c r="G898" s="12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5" customHeight="1">
      <c r="A899" s="11"/>
      <c r="B899" s="7"/>
      <c r="C899" s="7"/>
      <c r="D899" s="11"/>
      <c r="E899" s="11"/>
      <c r="F899" s="11"/>
      <c r="G899" s="12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5" customHeight="1">
      <c r="A900" s="11"/>
      <c r="B900" s="7"/>
      <c r="C900" s="7"/>
      <c r="D900" s="11"/>
      <c r="E900" s="11"/>
      <c r="F900" s="11"/>
      <c r="G900" s="12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5" customHeight="1">
      <c r="A901" s="11"/>
      <c r="B901" s="7"/>
      <c r="C901" s="7"/>
      <c r="D901" s="11"/>
      <c r="E901" s="11"/>
      <c r="F901" s="11"/>
      <c r="G901" s="12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5" customHeight="1">
      <c r="A902" s="11"/>
      <c r="B902" s="7"/>
      <c r="C902" s="7"/>
      <c r="D902" s="11"/>
      <c r="E902" s="11"/>
      <c r="F902" s="11"/>
      <c r="G902" s="12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5" customHeight="1">
      <c r="A903" s="11"/>
      <c r="B903" s="7"/>
      <c r="C903" s="7"/>
      <c r="D903" s="11"/>
      <c r="E903" s="11"/>
      <c r="F903" s="11"/>
      <c r="G903" s="12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5" customHeight="1">
      <c r="A904" s="11"/>
      <c r="B904" s="7"/>
      <c r="C904" s="7"/>
      <c r="D904" s="11"/>
      <c r="E904" s="11"/>
      <c r="F904" s="11"/>
      <c r="G904" s="12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5" customHeight="1">
      <c r="A905" s="11"/>
      <c r="B905" s="7"/>
      <c r="C905" s="7"/>
      <c r="D905" s="11"/>
      <c r="E905" s="11"/>
      <c r="F905" s="11"/>
      <c r="G905" s="12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5" customHeight="1">
      <c r="A906" s="11"/>
      <c r="B906" s="7"/>
      <c r="C906" s="7"/>
      <c r="D906" s="11"/>
      <c r="E906" s="11"/>
      <c r="F906" s="11"/>
      <c r="G906" s="12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5" customHeight="1">
      <c r="A907" s="11"/>
      <c r="B907" s="7"/>
      <c r="C907" s="7"/>
      <c r="D907" s="11"/>
      <c r="E907" s="11"/>
      <c r="F907" s="11"/>
      <c r="G907" s="12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5" customHeight="1">
      <c r="A908" s="11"/>
      <c r="B908" s="7"/>
      <c r="C908" s="7"/>
      <c r="D908" s="11"/>
      <c r="E908" s="11"/>
      <c r="F908" s="11"/>
      <c r="G908" s="12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5" customHeight="1">
      <c r="A909" s="11"/>
      <c r="B909" s="7"/>
      <c r="C909" s="7"/>
      <c r="D909" s="11"/>
      <c r="E909" s="11"/>
      <c r="F909" s="11"/>
      <c r="G909" s="12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5" customHeight="1">
      <c r="A910" s="11"/>
      <c r="B910" s="7"/>
      <c r="C910" s="7"/>
      <c r="D910" s="11"/>
      <c r="E910" s="11"/>
      <c r="F910" s="11"/>
      <c r="G910" s="12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5" customHeight="1">
      <c r="A911" s="11"/>
      <c r="B911" s="7"/>
      <c r="C911" s="7"/>
      <c r="D911" s="11"/>
      <c r="E911" s="11"/>
      <c r="F911" s="11"/>
      <c r="G911" s="12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5" customHeight="1">
      <c r="A912" s="11"/>
      <c r="B912" s="7"/>
      <c r="C912" s="7"/>
      <c r="D912" s="11"/>
      <c r="E912" s="11"/>
      <c r="F912" s="11"/>
      <c r="G912" s="12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5" customHeight="1">
      <c r="A913" s="11"/>
      <c r="B913" s="7"/>
      <c r="C913" s="7"/>
      <c r="D913" s="11"/>
      <c r="E913" s="11"/>
      <c r="F913" s="11"/>
      <c r="G913" s="12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5" customHeight="1">
      <c r="A914" s="11"/>
      <c r="B914" s="7"/>
      <c r="C914" s="7"/>
      <c r="D914" s="11"/>
      <c r="E914" s="11"/>
      <c r="F914" s="11"/>
      <c r="G914" s="12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5" customHeight="1">
      <c r="A915" s="11"/>
      <c r="B915" s="7"/>
      <c r="C915" s="7"/>
      <c r="D915" s="11"/>
      <c r="E915" s="11"/>
      <c r="F915" s="11"/>
      <c r="G915" s="12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5" customHeight="1">
      <c r="A916" s="11"/>
      <c r="B916" s="7"/>
      <c r="C916" s="7"/>
      <c r="D916" s="11"/>
      <c r="E916" s="11"/>
      <c r="F916" s="11"/>
      <c r="G916" s="12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5" customHeight="1">
      <c r="A917" s="11"/>
      <c r="B917" s="7"/>
      <c r="C917" s="7"/>
      <c r="D917" s="11"/>
      <c r="E917" s="11"/>
      <c r="F917" s="11"/>
      <c r="G917" s="12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5" customHeight="1">
      <c r="A918" s="11"/>
      <c r="B918" s="7"/>
      <c r="C918" s="7"/>
      <c r="D918" s="11"/>
      <c r="E918" s="11"/>
      <c r="F918" s="11"/>
      <c r="G918" s="12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5" customHeight="1">
      <c r="A919" s="11"/>
      <c r="B919" s="7"/>
      <c r="C919" s="7"/>
      <c r="D919" s="11"/>
      <c r="E919" s="11"/>
      <c r="F919" s="11"/>
      <c r="G919" s="12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5" customHeight="1">
      <c r="A920" s="11"/>
      <c r="B920" s="7"/>
      <c r="C920" s="7"/>
      <c r="D920" s="11"/>
      <c r="E920" s="11"/>
      <c r="F920" s="11"/>
      <c r="G920" s="12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5" customHeight="1">
      <c r="A921" s="11"/>
      <c r="B921" s="7"/>
      <c r="C921" s="7"/>
      <c r="D921" s="11"/>
      <c r="E921" s="11"/>
      <c r="F921" s="11"/>
      <c r="G921" s="12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5" customHeight="1">
      <c r="A922" s="11"/>
      <c r="B922" s="7"/>
      <c r="C922" s="7"/>
      <c r="D922" s="11"/>
      <c r="E922" s="11"/>
      <c r="F922" s="11"/>
      <c r="G922" s="12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5" customHeight="1">
      <c r="A923" s="11"/>
      <c r="B923" s="7"/>
      <c r="C923" s="7"/>
      <c r="D923" s="11"/>
      <c r="E923" s="11"/>
      <c r="F923" s="11"/>
      <c r="G923" s="12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5" customHeight="1">
      <c r="A924" s="11"/>
      <c r="B924" s="7"/>
      <c r="C924" s="7"/>
      <c r="D924" s="11"/>
      <c r="E924" s="11"/>
      <c r="F924" s="11"/>
      <c r="G924" s="12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5" customHeight="1">
      <c r="A925" s="11"/>
      <c r="B925" s="7"/>
      <c r="C925" s="7"/>
      <c r="D925" s="11"/>
      <c r="E925" s="11"/>
      <c r="F925" s="11"/>
      <c r="G925" s="12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5" customHeight="1">
      <c r="A926" s="11"/>
      <c r="B926" s="7"/>
      <c r="C926" s="7"/>
      <c r="D926" s="11"/>
      <c r="E926" s="11"/>
      <c r="F926" s="11"/>
      <c r="G926" s="12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5" customHeight="1">
      <c r="A927" s="11"/>
      <c r="B927" s="7"/>
      <c r="C927" s="7"/>
      <c r="D927" s="11"/>
      <c r="E927" s="11"/>
      <c r="F927" s="11"/>
      <c r="G927" s="12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5" customHeight="1">
      <c r="A928" s="11"/>
      <c r="B928" s="7"/>
      <c r="C928" s="7"/>
      <c r="D928" s="11"/>
      <c r="E928" s="11"/>
      <c r="F928" s="11"/>
      <c r="G928" s="12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5" customHeight="1">
      <c r="A929" s="11"/>
      <c r="B929" s="7"/>
      <c r="C929" s="7"/>
      <c r="D929" s="11"/>
      <c r="E929" s="11"/>
      <c r="F929" s="11"/>
      <c r="G929" s="12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5" customHeight="1">
      <c r="A930" s="11"/>
      <c r="B930" s="7"/>
      <c r="C930" s="7"/>
      <c r="D930" s="11"/>
      <c r="E930" s="11"/>
      <c r="F930" s="11"/>
      <c r="G930" s="12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5" customHeight="1">
      <c r="A931" s="11"/>
      <c r="B931" s="7"/>
      <c r="C931" s="7"/>
      <c r="D931" s="11"/>
      <c r="E931" s="11"/>
      <c r="F931" s="11"/>
      <c r="G931" s="12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5" customHeight="1">
      <c r="A932" s="11"/>
      <c r="B932" s="7"/>
      <c r="C932" s="7"/>
      <c r="D932" s="11"/>
      <c r="E932" s="11"/>
      <c r="F932" s="11"/>
      <c r="G932" s="12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5" customHeight="1">
      <c r="A933" s="11"/>
      <c r="B933" s="7"/>
      <c r="C933" s="7"/>
      <c r="D933" s="11"/>
      <c r="E933" s="11"/>
      <c r="F933" s="11"/>
      <c r="G933" s="12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5" customHeight="1">
      <c r="A934" s="11"/>
      <c r="B934" s="7"/>
      <c r="C934" s="7"/>
      <c r="D934" s="11"/>
      <c r="E934" s="11"/>
      <c r="F934" s="11"/>
      <c r="G934" s="12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5" customHeight="1">
      <c r="A935" s="11"/>
      <c r="B935" s="7"/>
      <c r="C935" s="7"/>
      <c r="D935" s="11"/>
      <c r="E935" s="11"/>
      <c r="F935" s="11"/>
      <c r="G935" s="12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5" customHeight="1">
      <c r="A936" s="11"/>
      <c r="B936" s="7"/>
      <c r="C936" s="7"/>
      <c r="D936" s="11"/>
      <c r="E936" s="11"/>
      <c r="F936" s="11"/>
      <c r="G936" s="12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5" customHeight="1">
      <c r="A937" s="11"/>
      <c r="B937" s="7"/>
      <c r="C937" s="7"/>
      <c r="D937" s="11"/>
      <c r="E937" s="11"/>
      <c r="F937" s="11"/>
      <c r="G937" s="12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5" customHeight="1">
      <c r="A938" s="11"/>
      <c r="B938" s="7"/>
      <c r="C938" s="7"/>
      <c r="D938" s="11"/>
      <c r="E938" s="11"/>
      <c r="F938" s="11"/>
      <c r="G938" s="12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5" customHeight="1">
      <c r="A939" s="11"/>
      <c r="B939" s="7"/>
      <c r="C939" s="7"/>
      <c r="D939" s="11"/>
      <c r="E939" s="11"/>
      <c r="F939" s="11"/>
      <c r="G939" s="12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5" customHeight="1">
      <c r="A940" s="11"/>
      <c r="B940" s="7"/>
      <c r="C940" s="7"/>
      <c r="D940" s="11"/>
      <c r="E940" s="11"/>
      <c r="F940" s="11"/>
      <c r="G940" s="12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5" customHeight="1">
      <c r="A941" s="11"/>
      <c r="B941" s="7"/>
      <c r="C941" s="7"/>
      <c r="D941" s="11"/>
      <c r="E941" s="11"/>
      <c r="F941" s="11"/>
      <c r="G941" s="12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5" customHeight="1">
      <c r="A942" s="11"/>
      <c r="B942" s="7"/>
      <c r="C942" s="7"/>
      <c r="D942" s="11"/>
      <c r="E942" s="11"/>
      <c r="F942" s="11"/>
      <c r="G942" s="12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5" customHeight="1">
      <c r="A943" s="11"/>
      <c r="B943" s="7"/>
      <c r="C943" s="7"/>
      <c r="D943" s="11"/>
      <c r="E943" s="11"/>
      <c r="F943" s="11"/>
      <c r="G943" s="12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5" customHeight="1">
      <c r="A944" s="11"/>
      <c r="B944" s="7"/>
      <c r="C944" s="7"/>
      <c r="D944" s="11"/>
      <c r="E944" s="11"/>
      <c r="F944" s="11"/>
      <c r="G944" s="12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5" customHeight="1">
      <c r="A945" s="11"/>
      <c r="B945" s="7"/>
      <c r="C945" s="7"/>
      <c r="D945" s="11"/>
      <c r="E945" s="11"/>
      <c r="F945" s="11"/>
      <c r="G945" s="12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5" customHeight="1">
      <c r="A946" s="11"/>
      <c r="B946" s="7"/>
      <c r="C946" s="7"/>
      <c r="D946" s="11"/>
      <c r="E946" s="11"/>
      <c r="F946" s="11"/>
      <c r="G946" s="12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5" customHeight="1">
      <c r="A947" s="11"/>
      <c r="B947" s="7"/>
      <c r="C947" s="7"/>
      <c r="D947" s="11"/>
      <c r="E947" s="11"/>
      <c r="F947" s="11"/>
      <c r="G947" s="12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5" customHeight="1">
      <c r="A948" s="11"/>
      <c r="B948" s="7"/>
      <c r="C948" s="7"/>
      <c r="D948" s="11"/>
      <c r="E948" s="11"/>
      <c r="F948" s="11"/>
      <c r="G948" s="12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5" customHeight="1">
      <c r="A949" s="11"/>
      <c r="B949" s="7"/>
      <c r="C949" s="7"/>
      <c r="D949" s="11"/>
      <c r="E949" s="11"/>
      <c r="F949" s="11"/>
      <c r="G949" s="12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5" customHeight="1">
      <c r="A950" s="11"/>
      <c r="B950" s="7"/>
      <c r="C950" s="7"/>
      <c r="D950" s="11"/>
      <c r="E950" s="11"/>
      <c r="F950" s="11"/>
      <c r="G950" s="12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5" customHeight="1">
      <c r="A951" s="11"/>
      <c r="B951" s="7"/>
      <c r="C951" s="7"/>
      <c r="D951" s="11"/>
      <c r="E951" s="11"/>
      <c r="F951" s="11"/>
      <c r="G951" s="12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5" customHeight="1">
      <c r="A952" s="11"/>
      <c r="B952" s="7"/>
      <c r="C952" s="7"/>
      <c r="D952" s="11"/>
      <c r="E952" s="11"/>
      <c r="F952" s="11"/>
      <c r="G952" s="12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5" customHeight="1">
      <c r="A953" s="11"/>
      <c r="B953" s="7"/>
      <c r="C953" s="7"/>
      <c r="D953" s="11"/>
      <c r="E953" s="11"/>
      <c r="F953" s="11"/>
      <c r="G953" s="12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5" customHeight="1">
      <c r="A954" s="11"/>
      <c r="B954" s="7"/>
      <c r="C954" s="7"/>
      <c r="D954" s="11"/>
      <c r="E954" s="11"/>
      <c r="F954" s="11"/>
      <c r="G954" s="12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5" customHeight="1">
      <c r="A955" s="11"/>
      <c r="B955" s="7"/>
      <c r="C955" s="7"/>
      <c r="D955" s="11"/>
      <c r="E955" s="11"/>
      <c r="F955" s="11"/>
      <c r="G955" s="12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5" customHeight="1">
      <c r="A956" s="11"/>
      <c r="B956" s="7"/>
      <c r="C956" s="7"/>
      <c r="D956" s="11"/>
      <c r="E956" s="11"/>
      <c r="F956" s="11"/>
      <c r="G956" s="12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5" customHeight="1">
      <c r="A957" s="11"/>
      <c r="B957" s="7"/>
      <c r="C957" s="7"/>
      <c r="D957" s="11"/>
      <c r="E957" s="11"/>
      <c r="F957" s="11"/>
      <c r="G957" s="12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5" customHeight="1">
      <c r="A958" s="11"/>
      <c r="B958" s="7"/>
      <c r="C958" s="7"/>
      <c r="D958" s="11"/>
      <c r="E958" s="11"/>
      <c r="F958" s="11"/>
      <c r="G958" s="12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5" customHeight="1">
      <c r="A959" s="11"/>
      <c r="B959" s="7"/>
      <c r="C959" s="7"/>
      <c r="D959" s="11"/>
      <c r="E959" s="11"/>
      <c r="F959" s="11"/>
      <c r="G959" s="12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5" customHeight="1">
      <c r="A960" s="11"/>
      <c r="B960" s="7"/>
      <c r="C960" s="7"/>
      <c r="D960" s="11"/>
      <c r="E960" s="11"/>
      <c r="F960" s="11"/>
      <c r="G960" s="12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5" customHeight="1">
      <c r="A961" s="11"/>
      <c r="B961" s="7"/>
      <c r="C961" s="7"/>
      <c r="D961" s="11"/>
      <c r="E961" s="11"/>
      <c r="F961" s="11"/>
      <c r="G961" s="12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5" customHeight="1">
      <c r="A962" s="11"/>
      <c r="B962" s="7"/>
      <c r="C962" s="7"/>
      <c r="D962" s="11"/>
      <c r="E962" s="11"/>
      <c r="F962" s="11"/>
      <c r="G962" s="12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5" customHeight="1">
      <c r="A963" s="11"/>
      <c r="B963" s="7"/>
      <c r="C963" s="7"/>
      <c r="D963" s="11"/>
      <c r="E963" s="11"/>
      <c r="F963" s="11"/>
      <c r="G963" s="12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5" customHeight="1">
      <c r="A964" s="11"/>
      <c r="B964" s="7"/>
      <c r="C964" s="7"/>
      <c r="D964" s="11"/>
      <c r="E964" s="11"/>
      <c r="F964" s="11"/>
      <c r="G964" s="12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5" customHeight="1">
      <c r="A965" s="11"/>
      <c r="B965" s="7"/>
      <c r="C965" s="7"/>
      <c r="D965" s="11"/>
      <c r="E965" s="11"/>
      <c r="F965" s="11"/>
      <c r="G965" s="12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5" customHeight="1">
      <c r="A966" s="11"/>
      <c r="B966" s="7"/>
      <c r="C966" s="7"/>
      <c r="D966" s="11"/>
      <c r="E966" s="11"/>
      <c r="F966" s="11"/>
      <c r="G966" s="12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5" customHeight="1">
      <c r="A967" s="11"/>
      <c r="B967" s="7"/>
      <c r="C967" s="7"/>
      <c r="D967" s="11"/>
      <c r="E967" s="11"/>
      <c r="F967" s="11"/>
      <c r="G967" s="12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5" customHeight="1">
      <c r="A968" s="11"/>
      <c r="B968" s="7"/>
      <c r="C968" s="7"/>
      <c r="D968" s="11"/>
      <c r="E968" s="11"/>
      <c r="F968" s="11"/>
      <c r="G968" s="12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5" customHeight="1">
      <c r="A969" s="11"/>
      <c r="B969" s="7"/>
      <c r="C969" s="7"/>
      <c r="D969" s="11"/>
      <c r="E969" s="11"/>
      <c r="F969" s="11"/>
      <c r="G969" s="12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5" customHeight="1">
      <c r="A970" s="11"/>
      <c r="B970" s="7"/>
      <c r="C970" s="7"/>
      <c r="D970" s="11"/>
      <c r="E970" s="11"/>
      <c r="F970" s="11"/>
      <c r="G970" s="12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5" customHeight="1">
      <c r="A971" s="11"/>
      <c r="B971" s="7"/>
      <c r="C971" s="7"/>
      <c r="D971" s="11"/>
      <c r="E971" s="11"/>
      <c r="F971" s="11"/>
      <c r="G971" s="12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5" customHeight="1">
      <c r="A972" s="11"/>
      <c r="B972" s="7"/>
      <c r="C972" s="7"/>
      <c r="D972" s="11"/>
      <c r="E972" s="11"/>
      <c r="F972" s="11"/>
      <c r="G972" s="12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5" customHeight="1">
      <c r="A973" s="11"/>
      <c r="B973" s="7"/>
      <c r="C973" s="7"/>
      <c r="D973" s="11"/>
      <c r="E973" s="11"/>
      <c r="F973" s="11"/>
      <c r="G973" s="12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5" customHeight="1">
      <c r="A974" s="11"/>
      <c r="B974" s="7"/>
      <c r="C974" s="7"/>
      <c r="D974" s="11"/>
      <c r="E974" s="11"/>
      <c r="F974" s="11"/>
      <c r="G974" s="12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5" customHeight="1">
      <c r="A975" s="11"/>
      <c r="B975" s="7"/>
      <c r="C975" s="7"/>
      <c r="D975" s="11"/>
      <c r="E975" s="11"/>
      <c r="F975" s="11"/>
      <c r="G975" s="12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5" customHeight="1">
      <c r="A976" s="11"/>
      <c r="B976" s="7"/>
      <c r="C976" s="7"/>
      <c r="D976" s="11"/>
      <c r="E976" s="11"/>
      <c r="F976" s="11"/>
      <c r="G976" s="12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5" customHeight="1">
      <c r="A977" s="11"/>
      <c r="B977" s="7"/>
      <c r="C977" s="7"/>
      <c r="D977" s="11"/>
      <c r="E977" s="11"/>
      <c r="F977" s="11"/>
      <c r="G977" s="12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5" customHeight="1">
      <c r="A978" s="11"/>
      <c r="B978" s="7"/>
      <c r="C978" s="7"/>
      <c r="D978" s="11"/>
      <c r="E978" s="11"/>
      <c r="F978" s="11"/>
      <c r="G978" s="12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5" customHeight="1">
      <c r="A979" s="11"/>
      <c r="B979" s="7"/>
      <c r="C979" s="7"/>
      <c r="D979" s="11"/>
      <c r="E979" s="11"/>
      <c r="F979" s="11"/>
      <c r="G979" s="12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5" customHeight="1">
      <c r="A980" s="11"/>
      <c r="B980" s="7"/>
      <c r="C980" s="7"/>
      <c r="D980" s="11"/>
      <c r="E980" s="11"/>
      <c r="F980" s="11"/>
      <c r="G980" s="12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5" customHeight="1">
      <c r="A981" s="11"/>
      <c r="B981" s="7"/>
      <c r="C981" s="7"/>
      <c r="D981" s="11"/>
      <c r="E981" s="11"/>
      <c r="F981" s="11"/>
      <c r="G981" s="12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5" customHeight="1">
      <c r="A982" s="11"/>
      <c r="B982" s="7"/>
      <c r="C982" s="7"/>
      <c r="D982" s="11"/>
      <c r="E982" s="11"/>
      <c r="F982" s="11"/>
      <c r="G982" s="12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5" customHeight="1">
      <c r="A983" s="11"/>
      <c r="B983" s="7"/>
      <c r="C983" s="7"/>
      <c r="D983" s="11"/>
      <c r="E983" s="11"/>
      <c r="F983" s="11"/>
      <c r="G983" s="12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5" customHeight="1">
      <c r="A984" s="11"/>
      <c r="B984" s="7"/>
      <c r="C984" s="7"/>
      <c r="D984" s="11"/>
      <c r="E984" s="11"/>
      <c r="F984" s="11"/>
      <c r="G984" s="12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5" customHeight="1">
      <c r="A985" s="11"/>
      <c r="B985" s="7"/>
      <c r="C985" s="7"/>
      <c r="D985" s="11"/>
      <c r="E985" s="11"/>
      <c r="F985" s="11"/>
      <c r="G985" s="12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5" customHeight="1">
      <c r="A986" s="11"/>
      <c r="B986" s="7"/>
      <c r="C986" s="7"/>
      <c r="D986" s="11"/>
      <c r="E986" s="11"/>
      <c r="F986" s="11"/>
      <c r="G986" s="12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5" customHeight="1">
      <c r="A987" s="11"/>
      <c r="B987" s="7"/>
      <c r="C987" s="7"/>
      <c r="D987" s="11"/>
      <c r="E987" s="11"/>
      <c r="F987" s="11"/>
      <c r="G987" s="12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5" customHeight="1">
      <c r="A988" s="11"/>
      <c r="B988" s="7"/>
      <c r="C988" s="7"/>
      <c r="D988" s="11"/>
      <c r="E988" s="11"/>
      <c r="F988" s="11"/>
      <c r="G988" s="12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5" customHeight="1">
      <c r="A989" s="11"/>
      <c r="B989" s="7"/>
      <c r="C989" s="7"/>
      <c r="D989" s="11"/>
      <c r="E989" s="11"/>
      <c r="F989" s="11"/>
      <c r="G989" s="12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5" customHeight="1">
      <c r="A990" s="11"/>
      <c r="B990" s="7"/>
      <c r="C990" s="7"/>
      <c r="D990" s="11"/>
      <c r="E990" s="11"/>
      <c r="F990" s="11"/>
      <c r="G990" s="12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5" customHeight="1">
      <c r="A991" s="11"/>
      <c r="B991" s="7"/>
      <c r="C991" s="7"/>
      <c r="D991" s="11"/>
      <c r="E991" s="11"/>
      <c r="F991" s="11"/>
      <c r="G991" s="12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5" customHeight="1">
      <c r="A992" s="11"/>
      <c r="B992" s="7"/>
      <c r="C992" s="7"/>
      <c r="D992" s="11"/>
      <c r="E992" s="11"/>
      <c r="F992" s="11"/>
      <c r="G992" s="12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5" customHeight="1">
      <c r="A993" s="11"/>
      <c r="B993" s="7"/>
      <c r="C993" s="7"/>
      <c r="D993" s="11"/>
      <c r="E993" s="11"/>
      <c r="F993" s="11"/>
      <c r="G993" s="12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5" customHeight="1">
      <c r="A994" s="11"/>
      <c r="B994" s="7"/>
      <c r="C994" s="7"/>
      <c r="D994" s="11"/>
      <c r="E994" s="11"/>
      <c r="F994" s="11"/>
      <c r="G994" s="12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5" customHeight="1">
      <c r="A995" s="11"/>
      <c r="B995" s="7"/>
      <c r="C995" s="7"/>
      <c r="D995" s="11"/>
      <c r="E995" s="11"/>
      <c r="F995" s="11"/>
      <c r="G995" s="12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5" customHeight="1">
      <c r="A996" s="11"/>
      <c r="B996" s="7"/>
      <c r="C996" s="7"/>
      <c r="D996" s="11"/>
      <c r="E996" s="11"/>
      <c r="F996" s="11"/>
      <c r="G996" s="12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5" customHeight="1">
      <c r="A997" s="11"/>
      <c r="B997" s="7"/>
      <c r="C997" s="7"/>
      <c r="D997" s="11"/>
      <c r="E997" s="11"/>
      <c r="F997" s="11"/>
      <c r="G997" s="12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5" customHeight="1">
      <c r="A998" s="11"/>
      <c r="B998" s="7"/>
      <c r="C998" s="7"/>
      <c r="D998" s="11"/>
      <c r="E998" s="11"/>
      <c r="F998" s="11"/>
      <c r="G998" s="12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5" customHeight="1">
      <c r="A999" s="11"/>
      <c r="B999" s="7"/>
      <c r="C999" s="7"/>
      <c r="D999" s="11"/>
      <c r="E999" s="11"/>
      <c r="F999" s="11"/>
      <c r="G999" s="12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5" customHeight="1">
      <c r="A1000" s="11"/>
      <c r="B1000" s="7"/>
      <c r="C1000" s="7"/>
      <c r="D1000" s="11"/>
      <c r="E1000" s="11"/>
      <c r="F1000" s="11"/>
      <c r="G1000" s="12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461A-67D2-44EE-B112-31B1BDBC69A1}">
  <dimension ref="A1:E63"/>
  <sheetViews>
    <sheetView workbookViewId="0">
      <selection activeCell="B1" sqref="B1:B63"/>
    </sheetView>
  </sheetViews>
  <sheetFormatPr defaultRowHeight="14.4"/>
  <cols>
    <col min="1" max="1" width="14.109375" customWidth="1"/>
    <col min="2" max="2" width="16.21875" customWidth="1"/>
    <col min="3" max="3" width="12.77734375" customWidth="1"/>
    <col min="4" max="4" width="13.33203125" customWidth="1"/>
    <col min="5" max="5" width="12.5546875" customWidth="1"/>
  </cols>
  <sheetData>
    <row r="1" spans="1:5">
      <c r="A1" t="s">
        <v>1</v>
      </c>
      <c r="B1" t="s">
        <v>98</v>
      </c>
      <c r="C1" t="s">
        <v>99</v>
      </c>
      <c r="D1" t="s">
        <v>3</v>
      </c>
      <c r="E1" t="s">
        <v>218</v>
      </c>
    </row>
    <row r="2" spans="1:5">
      <c r="A2" t="s">
        <v>13</v>
      </c>
      <c r="B2">
        <v>753820</v>
      </c>
      <c r="C2">
        <v>1</v>
      </c>
      <c r="D2">
        <v>35</v>
      </c>
      <c r="E2" t="str">
        <f>_xlfn.CONCAT(C2,"_",A2)</f>
        <v>1_C05</v>
      </c>
    </row>
    <row r="3" spans="1:5">
      <c r="A3" t="s">
        <v>17</v>
      </c>
      <c r="B3">
        <v>753821</v>
      </c>
      <c r="C3">
        <v>1</v>
      </c>
      <c r="D3">
        <v>36</v>
      </c>
      <c r="E3" t="str">
        <f t="shared" ref="E3:E63" si="0">_xlfn.CONCAT(C3,"_",A3)</f>
        <v>1_D05</v>
      </c>
    </row>
    <row r="4" spans="1:5">
      <c r="A4" t="s">
        <v>19</v>
      </c>
      <c r="B4">
        <v>753822</v>
      </c>
      <c r="C4">
        <v>1</v>
      </c>
      <c r="D4">
        <v>37</v>
      </c>
      <c r="E4" t="str">
        <f t="shared" si="0"/>
        <v>1_E05</v>
      </c>
    </row>
    <row r="5" spans="1:5">
      <c r="A5" t="s">
        <v>21</v>
      </c>
      <c r="B5">
        <v>753823</v>
      </c>
      <c r="C5">
        <v>1</v>
      </c>
      <c r="D5">
        <v>38</v>
      </c>
      <c r="E5" t="str">
        <f t="shared" si="0"/>
        <v>1_F05</v>
      </c>
    </row>
    <row r="6" spans="1:5">
      <c r="A6" t="s">
        <v>23</v>
      </c>
      <c r="B6">
        <v>753824</v>
      </c>
      <c r="C6">
        <v>1</v>
      </c>
      <c r="D6">
        <v>44</v>
      </c>
      <c r="E6" t="str">
        <f t="shared" si="0"/>
        <v>1_D06</v>
      </c>
    </row>
    <row r="7" spans="1:5">
      <c r="A7" t="s">
        <v>25</v>
      </c>
      <c r="B7">
        <v>753836</v>
      </c>
      <c r="C7">
        <v>1</v>
      </c>
      <c r="D7">
        <v>45</v>
      </c>
      <c r="E7" t="str">
        <f t="shared" si="0"/>
        <v>1_E06</v>
      </c>
    </row>
    <row r="8" spans="1:5">
      <c r="A8" t="s">
        <v>27</v>
      </c>
      <c r="B8">
        <v>753837</v>
      </c>
      <c r="C8">
        <v>1</v>
      </c>
      <c r="D8">
        <v>46</v>
      </c>
      <c r="E8" t="str">
        <f t="shared" si="0"/>
        <v>1_F06</v>
      </c>
    </row>
    <row r="9" spans="1:5">
      <c r="A9" t="s">
        <v>29</v>
      </c>
      <c r="B9">
        <v>753838</v>
      </c>
      <c r="C9">
        <v>1</v>
      </c>
      <c r="D9">
        <v>54</v>
      </c>
      <c r="E9" t="str">
        <f t="shared" si="0"/>
        <v>1_F07</v>
      </c>
    </row>
    <row r="10" spans="1:5">
      <c r="A10" t="s">
        <v>31</v>
      </c>
      <c r="B10">
        <v>753839</v>
      </c>
      <c r="C10">
        <v>1</v>
      </c>
      <c r="D10">
        <v>55</v>
      </c>
      <c r="E10" t="str">
        <f t="shared" si="0"/>
        <v>1_G07</v>
      </c>
    </row>
    <row r="11" spans="1:5">
      <c r="A11" t="s">
        <v>33</v>
      </c>
      <c r="B11">
        <v>753840</v>
      </c>
      <c r="C11">
        <v>1</v>
      </c>
      <c r="D11">
        <v>56</v>
      </c>
      <c r="E11" t="str">
        <f t="shared" si="0"/>
        <v>1_H07</v>
      </c>
    </row>
    <row r="12" spans="1:5">
      <c r="A12" t="s">
        <v>35</v>
      </c>
      <c r="B12">
        <v>753510</v>
      </c>
      <c r="C12">
        <v>1</v>
      </c>
      <c r="D12">
        <v>57</v>
      </c>
      <c r="E12" t="str">
        <f t="shared" si="0"/>
        <v>1_A08</v>
      </c>
    </row>
    <row r="13" spans="1:5">
      <c r="A13" t="s">
        <v>37</v>
      </c>
      <c r="B13">
        <v>753511</v>
      </c>
      <c r="C13">
        <v>1</v>
      </c>
      <c r="D13">
        <v>58</v>
      </c>
      <c r="E13" t="str">
        <f t="shared" si="0"/>
        <v>1_B08</v>
      </c>
    </row>
    <row r="14" spans="1:5">
      <c r="A14" t="s">
        <v>39</v>
      </c>
      <c r="B14">
        <v>753512</v>
      </c>
      <c r="C14">
        <v>1</v>
      </c>
      <c r="D14">
        <v>65</v>
      </c>
      <c r="E14" t="str">
        <f t="shared" si="0"/>
        <v>1_A09</v>
      </c>
    </row>
    <row r="15" spans="1:5">
      <c r="A15" t="s">
        <v>41</v>
      </c>
      <c r="B15">
        <v>753513</v>
      </c>
      <c r="C15">
        <v>1</v>
      </c>
      <c r="D15">
        <v>66</v>
      </c>
      <c r="E15" t="str">
        <f t="shared" si="0"/>
        <v>1_B09</v>
      </c>
    </row>
    <row r="16" spans="1:5">
      <c r="A16" t="s">
        <v>43</v>
      </c>
      <c r="B16">
        <v>753514</v>
      </c>
      <c r="C16">
        <v>2</v>
      </c>
      <c r="D16">
        <v>51</v>
      </c>
      <c r="E16" t="str">
        <f t="shared" si="0"/>
        <v>2_C07</v>
      </c>
    </row>
    <row r="17" spans="1:5">
      <c r="A17" t="s">
        <v>45</v>
      </c>
      <c r="B17">
        <v>753515</v>
      </c>
      <c r="C17">
        <v>2</v>
      </c>
      <c r="D17">
        <v>52</v>
      </c>
      <c r="E17" t="str">
        <f t="shared" si="0"/>
        <v>2_D07</v>
      </c>
    </row>
    <row r="18" spans="1:5">
      <c r="A18" t="s">
        <v>47</v>
      </c>
      <c r="B18">
        <v>753516</v>
      </c>
      <c r="C18">
        <v>2</v>
      </c>
      <c r="D18">
        <v>96</v>
      </c>
      <c r="E18" t="str">
        <f t="shared" si="0"/>
        <v>2_H12</v>
      </c>
    </row>
    <row r="19" spans="1:5">
      <c r="A19" t="s">
        <v>49</v>
      </c>
      <c r="B19">
        <v>753517</v>
      </c>
      <c r="C19">
        <v>4</v>
      </c>
      <c r="D19">
        <v>83</v>
      </c>
      <c r="E19" t="str">
        <f t="shared" si="0"/>
        <v>4_C11</v>
      </c>
    </row>
    <row r="20" spans="1:5">
      <c r="A20" t="s">
        <v>51</v>
      </c>
      <c r="B20">
        <v>753518</v>
      </c>
      <c r="C20">
        <v>4</v>
      </c>
      <c r="D20">
        <v>84</v>
      </c>
      <c r="E20" t="str">
        <f t="shared" si="0"/>
        <v>4_D11</v>
      </c>
    </row>
    <row r="21" spans="1:5">
      <c r="A21" t="s">
        <v>53</v>
      </c>
      <c r="B21">
        <v>753519</v>
      </c>
      <c r="C21">
        <v>4</v>
      </c>
      <c r="D21">
        <v>86</v>
      </c>
      <c r="E21" t="str">
        <f t="shared" si="0"/>
        <v>4_F11</v>
      </c>
    </row>
    <row r="22" spans="1:5">
      <c r="A22" t="s">
        <v>55</v>
      </c>
      <c r="B22">
        <v>753520</v>
      </c>
      <c r="C22">
        <v>4</v>
      </c>
      <c r="D22">
        <v>87</v>
      </c>
      <c r="E22" t="str">
        <f t="shared" si="0"/>
        <v>4_G11</v>
      </c>
    </row>
    <row r="23" spans="1:5">
      <c r="A23" t="s">
        <v>57</v>
      </c>
      <c r="B23">
        <v>753529</v>
      </c>
      <c r="C23">
        <v>4</v>
      </c>
      <c r="D23">
        <v>88</v>
      </c>
      <c r="E23" t="str">
        <f t="shared" si="0"/>
        <v>4_H11</v>
      </c>
    </row>
    <row r="24" spans="1:5">
      <c r="A24" t="s">
        <v>59</v>
      </c>
      <c r="B24">
        <v>753530</v>
      </c>
      <c r="C24">
        <v>4</v>
      </c>
      <c r="D24">
        <v>89</v>
      </c>
      <c r="E24" t="str">
        <f t="shared" si="0"/>
        <v>4_A12</v>
      </c>
    </row>
    <row r="25" spans="1:5">
      <c r="A25" t="s">
        <v>61</v>
      </c>
      <c r="B25">
        <v>753531</v>
      </c>
      <c r="C25">
        <v>4</v>
      </c>
      <c r="D25">
        <v>90</v>
      </c>
      <c r="E25" t="str">
        <f t="shared" si="0"/>
        <v>4_B12</v>
      </c>
    </row>
    <row r="26" spans="1:5">
      <c r="A26" t="s">
        <v>63</v>
      </c>
      <c r="B26">
        <v>753532</v>
      </c>
      <c r="C26">
        <v>4</v>
      </c>
      <c r="D26">
        <v>91</v>
      </c>
      <c r="E26" t="str">
        <f t="shared" si="0"/>
        <v>4_C12</v>
      </c>
    </row>
    <row r="27" spans="1:5">
      <c r="A27" t="s">
        <v>65</v>
      </c>
      <c r="B27">
        <v>753533</v>
      </c>
      <c r="C27">
        <v>4</v>
      </c>
      <c r="D27">
        <v>92</v>
      </c>
      <c r="E27" t="str">
        <f t="shared" si="0"/>
        <v>4_D12</v>
      </c>
    </row>
    <row r="28" spans="1:5">
      <c r="A28" t="s">
        <v>67</v>
      </c>
      <c r="B28">
        <v>754015</v>
      </c>
      <c r="C28">
        <v>4</v>
      </c>
      <c r="D28">
        <v>93</v>
      </c>
      <c r="E28" t="str">
        <f t="shared" si="0"/>
        <v>4_E12</v>
      </c>
    </row>
    <row r="29" spans="1:5">
      <c r="A29" t="s">
        <v>47</v>
      </c>
      <c r="B29">
        <v>754016</v>
      </c>
      <c r="C29">
        <v>4</v>
      </c>
      <c r="D29">
        <v>96</v>
      </c>
      <c r="E29" t="str">
        <f t="shared" si="0"/>
        <v>4_H12</v>
      </c>
    </row>
    <row r="30" spans="1:5">
      <c r="A30" t="s">
        <v>69</v>
      </c>
      <c r="B30">
        <v>754017</v>
      </c>
      <c r="C30">
        <v>5</v>
      </c>
      <c r="D30">
        <v>4</v>
      </c>
      <c r="E30" t="str">
        <f t="shared" si="0"/>
        <v>5_D01</v>
      </c>
    </row>
    <row r="31" spans="1:5">
      <c r="A31" t="s">
        <v>71</v>
      </c>
      <c r="B31">
        <v>754018</v>
      </c>
      <c r="C31">
        <v>5</v>
      </c>
      <c r="D31">
        <v>5</v>
      </c>
      <c r="E31" t="str">
        <f t="shared" si="0"/>
        <v>5_E01</v>
      </c>
    </row>
    <row r="32" spans="1:5">
      <c r="A32" t="s">
        <v>73</v>
      </c>
      <c r="B32">
        <v>754019</v>
      </c>
      <c r="C32">
        <v>5</v>
      </c>
      <c r="D32">
        <v>6</v>
      </c>
      <c r="E32" t="str">
        <f t="shared" si="0"/>
        <v>5_F01</v>
      </c>
    </row>
    <row r="33" spans="1:5">
      <c r="A33" t="s">
        <v>75</v>
      </c>
      <c r="B33">
        <v>754071</v>
      </c>
      <c r="C33">
        <v>5</v>
      </c>
      <c r="D33">
        <v>7</v>
      </c>
      <c r="E33" t="str">
        <f t="shared" si="0"/>
        <v>5_G01</v>
      </c>
    </row>
    <row r="34" spans="1:5">
      <c r="A34" t="s">
        <v>77</v>
      </c>
      <c r="B34">
        <v>754072</v>
      </c>
      <c r="C34">
        <v>5</v>
      </c>
      <c r="D34">
        <v>8</v>
      </c>
      <c r="E34" t="str">
        <f t="shared" si="0"/>
        <v>5_H01</v>
      </c>
    </row>
    <row r="35" spans="1:5">
      <c r="A35" t="s">
        <v>79</v>
      </c>
      <c r="B35">
        <v>754073</v>
      </c>
      <c r="C35">
        <v>5</v>
      </c>
      <c r="D35">
        <v>9</v>
      </c>
      <c r="E35" t="str">
        <f t="shared" si="0"/>
        <v>5_A02</v>
      </c>
    </row>
    <row r="36" spans="1:5">
      <c r="A36" t="s">
        <v>81</v>
      </c>
      <c r="B36">
        <v>754074</v>
      </c>
      <c r="C36">
        <v>5</v>
      </c>
      <c r="D36">
        <v>10</v>
      </c>
      <c r="E36" t="str">
        <f t="shared" si="0"/>
        <v>5_B02</v>
      </c>
    </row>
    <row r="37" spans="1:5">
      <c r="A37" t="s">
        <v>82</v>
      </c>
      <c r="B37">
        <v>754075</v>
      </c>
      <c r="C37">
        <v>5</v>
      </c>
      <c r="D37">
        <v>11</v>
      </c>
      <c r="E37" t="str">
        <f t="shared" si="0"/>
        <v>5_C02</v>
      </c>
    </row>
    <row r="38" spans="1:5">
      <c r="A38" t="s">
        <v>83</v>
      </c>
      <c r="B38">
        <v>753998</v>
      </c>
      <c r="C38">
        <v>5</v>
      </c>
      <c r="D38">
        <v>12</v>
      </c>
      <c r="E38" t="str">
        <f t="shared" si="0"/>
        <v>5_D02</v>
      </c>
    </row>
    <row r="39" spans="1:5">
      <c r="A39" t="s">
        <v>84</v>
      </c>
      <c r="B39">
        <v>753987</v>
      </c>
      <c r="C39">
        <v>5</v>
      </c>
      <c r="D39">
        <v>13</v>
      </c>
      <c r="E39" t="str">
        <f t="shared" si="0"/>
        <v>5_E02</v>
      </c>
    </row>
    <row r="40" spans="1:5">
      <c r="A40" t="s">
        <v>85</v>
      </c>
      <c r="B40">
        <v>753988</v>
      </c>
      <c r="C40">
        <v>5</v>
      </c>
      <c r="D40">
        <v>14</v>
      </c>
      <c r="E40" t="str">
        <f t="shared" si="0"/>
        <v>5_F02</v>
      </c>
    </row>
    <row r="41" spans="1:5">
      <c r="A41" t="s">
        <v>86</v>
      </c>
      <c r="B41">
        <v>753991</v>
      </c>
      <c r="C41">
        <v>5</v>
      </c>
      <c r="D41">
        <v>20</v>
      </c>
      <c r="E41" t="str">
        <f t="shared" si="0"/>
        <v>5_D03</v>
      </c>
    </row>
    <row r="42" spans="1:5">
      <c r="A42" t="s">
        <v>87</v>
      </c>
      <c r="B42">
        <v>753993</v>
      </c>
      <c r="C42">
        <v>5</v>
      </c>
      <c r="D42">
        <v>21</v>
      </c>
      <c r="E42" t="str">
        <f t="shared" si="0"/>
        <v>5_E03</v>
      </c>
    </row>
    <row r="43" spans="1:5">
      <c r="A43" t="s">
        <v>88</v>
      </c>
      <c r="B43">
        <v>753992</v>
      </c>
      <c r="C43">
        <v>5</v>
      </c>
      <c r="D43">
        <v>22</v>
      </c>
      <c r="E43" t="str">
        <f t="shared" si="0"/>
        <v>5_F03</v>
      </c>
    </row>
    <row r="44" spans="1:5">
      <c r="A44" t="s">
        <v>89</v>
      </c>
      <c r="B44">
        <v>754000</v>
      </c>
      <c r="C44">
        <v>5</v>
      </c>
      <c r="D44">
        <v>23</v>
      </c>
      <c r="E44" t="str">
        <f t="shared" si="0"/>
        <v>5_G03</v>
      </c>
    </row>
    <row r="45" spans="1:5">
      <c r="A45" t="s">
        <v>90</v>
      </c>
      <c r="B45">
        <v>754001</v>
      </c>
      <c r="C45">
        <v>5</v>
      </c>
      <c r="D45">
        <v>24</v>
      </c>
      <c r="E45" t="str">
        <f t="shared" si="0"/>
        <v>5_H03</v>
      </c>
    </row>
    <row r="46" spans="1:5">
      <c r="A46" t="s">
        <v>91</v>
      </c>
      <c r="B46">
        <v>753999</v>
      </c>
      <c r="C46">
        <v>7</v>
      </c>
      <c r="D46">
        <v>79</v>
      </c>
      <c r="E46" t="str">
        <f t="shared" si="0"/>
        <v>7_G10</v>
      </c>
    </row>
    <row r="47" spans="1:5">
      <c r="A47" t="s">
        <v>92</v>
      </c>
      <c r="B47">
        <v>753884</v>
      </c>
      <c r="C47">
        <v>7</v>
      </c>
      <c r="D47">
        <v>80</v>
      </c>
      <c r="E47" t="str">
        <f t="shared" si="0"/>
        <v>7_H10</v>
      </c>
    </row>
    <row r="48" spans="1:5">
      <c r="A48" t="s">
        <v>93</v>
      </c>
      <c r="B48">
        <v>753691</v>
      </c>
      <c r="C48">
        <v>7</v>
      </c>
      <c r="D48">
        <v>81</v>
      </c>
      <c r="E48" t="str">
        <f t="shared" si="0"/>
        <v>7_A11</v>
      </c>
    </row>
    <row r="49" spans="1:5">
      <c r="A49" t="s">
        <v>94</v>
      </c>
      <c r="B49">
        <v>753676</v>
      </c>
      <c r="C49">
        <v>7</v>
      </c>
      <c r="D49">
        <v>82</v>
      </c>
      <c r="E49" t="str">
        <f t="shared" si="0"/>
        <v>7_B11</v>
      </c>
    </row>
    <row r="50" spans="1:5">
      <c r="A50" t="s">
        <v>49</v>
      </c>
      <c r="B50">
        <v>753587</v>
      </c>
      <c r="C50">
        <v>7</v>
      </c>
      <c r="D50">
        <v>83</v>
      </c>
      <c r="E50" t="str">
        <f t="shared" si="0"/>
        <v>7_C11</v>
      </c>
    </row>
    <row r="51" spans="1:5">
      <c r="A51" t="s">
        <v>51</v>
      </c>
      <c r="B51">
        <v>753617</v>
      </c>
      <c r="C51">
        <v>7</v>
      </c>
      <c r="D51">
        <v>84</v>
      </c>
      <c r="E51" t="str">
        <f t="shared" si="0"/>
        <v>7_D11</v>
      </c>
    </row>
    <row r="52" spans="1:5">
      <c r="A52" t="s">
        <v>95</v>
      </c>
      <c r="B52">
        <v>753618</v>
      </c>
      <c r="C52">
        <v>7</v>
      </c>
      <c r="D52">
        <v>85</v>
      </c>
      <c r="E52" t="str">
        <f t="shared" si="0"/>
        <v>7_E11</v>
      </c>
    </row>
    <row r="53" spans="1:5">
      <c r="A53" t="s">
        <v>53</v>
      </c>
      <c r="B53">
        <v>753619</v>
      </c>
      <c r="C53">
        <v>7</v>
      </c>
      <c r="D53">
        <v>86</v>
      </c>
      <c r="E53" t="str">
        <f t="shared" si="0"/>
        <v>7_F11</v>
      </c>
    </row>
    <row r="54" spans="1:5">
      <c r="A54" t="s">
        <v>55</v>
      </c>
      <c r="B54">
        <v>753620</v>
      </c>
      <c r="C54">
        <v>7</v>
      </c>
      <c r="D54">
        <v>87</v>
      </c>
      <c r="E54" t="str">
        <f t="shared" si="0"/>
        <v>7_G11</v>
      </c>
    </row>
    <row r="55" spans="1:5">
      <c r="A55" t="s">
        <v>57</v>
      </c>
      <c r="B55">
        <v>753621</v>
      </c>
      <c r="C55">
        <v>7</v>
      </c>
      <c r="D55">
        <v>88</v>
      </c>
      <c r="E55" t="str">
        <f t="shared" si="0"/>
        <v>7_H11</v>
      </c>
    </row>
    <row r="56" spans="1:5">
      <c r="A56" t="s">
        <v>59</v>
      </c>
      <c r="B56">
        <v>753627</v>
      </c>
      <c r="C56">
        <v>7</v>
      </c>
      <c r="D56">
        <v>89</v>
      </c>
      <c r="E56" t="str">
        <f t="shared" si="0"/>
        <v>7_A12</v>
      </c>
    </row>
    <row r="57" spans="1:5">
      <c r="A57" t="s">
        <v>61</v>
      </c>
      <c r="B57">
        <v>753565</v>
      </c>
      <c r="C57">
        <v>7</v>
      </c>
      <c r="D57">
        <v>90</v>
      </c>
      <c r="E57" t="str">
        <f t="shared" si="0"/>
        <v>7_B12</v>
      </c>
    </row>
    <row r="58" spans="1:5">
      <c r="A58" t="s">
        <v>63</v>
      </c>
      <c r="B58">
        <v>753567</v>
      </c>
      <c r="C58">
        <v>7</v>
      </c>
      <c r="D58">
        <v>91</v>
      </c>
      <c r="E58" t="str">
        <f t="shared" si="0"/>
        <v>7_C12</v>
      </c>
    </row>
    <row r="59" spans="1:5">
      <c r="A59" t="s">
        <v>65</v>
      </c>
      <c r="B59">
        <v>753568</v>
      </c>
      <c r="C59">
        <v>7</v>
      </c>
      <c r="D59">
        <v>92</v>
      </c>
      <c r="E59" t="str">
        <f t="shared" si="0"/>
        <v>7_D12</v>
      </c>
    </row>
    <row r="60" spans="1:5">
      <c r="A60" t="s">
        <v>67</v>
      </c>
      <c r="B60">
        <v>753574</v>
      </c>
      <c r="C60">
        <v>7</v>
      </c>
      <c r="D60">
        <v>93</v>
      </c>
      <c r="E60" t="str">
        <f t="shared" si="0"/>
        <v>7_E12</v>
      </c>
    </row>
    <row r="61" spans="1:5">
      <c r="A61" t="s">
        <v>96</v>
      </c>
      <c r="B61">
        <v>753575</v>
      </c>
      <c r="C61">
        <v>7</v>
      </c>
      <c r="D61">
        <v>94</v>
      </c>
      <c r="E61" t="str">
        <f t="shared" si="0"/>
        <v>7_F12</v>
      </c>
    </row>
    <row r="62" spans="1:5">
      <c r="A62" t="s">
        <v>97</v>
      </c>
      <c r="B62">
        <v>753576</v>
      </c>
      <c r="C62">
        <v>7</v>
      </c>
      <c r="D62">
        <v>95</v>
      </c>
      <c r="E62" t="str">
        <f t="shared" si="0"/>
        <v>7_G12</v>
      </c>
    </row>
    <row r="63" spans="1:5">
      <c r="A63" t="s">
        <v>47</v>
      </c>
      <c r="B63">
        <v>753588</v>
      </c>
      <c r="C63">
        <v>7</v>
      </c>
      <c r="D63">
        <v>96</v>
      </c>
      <c r="E63" t="str">
        <f t="shared" si="0"/>
        <v>7_H12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formated</vt:lpstr>
      <vt:lpstr>cross_pedigree</vt:lpstr>
      <vt:lpstr>CU_ARS_2025_WOF_F2</vt:lpstr>
      <vt:lpstr>update sample</vt:lpstr>
      <vt:lpstr>orig sampl with duplicate</vt:lpstr>
      <vt:lpstr>updated genotyping plate sampl 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2026-01-27T13:53:11Z</dcterms:created>
  <dcterms:modified xsi:type="dcterms:W3CDTF">2026-01-27T15:25:57Z</dcterms:modified>
</cp:coreProperties>
</file>