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th7\Documents\Intercrop JLJ\2026_winter\2026_winter\data\"/>
    </mc:Choice>
  </mc:AlternateContent>
  <xr:revisionPtr revIDLastSave="0" documentId="13_ncr:1_{0C190809-DF0B-465B-8BC7-561620CCE7F5}" xr6:coauthVersionLast="47" xr6:coauthVersionMax="47" xr10:uidLastSave="{00000000-0000-0000-0000-000000000000}"/>
  <bookViews>
    <workbookView xWindow="-108" yWindow="-108" windowWidth="23256" windowHeight="12456" xr2:uid="{B270D39F-4B60-4F3E-B730-6EA7960E6E49}"/>
  </bookViews>
  <sheets>
    <sheet name="seed_set" sheetId="11" r:id="rId1"/>
    <sheet name="crosses_upload" sheetId="8" r:id="rId2"/>
    <sheet name="Sheet1" sheetId="10" r:id="rId3"/>
    <sheet name="cross_target" sheetId="9" r:id="rId4"/>
    <sheet name="plant_count" sheetId="4" r:id="rId5"/>
    <sheet name="template" sheetId="5" r:id="rId6"/>
    <sheet name="crosses" sheetId="6" r:id="rId7"/>
    <sheet name="parents" sheetId="7" r:id="rId8"/>
    <sheet name="seedlots" sheetId="1" r:id="rId9"/>
    <sheet name="T3_trial_upload" sheetId="3" r:id="rId10"/>
    <sheet name="accession" sheetId="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6" l="1"/>
  <c r="B3" i="6"/>
  <c r="B4" i="6"/>
  <c r="B5" i="6"/>
  <c r="B6" i="6"/>
  <c r="B7" i="6"/>
  <c r="B8" i="6"/>
  <c r="B9" i="6"/>
  <c r="B10" i="6"/>
  <c r="B11" i="6"/>
  <c r="B12" i="6"/>
  <c r="B13" i="6"/>
  <c r="B2" i="6"/>
  <c r="H3" i="3"/>
  <c r="H4" i="3"/>
  <c r="H5" i="3"/>
  <c r="H6" i="3"/>
  <c r="H7" i="3"/>
  <c r="H8" i="3"/>
  <c r="H9" i="3"/>
  <c r="H2" i="3"/>
</calcChain>
</file>

<file path=xl/sharedStrings.xml><?xml version="1.0" encoding="utf-8"?>
<sst xmlns="http://schemas.openxmlformats.org/spreadsheetml/2006/main" count="628" uniqueCount="157">
  <si>
    <t>NC20-4551-UWON_2024-Entry_011</t>
  </si>
  <si>
    <t>NC20-4551</t>
  </si>
  <si>
    <t>plot</t>
  </si>
  <si>
    <t>plants</t>
  </si>
  <si>
    <t>Winter_Storm_King</t>
  </si>
  <si>
    <t>Winter Hayden</t>
  </si>
  <si>
    <t>PA7617-3460</t>
  </si>
  <si>
    <t>PA7617-3460-Cornell_WinterOatFounders_2024_GH_90_plant_1</t>
  </si>
  <si>
    <t>Gerard227-NCSU_AT_2024-Entry_5</t>
  </si>
  <si>
    <t>Gerard 227</t>
  </si>
  <si>
    <t>NC20-4526-UWON_2024-Entry_010</t>
  </si>
  <si>
    <t>NC20-4526 </t>
  </si>
  <si>
    <t>NC21-6610-NCSU_AT_2024-Entry_30</t>
  </si>
  <si>
    <t>NC21-6610</t>
  </si>
  <si>
    <t>NF13-4126-4_3-Cornell_WinterOatPeaIntercrop_2024_Ithaca-PLOT_338</t>
  </si>
  <si>
    <t>NF13-4126-4_3</t>
  </si>
  <si>
    <t>Winter_Hayden-Martens_2025</t>
  </si>
  <si>
    <t>accession_name</t>
  </si>
  <si>
    <t>species_name</t>
  </si>
  <si>
    <t>description</t>
  </si>
  <si>
    <t>Avena sativa</t>
  </si>
  <si>
    <t>Selection of storm king for winter survival in Penn Yan, NY.  Seed from the one plant that survived the winter of 2025.</t>
  </si>
  <si>
    <t>Winter_Storm_King-Martens_2025</t>
  </si>
  <si>
    <t>trial_name</t>
  </si>
  <si>
    <t>breeding_program</t>
  </si>
  <si>
    <t>location</t>
  </si>
  <si>
    <t>year</t>
  </si>
  <si>
    <t>design_type</t>
  </si>
  <si>
    <t>trial_type</t>
  </si>
  <si>
    <t>plot_name</t>
  </si>
  <si>
    <t>plot_number</t>
  </si>
  <si>
    <t>block_number</t>
  </si>
  <si>
    <t>seedlot_name</t>
  </si>
  <si>
    <t>CRD</t>
  </si>
  <si>
    <t>Intercropping Cooperative</t>
  </si>
  <si>
    <t>Crossing nursury planted in fall 2025, additional parent  plants from CU_ARS_2025_WOF_F2 were used for crossing</t>
  </si>
  <si>
    <t>Ithaca, NY</t>
  </si>
  <si>
    <t>crossing_block_trial</t>
  </si>
  <si>
    <t>CU_ARS_2026_WOF_crossing</t>
  </si>
  <si>
    <t>CU_ARS_2026_WOF_crossing_20</t>
  </si>
  <si>
    <t>CU_ARS_2026_WOF_crossing_21</t>
  </si>
  <si>
    <t>CU_ARS_2026_WOF_crossing_22</t>
  </si>
  <si>
    <t>CU_ARS_2026_WOF_crossing_23</t>
  </si>
  <si>
    <t>CU_ARS_2026_WOF_crossing_24</t>
  </si>
  <si>
    <t>CU_ARS_2026_WOF_crossing_25</t>
  </si>
  <si>
    <t>CU_ARS_2026_WOF_crossing_26</t>
  </si>
  <si>
    <t>CU_ARS_2026_WOF_crossing_27</t>
  </si>
  <si>
    <t>num_plants_per_plot</t>
  </si>
  <si>
    <t>cross_unique_id</t>
  </si>
  <si>
    <t>cross_combination</t>
  </si>
  <si>
    <t>cross_type</t>
  </si>
  <si>
    <t>female_parent</t>
  </si>
  <si>
    <t>male_parent</t>
  </si>
  <si>
    <t>Required columns:</t>
  </si>
  <si>
    <r>
      <t>cross_unique_id</t>
    </r>
    <r>
      <rPr>
        <sz val="11"/>
        <color rgb="FF333333"/>
        <rFont val="Arial"/>
        <family val="2"/>
      </rPr>
      <t> (must NOT exist in the database)</t>
    </r>
  </si>
  <si>
    <r>
      <t>cross_combination</t>
    </r>
    <r>
      <rPr>
        <sz val="11"/>
        <color rgb="FF333333"/>
        <rFont val="Arial"/>
        <family val="2"/>
      </rPr>
      <t> (required in the header, but value for cross combination (e.g. female accession/male accession) may be left blank)</t>
    </r>
  </si>
  <si>
    <r>
      <t>female_parent:</t>
    </r>
    <r>
      <rPr>
        <sz val="11"/>
        <color rgb="FF333333"/>
        <rFont val="Arial"/>
        <family val="2"/>
      </rPr>
      <t> Female parent names must exist as </t>
    </r>
    <r>
      <rPr>
        <b/>
        <sz val="11"/>
        <color rgb="FF333333"/>
        <rFont val="Arial"/>
        <family val="2"/>
      </rPr>
      <t>uniquenames</t>
    </r>
    <r>
      <rPr>
        <sz val="11"/>
        <color rgb="FF333333"/>
        <rFont val="Arial"/>
        <family val="2"/>
      </rPr>
      <t> in the database, can be accession, plot, plant or population stock type.</t>
    </r>
  </si>
  <si>
    <r>
      <t>male_parent:</t>
    </r>
    <r>
      <rPr>
        <sz val="11"/>
        <color rgb="FF333333"/>
        <rFont val="Arial"/>
        <family val="2"/>
      </rPr>
      <t> Required in the header, but value may be left blank for most cross types. Must be specified for biparental, sib, backcross, polycross and bulk cross types. When specified, male parent names must exist as </t>
    </r>
    <r>
      <rPr>
        <b/>
        <sz val="11"/>
        <color rgb="FF333333"/>
        <rFont val="Arial"/>
        <family val="2"/>
      </rPr>
      <t>uniquenames</t>
    </r>
    <r>
      <rPr>
        <sz val="11"/>
        <color rgb="FF333333"/>
        <rFont val="Arial"/>
        <family val="2"/>
      </rPr>
      <t> in the database, can be accession, plot, plant or population stock type.</t>
    </r>
  </si>
  <si>
    <r>
      <t>Optional columns (additional parent info):</t>
    </r>
    <r>
      <rPr>
        <sz val="11"/>
        <color rgb="FF333333"/>
        <rFont val="Arial"/>
        <family val="2"/>
      </rPr>
      <t> You can add additional parent info after male_plant column by using one or more of these column headers.</t>
    </r>
  </si>
  <si>
    <t>female_focus_trait</t>
  </si>
  <si>
    <t>male_focus_trait</t>
  </si>
  <si>
    <t>female_source_trial</t>
  </si>
  <si>
    <t>male_source_trial</t>
  </si>
  <si>
    <t>Additional cross information:</t>
  </si>
  <si>
    <t>After cross unique ids are stored in the database, you can add field crossing data (e.g. pollination date, total number of flowers pollinated, total number of fruits set) or progenies to each cross unique id.</t>
  </si>
  <si>
    <t>Field crossing data and progenies can be uploaded via links in crossing experiment detail page or can be added directly in each cross detail page.</t>
  </si>
  <si>
    <t>self</t>
  </si>
  <si>
    <t>biparental</t>
  </si>
  <si>
    <t>CU_ARS_2026_WOF_cross_1</t>
  </si>
  <si>
    <t>CU_ARS_2026_WOF_cross_2</t>
  </si>
  <si>
    <t>CU_ARS_2026_WOF_cross_3</t>
  </si>
  <si>
    <t>CU_ARS_2026_WOF_cross_4</t>
  </si>
  <si>
    <t>CU_ARS_2026_WOF_cross_5</t>
  </si>
  <si>
    <t>CU_ARS_2026_WOF_cross_6</t>
  </si>
  <si>
    <t>CU_ARS_2026_WOF_cross_7</t>
  </si>
  <si>
    <t>CU_ARS_2026_WOF_cross_8</t>
  </si>
  <si>
    <t>CU_ARS_2026_WOF_cross_9</t>
  </si>
  <si>
    <t>CU_ARS_2026_WOF_cross_10</t>
  </si>
  <si>
    <t>CU_ARS_2026_WOF_cross_11</t>
  </si>
  <si>
    <t>CU_ARS_2026_WOF_cross_12</t>
  </si>
  <si>
    <t>CU_ARS_2026_WOF_cross_13</t>
  </si>
  <si>
    <t>CU_ARS_2026_WOF_cross_14</t>
  </si>
  <si>
    <t>CU_ARS_2026_WOF_cross_15</t>
  </si>
  <si>
    <t>CU_ARS_2026_WOF_cross_16</t>
  </si>
  <si>
    <t>CU_ARS_2026_WOF_cross_17</t>
  </si>
  <si>
    <t>CU_ARS_2026_WOF_cross_18</t>
  </si>
  <si>
    <t>CU_ARS_2026_WOF_cross_19</t>
  </si>
  <si>
    <t>plant_name</t>
  </si>
  <si>
    <t>plant_id</t>
  </si>
  <si>
    <t>is_a_control</t>
  </si>
  <si>
    <t>rep_number</t>
  </si>
  <si>
    <t>row_number</t>
  </si>
  <si>
    <t>col_number</t>
  </si>
  <si>
    <t>plant_number</t>
  </si>
  <si>
    <t>CU_ARS_2025_WOF_P_12_plant_1</t>
  </si>
  <si>
    <t>CU_ARS_2025_WOF_P_12</t>
  </si>
  <si>
    <t>CU_ARS_2025_WOF_P_12_plant_2</t>
  </si>
  <si>
    <t>CU_ARS_2025_WOF_P_12_plant_3</t>
  </si>
  <si>
    <t>CU_ARS_2025_WOF_P_14_plant_1</t>
  </si>
  <si>
    <t>CU_ARS_2025_WOF_P_14</t>
  </si>
  <si>
    <t>NC20-4526</t>
  </si>
  <si>
    <t>CU_ARS_2025_WOF_P_14_plant_2</t>
  </si>
  <si>
    <t>CU_ARS_2025_WOF_P_14_plant_3</t>
  </si>
  <si>
    <t>CU_ARS_2025_WOF_P_17_plant_1</t>
  </si>
  <si>
    <t>CU_ARS_2025_WOF_P_17</t>
  </si>
  <si>
    <t>CU_ARS_2025_WOF_P_17_plant_2</t>
  </si>
  <si>
    <t>CU_ARS_2025_WOF_P_17_plant_3</t>
  </si>
  <si>
    <t>CU_ARS_2026_WOF_crossing_20_plant_1</t>
  </si>
  <si>
    <t>CU_ARS_2026_WOF_crossing_20_plant_2</t>
  </si>
  <si>
    <t>CU_ARS_2026_WOF_crossing_20_plant_3</t>
  </si>
  <si>
    <t>CU_ARS_2026_WOF_crossing_20_plant_4</t>
  </si>
  <si>
    <t>CU_ARS_2026_WOF_crossing_20_plant_5</t>
  </si>
  <si>
    <t>CU_ARS_2026_WOF_crossing_20_plant_6</t>
  </si>
  <si>
    <t>CU_ARS_2026_WOF_crossing_20_plant_7</t>
  </si>
  <si>
    <t>CU_ARS_2026_WOF_crossing_21_plant_1</t>
  </si>
  <si>
    <t>CU_ARS_2026_WOF_crossing_21_plant_2</t>
  </si>
  <si>
    <t>CU_ARS_2026_WOF_crossing_22_plant_1</t>
  </si>
  <si>
    <t>CU_ARS_2026_WOF_crossing_22_plant_2</t>
  </si>
  <si>
    <t>CU_ARS_2026_WOF_crossing_22_plant_3</t>
  </si>
  <si>
    <t>CU_ARS_2026_WOF_crossing_22_plant_4</t>
  </si>
  <si>
    <t>CU_ARS_2026_WOF_crossing_23_plant_1</t>
  </si>
  <si>
    <t>CU_ARS_2026_WOF_crossing_23_plant_2</t>
  </si>
  <si>
    <t>CU_ARS_2026_WOF_crossing_23_plant_3</t>
  </si>
  <si>
    <t>CU_ARS_2026_WOF_crossing_24_plant_1</t>
  </si>
  <si>
    <t>CU_ARS_2026_WOF_crossing_24_plant_2</t>
  </si>
  <si>
    <t>CU_ARS_2026_WOF_crossing_24_plant_3</t>
  </si>
  <si>
    <t>CU_ARS_2026_WOF_crossing_24_plant_4</t>
  </si>
  <si>
    <t>CU_ARS_2026_WOF_crossing_25_plant_1</t>
  </si>
  <si>
    <t>CU_ARS_2026_WOF_crossing_25_plant_2</t>
  </si>
  <si>
    <t>CU_ARS_2026_WOF_crossing_25_plant_3</t>
  </si>
  <si>
    <t>CU_ARS_2026_WOF_crossing_25_plant_4</t>
  </si>
  <si>
    <t>CU_ARS_2026_WOF_crossing_26_plant_1</t>
  </si>
  <si>
    <t>CU_ARS_2026_WOF_crossing_26_plant_2</t>
  </si>
  <si>
    <t>CU_ARS_2026_WOF_crossing_26_plant_3</t>
  </si>
  <si>
    <t>CU_ARS_2026_WOF_crossing_27_plant_1</t>
  </si>
  <si>
    <t>CU_ARS_2026_WOF_crossing_27_plant_2</t>
  </si>
  <si>
    <t>CU_ARS_2026_WOF_crossing_27_plant_3</t>
  </si>
  <si>
    <t>Gerard 227/NC20-4526</t>
  </si>
  <si>
    <t>Gerard 227/NC20-4551</t>
  </si>
  <si>
    <t>NC20-4526/NF13-4126-4_3</t>
  </si>
  <si>
    <t>NF13-4126-4_3/NC20-4526</t>
  </si>
  <si>
    <t>NC20-4551/NF13-4126-4_3</t>
  </si>
  <si>
    <t>NC20-4551/NC20-4526</t>
  </si>
  <si>
    <t>female_accession</t>
  </si>
  <si>
    <t xml:space="preserve">	male_accession</t>
  </si>
  <si>
    <t>seed_target_number</t>
  </si>
  <si>
    <t>progeny_target_number</t>
  </si>
  <si>
    <t>CU_ARS_2026_WOF_cross_20</t>
  </si>
  <si>
    <t>CU_ARS_2026_WOF_cross_21</t>
  </si>
  <si>
    <t>CU_ARS_2026_WOF_cross_22</t>
  </si>
  <si>
    <t>CU_ARS_2026_WOF_cross_23</t>
  </si>
  <si>
    <t>CU_ARS_2026_WOF_cross_24</t>
  </si>
  <si>
    <t>NC20-4526/NC20-4551</t>
  </si>
  <si>
    <t>CU_ARS_2026_WOF_cross_25</t>
  </si>
  <si>
    <t>CU_ARS_2026_WOF_cross_26</t>
  </si>
  <si>
    <t>CU_ARS_2026_WOF_cross_27</t>
  </si>
  <si>
    <t>Number of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</si>
</sst>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rgb="FF333333"/>
      <name val="Verdana"/>
      <family val="2"/>
    </font>
    <font>
      <sz val="11"/>
      <color rgb="FF333333"/>
      <name val="Arial"/>
      <family val="2"/>
    </font>
    <font>
      <b/>
      <sz val="11"/>
      <color rgb="FF333333"/>
      <name val="Arial"/>
      <family val="2"/>
    </font>
    <font>
      <sz val="8"/>
      <name val="Aptos Narrow"/>
      <family val="2"/>
      <scheme val="minor"/>
    </font>
    <font>
      <sz val="8"/>
      <color rgb="FF333333"/>
      <name val="Arial"/>
      <family val="2"/>
    </font>
  </fonts>
  <fills count="4">
    <fill>
      <patternFill patternType="none"/>
    </fill>
    <fill>
      <patternFill patternType="gray125"/>
    </fill>
    <fill>
      <patternFill patternType="solid">
        <fgColor rgb="FFFFFFFF"/>
        <bgColor indexed="64"/>
      </patternFill>
    </fill>
    <fill>
      <patternFill patternType="solid">
        <fgColor rgb="FFF5F5F5"/>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10">
    <xf numFmtId="0" fontId="0" fillId="0" borderId="0" xfId="0"/>
    <xf numFmtId="0" fontId="1" fillId="3" borderId="1" xfId="0" applyFont="1" applyFill="1" applyBorder="1" applyAlignment="1">
      <alignment vertical="top" wrapText="1"/>
    </xf>
    <xf numFmtId="0" fontId="1" fillId="2" borderId="1" xfId="0" applyFont="1" applyFill="1" applyBorder="1" applyAlignment="1">
      <alignment vertical="top" wrapText="1"/>
    </xf>
    <xf numFmtId="0" fontId="2" fillId="0" borderId="0" xfId="0" applyFont="1"/>
    <xf numFmtId="0" fontId="1" fillId="0" borderId="0" xfId="0" applyFont="1"/>
    <xf numFmtId="0" fontId="3" fillId="0" borderId="0" xfId="0" applyFont="1"/>
    <xf numFmtId="0" fontId="3" fillId="0" borderId="0" xfId="0" applyFont="1" applyAlignment="1">
      <alignment horizontal="left" vertical="center" wrapText="1" indent="1"/>
    </xf>
    <xf numFmtId="0" fontId="2" fillId="0" borderId="0" xfId="0" applyFont="1" applyAlignment="1">
      <alignment horizontal="left" vertical="center" wrapText="1" indent="1"/>
    </xf>
    <xf numFmtId="0" fontId="1" fillId="2" borderId="0" xfId="0" applyFont="1" applyFill="1" applyAlignment="1">
      <alignment vertical="top" wrapText="1"/>
    </xf>
    <xf numFmtId="0" fontId="5"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7982-B0E1-4A02-9DE3-70BD1B3A4495}">
  <dimension ref="A1:B28"/>
  <sheetViews>
    <sheetView tabSelected="1" workbookViewId="0">
      <selection activeCell="E2" sqref="E2"/>
    </sheetView>
  </sheetViews>
  <sheetFormatPr defaultRowHeight="14.4" x14ac:dyDescent="0.3"/>
  <cols>
    <col min="1" max="1" width="26.5546875" bestFit="1" customWidth="1"/>
    <col min="2" max="2" width="7.44140625" bestFit="1" customWidth="1"/>
  </cols>
  <sheetData>
    <row r="1" spans="1:2" ht="20.399999999999999" x14ac:dyDescent="0.3">
      <c r="A1" t="s">
        <v>48</v>
      </c>
      <c r="B1" s="9" t="s">
        <v>156</v>
      </c>
    </row>
    <row r="2" spans="1:2" x14ac:dyDescent="0.3">
      <c r="A2" t="s">
        <v>68</v>
      </c>
      <c r="B2">
        <v>1</v>
      </c>
    </row>
    <row r="3" spans="1:2" x14ac:dyDescent="0.3">
      <c r="A3" t="s">
        <v>69</v>
      </c>
      <c r="B3">
        <v>1</v>
      </c>
    </row>
    <row r="4" spans="1:2" x14ac:dyDescent="0.3">
      <c r="A4" t="s">
        <v>70</v>
      </c>
      <c r="B4">
        <v>0</v>
      </c>
    </row>
    <row r="5" spans="1:2" x14ac:dyDescent="0.3">
      <c r="A5" t="s">
        <v>71</v>
      </c>
      <c r="B5">
        <v>1</v>
      </c>
    </row>
    <row r="6" spans="1:2" x14ac:dyDescent="0.3">
      <c r="A6" t="s">
        <v>72</v>
      </c>
      <c r="B6">
        <v>0</v>
      </c>
    </row>
    <row r="7" spans="1:2" x14ac:dyDescent="0.3">
      <c r="A7" t="s">
        <v>73</v>
      </c>
      <c r="B7">
        <v>6</v>
      </c>
    </row>
    <row r="8" spans="1:2" x14ac:dyDescent="0.3">
      <c r="A8" t="s">
        <v>74</v>
      </c>
      <c r="B8">
        <v>4</v>
      </c>
    </row>
    <row r="9" spans="1:2" x14ac:dyDescent="0.3">
      <c r="A9" t="s">
        <v>75</v>
      </c>
      <c r="B9">
        <v>0</v>
      </c>
    </row>
    <row r="10" spans="1:2" x14ac:dyDescent="0.3">
      <c r="A10" t="s">
        <v>76</v>
      </c>
      <c r="B10">
        <v>3</v>
      </c>
    </row>
    <row r="11" spans="1:2" x14ac:dyDescent="0.3">
      <c r="A11" t="s">
        <v>77</v>
      </c>
      <c r="B11">
        <v>5</v>
      </c>
    </row>
    <row r="12" spans="1:2" x14ac:dyDescent="0.3">
      <c r="A12" t="s">
        <v>78</v>
      </c>
      <c r="B12">
        <v>3</v>
      </c>
    </row>
    <row r="13" spans="1:2" x14ac:dyDescent="0.3">
      <c r="A13" t="s">
        <v>79</v>
      </c>
      <c r="B13">
        <v>0</v>
      </c>
    </row>
    <row r="14" spans="1:2" x14ac:dyDescent="0.3">
      <c r="A14" t="s">
        <v>80</v>
      </c>
    </row>
    <row r="15" spans="1:2" x14ac:dyDescent="0.3">
      <c r="A15" t="s">
        <v>81</v>
      </c>
    </row>
    <row r="16" spans="1:2" x14ac:dyDescent="0.3">
      <c r="A16" t="s">
        <v>82</v>
      </c>
    </row>
    <row r="17" spans="1:2" x14ac:dyDescent="0.3">
      <c r="A17" t="s">
        <v>83</v>
      </c>
    </row>
    <row r="18" spans="1:2" x14ac:dyDescent="0.3">
      <c r="A18" t="s">
        <v>84</v>
      </c>
    </row>
    <row r="19" spans="1:2" x14ac:dyDescent="0.3">
      <c r="A19" t="s">
        <v>85</v>
      </c>
    </row>
    <row r="20" spans="1:2" x14ac:dyDescent="0.3">
      <c r="A20" t="s">
        <v>86</v>
      </c>
      <c r="B20">
        <v>0</v>
      </c>
    </row>
    <row r="21" spans="1:2" x14ac:dyDescent="0.3">
      <c r="A21" t="s">
        <v>147</v>
      </c>
    </row>
    <row r="22" spans="1:2" x14ac:dyDescent="0.3">
      <c r="A22" t="s">
        <v>148</v>
      </c>
    </row>
    <row r="23" spans="1:2" x14ac:dyDescent="0.3">
      <c r="A23" t="s">
        <v>149</v>
      </c>
    </row>
    <row r="24" spans="1:2" x14ac:dyDescent="0.3">
      <c r="A24" t="s">
        <v>150</v>
      </c>
    </row>
    <row r="25" spans="1:2" x14ac:dyDescent="0.3">
      <c r="A25" t="s">
        <v>151</v>
      </c>
    </row>
    <row r="26" spans="1:2" x14ac:dyDescent="0.3">
      <c r="A26" t="s">
        <v>153</v>
      </c>
    </row>
    <row r="27" spans="1:2" x14ac:dyDescent="0.3">
      <c r="A27" t="s">
        <v>154</v>
      </c>
    </row>
    <row r="28" spans="1:2" x14ac:dyDescent="0.3">
      <c r="A28"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0F6C-FB74-4428-974A-873F79F809BC}">
  <dimension ref="A1:E28"/>
  <sheetViews>
    <sheetView workbookViewId="0">
      <selection activeCell="B17" sqref="B17"/>
    </sheetView>
  </sheetViews>
  <sheetFormatPr defaultRowHeight="14.4" x14ac:dyDescent="0.3"/>
  <cols>
    <col min="1" max="1" width="26.5546875" bestFit="1" customWidth="1"/>
    <col min="2" max="2" width="26.88671875" customWidth="1"/>
    <col min="3" max="3" width="12.21875" customWidth="1"/>
    <col min="4" max="4" width="38.6640625" customWidth="1"/>
    <col min="5" max="5" width="37.77734375" customWidth="1"/>
  </cols>
  <sheetData>
    <row r="1" spans="1:5" x14ac:dyDescent="0.3">
      <c r="A1" t="s">
        <v>48</v>
      </c>
      <c r="B1" t="s">
        <v>49</v>
      </c>
      <c r="C1" t="s">
        <v>50</v>
      </c>
      <c r="D1" t="s">
        <v>51</v>
      </c>
      <c r="E1" t="s">
        <v>52</v>
      </c>
    </row>
    <row r="2" spans="1:5" x14ac:dyDescent="0.3">
      <c r="A2" t="s">
        <v>68</v>
      </c>
      <c r="B2" t="s">
        <v>137</v>
      </c>
      <c r="C2" t="s">
        <v>67</v>
      </c>
      <c r="D2" t="s">
        <v>96</v>
      </c>
      <c r="E2" t="s">
        <v>101</v>
      </c>
    </row>
    <row r="3" spans="1:5" x14ac:dyDescent="0.3">
      <c r="A3" t="s">
        <v>69</v>
      </c>
      <c r="B3" t="s">
        <v>137</v>
      </c>
      <c r="C3" t="s">
        <v>67</v>
      </c>
      <c r="D3" t="s">
        <v>97</v>
      </c>
      <c r="E3" t="s">
        <v>98</v>
      </c>
    </row>
    <row r="4" spans="1:5" x14ac:dyDescent="0.3">
      <c r="A4" t="s">
        <v>70</v>
      </c>
      <c r="B4" t="s">
        <v>137</v>
      </c>
      <c r="C4" t="s">
        <v>67</v>
      </c>
      <c r="D4" t="s">
        <v>94</v>
      </c>
      <c r="E4" t="s">
        <v>98</v>
      </c>
    </row>
    <row r="5" spans="1:5" x14ac:dyDescent="0.3">
      <c r="A5" t="s">
        <v>71</v>
      </c>
      <c r="B5" t="s">
        <v>138</v>
      </c>
      <c r="C5" t="s">
        <v>67</v>
      </c>
      <c r="D5" t="s">
        <v>96</v>
      </c>
      <c r="E5" t="s">
        <v>107</v>
      </c>
    </row>
    <row r="6" spans="1:5" x14ac:dyDescent="0.3">
      <c r="A6" t="s">
        <v>72</v>
      </c>
      <c r="B6" t="s">
        <v>138</v>
      </c>
      <c r="C6" t="s">
        <v>67</v>
      </c>
      <c r="D6" t="s">
        <v>96</v>
      </c>
      <c r="E6" t="s">
        <v>107</v>
      </c>
    </row>
    <row r="7" spans="1:5" x14ac:dyDescent="0.3">
      <c r="A7" t="s">
        <v>73</v>
      </c>
      <c r="B7" t="s">
        <v>139</v>
      </c>
      <c r="C7" t="s">
        <v>67</v>
      </c>
      <c r="D7" t="s">
        <v>101</v>
      </c>
      <c r="E7" t="s">
        <v>106</v>
      </c>
    </row>
    <row r="8" spans="1:5" x14ac:dyDescent="0.3">
      <c r="A8" t="s">
        <v>74</v>
      </c>
      <c r="B8" t="s">
        <v>139</v>
      </c>
      <c r="C8" t="s">
        <v>67</v>
      </c>
      <c r="D8" t="s">
        <v>102</v>
      </c>
      <c r="E8" t="s">
        <v>106</v>
      </c>
    </row>
    <row r="9" spans="1:5" x14ac:dyDescent="0.3">
      <c r="A9" t="s">
        <v>75</v>
      </c>
      <c r="B9" t="s">
        <v>140</v>
      </c>
      <c r="C9" t="s">
        <v>67</v>
      </c>
      <c r="D9" t="s">
        <v>106</v>
      </c>
      <c r="E9" t="s">
        <v>101</v>
      </c>
    </row>
    <row r="10" spans="1:5" x14ac:dyDescent="0.3">
      <c r="A10" t="s">
        <v>76</v>
      </c>
      <c r="B10" t="s">
        <v>140</v>
      </c>
      <c r="C10" t="s">
        <v>67</v>
      </c>
      <c r="D10" t="s">
        <v>105</v>
      </c>
      <c r="E10" t="s">
        <v>98</v>
      </c>
    </row>
    <row r="11" spans="1:5" x14ac:dyDescent="0.3">
      <c r="A11" t="s">
        <v>77</v>
      </c>
      <c r="B11" t="s">
        <v>141</v>
      </c>
      <c r="C11" t="s">
        <v>67</v>
      </c>
      <c r="D11" t="s">
        <v>107</v>
      </c>
      <c r="E11" t="s">
        <v>106</v>
      </c>
    </row>
    <row r="12" spans="1:5" x14ac:dyDescent="0.3">
      <c r="A12" t="s">
        <v>78</v>
      </c>
      <c r="B12" t="s">
        <v>141</v>
      </c>
      <c r="C12" t="s">
        <v>67</v>
      </c>
      <c r="D12" t="s">
        <v>108</v>
      </c>
      <c r="E12" t="s">
        <v>106</v>
      </c>
    </row>
    <row r="13" spans="1:5" x14ac:dyDescent="0.3">
      <c r="A13" t="s">
        <v>79</v>
      </c>
      <c r="B13" t="s">
        <v>142</v>
      </c>
      <c r="C13" t="s">
        <v>67</v>
      </c>
      <c r="D13" t="s">
        <v>109</v>
      </c>
      <c r="E13" t="s">
        <v>101</v>
      </c>
    </row>
    <row r="14" spans="1:5" x14ac:dyDescent="0.3">
      <c r="A14" t="s">
        <v>80</v>
      </c>
      <c r="B14" t="s">
        <v>9</v>
      </c>
      <c r="C14" t="s">
        <v>66</v>
      </c>
      <c r="D14" t="s">
        <v>96</v>
      </c>
    </row>
    <row r="15" spans="1:5" x14ac:dyDescent="0.3">
      <c r="A15" t="s">
        <v>81</v>
      </c>
      <c r="B15" t="s">
        <v>100</v>
      </c>
      <c r="C15" t="s">
        <v>66</v>
      </c>
      <c r="D15" t="s">
        <v>102</v>
      </c>
    </row>
    <row r="16" spans="1:5" x14ac:dyDescent="0.3">
      <c r="A16" t="s">
        <v>82</v>
      </c>
      <c r="B16" t="s">
        <v>100</v>
      </c>
      <c r="C16" t="s">
        <v>66</v>
      </c>
      <c r="D16" t="s">
        <v>101</v>
      </c>
    </row>
    <row r="17" spans="1:5" x14ac:dyDescent="0.3">
      <c r="A17" t="s">
        <v>83</v>
      </c>
      <c r="B17" t="s">
        <v>9</v>
      </c>
      <c r="C17" t="s">
        <v>66</v>
      </c>
      <c r="D17" t="s">
        <v>94</v>
      </c>
    </row>
    <row r="18" spans="1:5" x14ac:dyDescent="0.3">
      <c r="A18" t="s">
        <v>84</v>
      </c>
      <c r="B18" t="s">
        <v>100</v>
      </c>
      <c r="C18" t="s">
        <v>66</v>
      </c>
      <c r="D18" t="s">
        <v>98</v>
      </c>
    </row>
    <row r="19" spans="1:5" x14ac:dyDescent="0.3">
      <c r="A19" t="s">
        <v>85</v>
      </c>
      <c r="B19" t="s">
        <v>9</v>
      </c>
      <c r="C19" t="s">
        <v>66</v>
      </c>
      <c r="D19" t="s">
        <v>97</v>
      </c>
    </row>
    <row r="20" spans="1:5" x14ac:dyDescent="0.3">
      <c r="A20" t="s">
        <v>86</v>
      </c>
      <c r="B20" t="s">
        <v>140</v>
      </c>
      <c r="C20" t="s">
        <v>67</v>
      </c>
      <c r="D20" t="s">
        <v>105</v>
      </c>
      <c r="E20" t="s">
        <v>98</v>
      </c>
    </row>
    <row r="21" spans="1:5" x14ac:dyDescent="0.3">
      <c r="A21" t="s">
        <v>147</v>
      </c>
      <c r="B21" t="s">
        <v>1</v>
      </c>
      <c r="C21" t="s">
        <v>66</v>
      </c>
      <c r="D21" t="s">
        <v>109</v>
      </c>
    </row>
    <row r="22" spans="1:5" x14ac:dyDescent="0.3">
      <c r="A22" t="s">
        <v>148</v>
      </c>
      <c r="B22" t="s">
        <v>1</v>
      </c>
      <c r="C22" t="s">
        <v>66</v>
      </c>
      <c r="D22" t="s">
        <v>108</v>
      </c>
    </row>
    <row r="23" spans="1:5" x14ac:dyDescent="0.3">
      <c r="A23" t="s">
        <v>149</v>
      </c>
      <c r="B23" t="s">
        <v>152</v>
      </c>
      <c r="C23" t="s">
        <v>67</v>
      </c>
      <c r="D23" t="s">
        <v>101</v>
      </c>
      <c r="E23" t="s">
        <v>108</v>
      </c>
    </row>
    <row r="24" spans="1:5" x14ac:dyDescent="0.3">
      <c r="A24" t="s">
        <v>150</v>
      </c>
      <c r="B24" t="s">
        <v>1</v>
      </c>
      <c r="C24" t="s">
        <v>66</v>
      </c>
      <c r="D24" t="s">
        <v>108</v>
      </c>
    </row>
    <row r="25" spans="1:5" x14ac:dyDescent="0.3">
      <c r="A25" t="s">
        <v>151</v>
      </c>
      <c r="B25" t="s">
        <v>15</v>
      </c>
      <c r="C25" t="s">
        <v>66</v>
      </c>
      <c r="D25" t="s">
        <v>105</v>
      </c>
    </row>
    <row r="26" spans="1:5" x14ac:dyDescent="0.3">
      <c r="A26" t="s">
        <v>153</v>
      </c>
      <c r="B26" t="s">
        <v>1</v>
      </c>
      <c r="C26" t="s">
        <v>66</v>
      </c>
      <c r="D26" t="s">
        <v>107</v>
      </c>
    </row>
    <row r="27" spans="1:5" x14ac:dyDescent="0.3">
      <c r="A27" t="s">
        <v>154</v>
      </c>
      <c r="B27" t="s">
        <v>152</v>
      </c>
      <c r="C27" t="s">
        <v>67</v>
      </c>
      <c r="D27" t="s">
        <v>98</v>
      </c>
      <c r="E27" t="s">
        <v>109</v>
      </c>
    </row>
    <row r="28" spans="1:5" x14ac:dyDescent="0.3">
      <c r="A28" t="s">
        <v>155</v>
      </c>
      <c r="B28" t="s">
        <v>15</v>
      </c>
      <c r="C28" t="s">
        <v>66</v>
      </c>
      <c r="D28" t="s">
        <v>106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752EA-379D-4849-B4BF-29AE436EE7C8}">
  <dimension ref="A1:B13"/>
  <sheetViews>
    <sheetView workbookViewId="0">
      <selection activeCell="D14" sqref="D14"/>
    </sheetView>
  </sheetViews>
  <sheetFormatPr defaultRowHeight="14.4" x14ac:dyDescent="0.3"/>
  <cols>
    <col min="1" max="1" width="38.6640625" customWidth="1"/>
    <col min="2" max="2" width="34.5546875" bestFit="1" customWidth="1"/>
  </cols>
  <sheetData>
    <row r="1" spans="1:2" x14ac:dyDescent="0.3">
      <c r="A1" t="s">
        <v>51</v>
      </c>
    </row>
    <row r="2" spans="1:2" x14ac:dyDescent="0.3">
      <c r="A2" t="s">
        <v>94</v>
      </c>
      <c r="B2" t="s">
        <v>94</v>
      </c>
    </row>
    <row r="3" spans="1:2" x14ac:dyDescent="0.3">
      <c r="A3" t="s">
        <v>96</v>
      </c>
      <c r="B3" t="s">
        <v>96</v>
      </c>
    </row>
    <row r="4" spans="1:2" x14ac:dyDescent="0.3">
      <c r="A4" t="s">
        <v>97</v>
      </c>
      <c r="B4" t="s">
        <v>97</v>
      </c>
    </row>
    <row r="5" spans="1:2" x14ac:dyDescent="0.3">
      <c r="A5" t="s">
        <v>98</v>
      </c>
      <c r="B5" t="s">
        <v>98</v>
      </c>
    </row>
    <row r="6" spans="1:2" x14ac:dyDescent="0.3">
      <c r="A6" t="s">
        <v>101</v>
      </c>
      <c r="B6" t="s">
        <v>101</v>
      </c>
    </row>
    <row r="7" spans="1:2" x14ac:dyDescent="0.3">
      <c r="A7" t="s">
        <v>102</v>
      </c>
      <c r="B7" t="s">
        <v>102</v>
      </c>
    </row>
    <row r="8" spans="1:2" x14ac:dyDescent="0.3">
      <c r="A8" t="s">
        <v>105</v>
      </c>
      <c r="B8" t="s">
        <v>105</v>
      </c>
    </row>
    <row r="9" spans="1:2" x14ac:dyDescent="0.3">
      <c r="A9" t="s">
        <v>106</v>
      </c>
    </row>
    <row r="10" spans="1:2" x14ac:dyDescent="0.3">
      <c r="A10" t="s">
        <v>107</v>
      </c>
      <c r="B10" t="s">
        <v>107</v>
      </c>
    </row>
    <row r="11" spans="1:2" x14ac:dyDescent="0.3">
      <c r="A11" t="s">
        <v>108</v>
      </c>
      <c r="B11" t="s">
        <v>108</v>
      </c>
    </row>
    <row r="12" spans="1:2" x14ac:dyDescent="0.3">
      <c r="B12" t="s">
        <v>108</v>
      </c>
    </row>
    <row r="13" spans="1:2" x14ac:dyDescent="0.3">
      <c r="A13" t="s">
        <v>109</v>
      </c>
      <c r="B13" t="s">
        <v>109</v>
      </c>
    </row>
  </sheetData>
  <sortState xmlns:xlrd2="http://schemas.microsoft.com/office/spreadsheetml/2017/richdata2" ref="B2:B12">
    <sortCondition ref="B2:B1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4254-A6AC-4849-9D55-7D2BCA730195}">
  <dimension ref="A1:D8"/>
  <sheetViews>
    <sheetView workbookViewId="0">
      <selection activeCell="I20" sqref="I20"/>
    </sheetView>
  </sheetViews>
  <sheetFormatPr defaultRowHeight="14.4" x14ac:dyDescent="0.3"/>
  <cols>
    <col min="1" max="1" width="17" bestFit="1" customWidth="1"/>
    <col min="2" max="2" width="16.33203125" bestFit="1" customWidth="1"/>
    <col min="3" max="3" width="19" bestFit="1" customWidth="1"/>
    <col min="4" max="4" width="22" bestFit="1" customWidth="1"/>
  </cols>
  <sheetData>
    <row r="1" spans="1:4" x14ac:dyDescent="0.3">
      <c r="A1" t="s">
        <v>143</v>
      </c>
      <c r="B1" t="s">
        <v>144</v>
      </c>
      <c r="C1" t="s">
        <v>145</v>
      </c>
      <c r="D1" t="s">
        <v>146</v>
      </c>
    </row>
    <row r="2" spans="1:4" x14ac:dyDescent="0.3">
      <c r="A2" t="s">
        <v>6</v>
      </c>
      <c r="B2" t="s">
        <v>100</v>
      </c>
      <c r="C2">
        <v>1</v>
      </c>
      <c r="D2">
        <v>1</v>
      </c>
    </row>
    <row r="3" spans="1:4" x14ac:dyDescent="0.3">
      <c r="A3" t="s">
        <v>6</v>
      </c>
      <c r="B3" t="s">
        <v>9</v>
      </c>
      <c r="C3">
        <v>1</v>
      </c>
      <c r="D3">
        <v>1</v>
      </c>
    </row>
    <row r="4" spans="1:4" x14ac:dyDescent="0.3">
      <c r="A4" t="s">
        <v>15</v>
      </c>
      <c r="B4" t="s">
        <v>100</v>
      </c>
      <c r="C4">
        <v>1</v>
      </c>
      <c r="D4">
        <v>1</v>
      </c>
    </row>
    <row r="5" spans="1:4" x14ac:dyDescent="0.3">
      <c r="A5" t="s">
        <v>1</v>
      </c>
      <c r="B5" t="s">
        <v>9</v>
      </c>
      <c r="C5">
        <v>1</v>
      </c>
      <c r="D5">
        <v>1</v>
      </c>
    </row>
    <row r="6" spans="1:4" x14ac:dyDescent="0.3">
      <c r="A6" t="s">
        <v>1</v>
      </c>
      <c r="B6" t="s">
        <v>100</v>
      </c>
      <c r="C6">
        <v>1</v>
      </c>
      <c r="D6">
        <v>1</v>
      </c>
    </row>
    <row r="7" spans="1:4" x14ac:dyDescent="0.3">
      <c r="A7" t="s">
        <v>6</v>
      </c>
      <c r="B7" t="s">
        <v>1</v>
      </c>
      <c r="C7">
        <v>1</v>
      </c>
      <c r="D7">
        <v>1</v>
      </c>
    </row>
    <row r="8" spans="1:4" x14ac:dyDescent="0.3">
      <c r="A8" t="s">
        <v>15</v>
      </c>
      <c r="B8" t="s">
        <v>1</v>
      </c>
      <c r="C8">
        <v>1</v>
      </c>
      <c r="D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81BD-E2DD-4DF5-855A-6D89D396FB6A}">
  <dimension ref="A1:B9"/>
  <sheetViews>
    <sheetView workbookViewId="0">
      <selection activeCell="A2" sqref="A2"/>
    </sheetView>
  </sheetViews>
  <sheetFormatPr defaultRowHeight="14.4" x14ac:dyDescent="0.3"/>
  <cols>
    <col min="1" max="1" width="36.6640625" customWidth="1"/>
    <col min="2" max="2" width="20.5546875" bestFit="1" customWidth="1"/>
  </cols>
  <sheetData>
    <row r="1" spans="1:2" ht="15" thickBot="1" x14ac:dyDescent="0.35">
      <c r="A1" s="1" t="s">
        <v>29</v>
      </c>
      <c r="B1" s="1" t="s">
        <v>47</v>
      </c>
    </row>
    <row r="2" spans="1:2" x14ac:dyDescent="0.3">
      <c r="A2" t="s">
        <v>39</v>
      </c>
      <c r="B2">
        <v>7</v>
      </c>
    </row>
    <row r="3" spans="1:2" x14ac:dyDescent="0.3">
      <c r="A3" t="s">
        <v>40</v>
      </c>
      <c r="B3">
        <v>2</v>
      </c>
    </row>
    <row r="4" spans="1:2" x14ac:dyDescent="0.3">
      <c r="A4" t="s">
        <v>41</v>
      </c>
      <c r="B4">
        <v>4</v>
      </c>
    </row>
    <row r="5" spans="1:2" x14ac:dyDescent="0.3">
      <c r="A5" t="s">
        <v>42</v>
      </c>
      <c r="B5">
        <v>3</v>
      </c>
    </row>
    <row r="6" spans="1:2" x14ac:dyDescent="0.3">
      <c r="A6" t="s">
        <v>43</v>
      </c>
      <c r="B6">
        <v>4</v>
      </c>
    </row>
    <row r="7" spans="1:2" x14ac:dyDescent="0.3">
      <c r="A7" t="s">
        <v>45</v>
      </c>
      <c r="B7">
        <v>3</v>
      </c>
    </row>
    <row r="8" spans="1:2" x14ac:dyDescent="0.3">
      <c r="A8" t="s">
        <v>46</v>
      </c>
      <c r="B8">
        <v>3</v>
      </c>
    </row>
    <row r="9" spans="1:2" x14ac:dyDescent="0.3">
      <c r="A9" t="s">
        <v>44</v>
      </c>
      <c r="B9">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4CDA7-BE78-44CC-BBCC-1DA3922B297A}">
  <dimension ref="A1:E18"/>
  <sheetViews>
    <sheetView workbookViewId="0">
      <selection sqref="A1:XFD3"/>
    </sheetView>
  </sheetViews>
  <sheetFormatPr defaultColWidth="43.88671875" defaultRowHeight="14.4" x14ac:dyDescent="0.3"/>
  <sheetData>
    <row r="1" spans="1:5" ht="15" thickBot="1" x14ac:dyDescent="0.35">
      <c r="A1" s="2" t="s">
        <v>48</v>
      </c>
      <c r="B1" s="2" t="s">
        <v>49</v>
      </c>
      <c r="C1" s="2" t="s">
        <v>50</v>
      </c>
      <c r="D1" s="2" t="s">
        <v>51</v>
      </c>
      <c r="E1" s="2" t="s">
        <v>52</v>
      </c>
    </row>
    <row r="2" spans="1:5" x14ac:dyDescent="0.3">
      <c r="A2" s="8"/>
      <c r="B2" s="8"/>
      <c r="C2" s="8" t="s">
        <v>66</v>
      </c>
      <c r="D2" s="8"/>
      <c r="E2" s="8"/>
    </row>
    <row r="3" spans="1:5" x14ac:dyDescent="0.3">
      <c r="A3" s="8"/>
      <c r="B3" s="8"/>
      <c r="C3" s="8" t="s">
        <v>67</v>
      </c>
      <c r="D3" s="8"/>
      <c r="E3" s="8"/>
    </row>
    <row r="4" spans="1:5" x14ac:dyDescent="0.3">
      <c r="A4" s="8"/>
      <c r="B4" s="8"/>
      <c r="C4" s="8"/>
      <c r="D4" s="8"/>
      <c r="E4" s="8"/>
    </row>
    <row r="5" spans="1:5" x14ac:dyDescent="0.3">
      <c r="A5" s="8"/>
      <c r="B5" s="8"/>
      <c r="C5" s="8"/>
      <c r="D5" s="8"/>
      <c r="E5" s="8"/>
    </row>
    <row r="6" spans="1:5" x14ac:dyDescent="0.3">
      <c r="A6" s="5" t="s">
        <v>53</v>
      </c>
    </row>
    <row r="7" spans="1:5" ht="27.6" x14ac:dyDescent="0.3">
      <c r="A7" s="6" t="s">
        <v>54</v>
      </c>
    </row>
    <row r="8" spans="1:5" ht="41.4" x14ac:dyDescent="0.3">
      <c r="A8" s="6" t="s">
        <v>55</v>
      </c>
    </row>
    <row r="9" spans="1:5" ht="55.2" x14ac:dyDescent="0.3">
      <c r="A9" s="6" t="s">
        <v>56</v>
      </c>
    </row>
    <row r="10" spans="1:5" ht="96.6" x14ac:dyDescent="0.3">
      <c r="A10" s="6" t="s">
        <v>57</v>
      </c>
    </row>
    <row r="11" spans="1:5" x14ac:dyDescent="0.3">
      <c r="A11" s="5" t="s">
        <v>58</v>
      </c>
    </row>
    <row r="12" spans="1:5" x14ac:dyDescent="0.3">
      <c r="A12" s="7" t="s">
        <v>59</v>
      </c>
    </row>
    <row r="13" spans="1:5" x14ac:dyDescent="0.3">
      <c r="A13" s="7" t="s">
        <v>60</v>
      </c>
    </row>
    <row r="14" spans="1:5" x14ac:dyDescent="0.3">
      <c r="A14" s="7" t="s">
        <v>61</v>
      </c>
    </row>
    <row r="15" spans="1:5" x14ac:dyDescent="0.3">
      <c r="A15" s="7" t="s">
        <v>62</v>
      </c>
    </row>
    <row r="16" spans="1:5" x14ac:dyDescent="0.3">
      <c r="A16" s="5" t="s">
        <v>63</v>
      </c>
    </row>
    <row r="17" spans="1:1" ht="69" x14ac:dyDescent="0.3">
      <c r="A17" s="7" t="s">
        <v>64</v>
      </c>
    </row>
    <row r="18" spans="1:1" ht="55.2" x14ac:dyDescent="0.3">
      <c r="A18" s="7" t="s">
        <v>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7D02-24B8-4F83-954C-5CC186ECAD30}">
  <dimension ref="A1:J20"/>
  <sheetViews>
    <sheetView workbookViewId="0">
      <selection activeCell="D25" sqref="D25"/>
    </sheetView>
  </sheetViews>
  <sheetFormatPr defaultRowHeight="14.4" x14ac:dyDescent="0.3"/>
  <cols>
    <col min="1" max="1" width="26.5546875" bestFit="1" customWidth="1"/>
    <col min="2" max="2" width="24.109375" bestFit="1" customWidth="1"/>
    <col min="3" max="3" width="18" customWidth="1"/>
    <col min="4" max="5" width="36.88671875" bestFit="1" customWidth="1"/>
    <col min="6" max="6" width="14.44140625" customWidth="1"/>
    <col min="7" max="7" width="13.88671875" bestFit="1" customWidth="1"/>
    <col min="9" max="9" width="36.88671875" bestFit="1" customWidth="1"/>
    <col min="10" max="10" width="13.88671875" bestFit="1" customWidth="1"/>
  </cols>
  <sheetData>
    <row r="1" spans="1:10" x14ac:dyDescent="0.3">
      <c r="A1" t="s">
        <v>48</v>
      </c>
      <c r="B1" t="s">
        <v>49</v>
      </c>
      <c r="C1" t="s">
        <v>50</v>
      </c>
      <c r="D1" t="s">
        <v>51</v>
      </c>
      <c r="E1" t="s">
        <v>52</v>
      </c>
    </row>
    <row r="2" spans="1:10" x14ac:dyDescent="0.3">
      <c r="A2" t="s">
        <v>68</v>
      </c>
      <c r="B2" t="str">
        <f>_xlfn.CONCAT(F2,"/",G2)</f>
        <v>Gerard 227/NC20-4526</v>
      </c>
      <c r="C2" t="s">
        <v>67</v>
      </c>
      <c r="D2" t="s">
        <v>96</v>
      </c>
      <c r="E2" t="s">
        <v>101</v>
      </c>
      <c r="F2" t="s">
        <v>9</v>
      </c>
      <c r="G2" t="s">
        <v>100</v>
      </c>
      <c r="I2" t="s">
        <v>94</v>
      </c>
      <c r="J2" t="s">
        <v>9</v>
      </c>
    </row>
    <row r="3" spans="1:10" x14ac:dyDescent="0.3">
      <c r="A3" t="s">
        <v>69</v>
      </c>
      <c r="B3" t="str">
        <f t="shared" ref="B3:B13" si="0">_xlfn.CONCAT(F3,"/",G3)</f>
        <v>Gerard 227/NC20-4526</v>
      </c>
      <c r="C3" t="s">
        <v>67</v>
      </c>
      <c r="D3" t="s">
        <v>97</v>
      </c>
      <c r="E3" t="s">
        <v>98</v>
      </c>
      <c r="F3" t="s">
        <v>9</v>
      </c>
      <c r="G3" t="s">
        <v>100</v>
      </c>
      <c r="I3" t="s">
        <v>96</v>
      </c>
      <c r="J3" t="s">
        <v>9</v>
      </c>
    </row>
    <row r="4" spans="1:10" x14ac:dyDescent="0.3">
      <c r="A4" t="s">
        <v>70</v>
      </c>
      <c r="B4" t="str">
        <f t="shared" si="0"/>
        <v>Gerard 227/NC20-4526</v>
      </c>
      <c r="C4" t="s">
        <v>67</v>
      </c>
      <c r="D4" t="s">
        <v>94</v>
      </c>
      <c r="E4" t="s">
        <v>98</v>
      </c>
      <c r="F4" t="s">
        <v>9</v>
      </c>
      <c r="G4" t="s">
        <v>100</v>
      </c>
      <c r="I4" t="s">
        <v>97</v>
      </c>
      <c r="J4" t="s">
        <v>9</v>
      </c>
    </row>
    <row r="5" spans="1:10" x14ac:dyDescent="0.3">
      <c r="A5" t="s">
        <v>71</v>
      </c>
      <c r="B5" t="str">
        <f t="shared" si="0"/>
        <v>Gerard 227/NC20-4551</v>
      </c>
      <c r="C5" t="s">
        <v>67</v>
      </c>
      <c r="D5" t="s">
        <v>96</v>
      </c>
      <c r="E5" t="s">
        <v>107</v>
      </c>
      <c r="F5" t="s">
        <v>9</v>
      </c>
      <c r="G5" t="s">
        <v>1</v>
      </c>
      <c r="I5" t="s">
        <v>98</v>
      </c>
      <c r="J5" t="s">
        <v>100</v>
      </c>
    </row>
    <row r="6" spans="1:10" x14ac:dyDescent="0.3">
      <c r="A6" t="s">
        <v>72</v>
      </c>
      <c r="B6" t="str">
        <f t="shared" si="0"/>
        <v>Gerard 227/NC20-4551</v>
      </c>
      <c r="C6" t="s">
        <v>67</v>
      </c>
      <c r="D6" t="s">
        <v>96</v>
      </c>
      <c r="E6" t="s">
        <v>107</v>
      </c>
      <c r="F6" t="s">
        <v>9</v>
      </c>
      <c r="G6" t="s">
        <v>1</v>
      </c>
      <c r="I6" t="s">
        <v>101</v>
      </c>
      <c r="J6" t="s">
        <v>100</v>
      </c>
    </row>
    <row r="7" spans="1:10" x14ac:dyDescent="0.3">
      <c r="A7" t="s">
        <v>73</v>
      </c>
      <c r="B7" t="str">
        <f t="shared" si="0"/>
        <v>NC20-4526/NF13-4126-4_3</v>
      </c>
      <c r="C7" t="s">
        <v>67</v>
      </c>
      <c r="D7" t="s">
        <v>101</v>
      </c>
      <c r="E7" t="s">
        <v>106</v>
      </c>
      <c r="F7" t="s">
        <v>100</v>
      </c>
      <c r="G7" t="s">
        <v>15</v>
      </c>
      <c r="I7" t="s">
        <v>102</v>
      </c>
      <c r="J7" t="s">
        <v>100</v>
      </c>
    </row>
    <row r="8" spans="1:10" x14ac:dyDescent="0.3">
      <c r="A8" t="s">
        <v>74</v>
      </c>
      <c r="B8" t="str">
        <f t="shared" si="0"/>
        <v>NC20-4526/NF13-4126-4_3</v>
      </c>
      <c r="C8" t="s">
        <v>67</v>
      </c>
      <c r="D8" t="s">
        <v>102</v>
      </c>
      <c r="E8" t="s">
        <v>106</v>
      </c>
      <c r="F8" t="s">
        <v>100</v>
      </c>
      <c r="G8" t="s">
        <v>15</v>
      </c>
      <c r="I8" t="s">
        <v>103</v>
      </c>
      <c r="J8" t="s">
        <v>15</v>
      </c>
    </row>
    <row r="9" spans="1:10" x14ac:dyDescent="0.3">
      <c r="A9" t="s">
        <v>75</v>
      </c>
      <c r="B9" t="str">
        <f t="shared" si="0"/>
        <v>NF13-4126-4_3/NC20-4526</v>
      </c>
      <c r="C9" t="s">
        <v>67</v>
      </c>
      <c r="D9" t="s">
        <v>106</v>
      </c>
      <c r="E9" t="s">
        <v>101</v>
      </c>
      <c r="F9" t="s">
        <v>15</v>
      </c>
      <c r="G9" t="s">
        <v>100</v>
      </c>
      <c r="I9" t="s">
        <v>105</v>
      </c>
      <c r="J9" t="s">
        <v>15</v>
      </c>
    </row>
    <row r="10" spans="1:10" x14ac:dyDescent="0.3">
      <c r="A10" t="s">
        <v>76</v>
      </c>
      <c r="B10" t="str">
        <f t="shared" si="0"/>
        <v>NF13-4126-4_3/NC20-4526</v>
      </c>
      <c r="C10" t="s">
        <v>67</v>
      </c>
      <c r="D10" t="s">
        <v>105</v>
      </c>
      <c r="E10" t="s">
        <v>98</v>
      </c>
      <c r="F10" t="s">
        <v>15</v>
      </c>
      <c r="G10" t="s">
        <v>100</v>
      </c>
      <c r="I10" t="s">
        <v>106</v>
      </c>
      <c r="J10" t="s">
        <v>15</v>
      </c>
    </row>
    <row r="11" spans="1:10" x14ac:dyDescent="0.3">
      <c r="A11" t="s">
        <v>77</v>
      </c>
      <c r="B11" t="str">
        <f t="shared" si="0"/>
        <v>NC20-4551/NF13-4126-4_3</v>
      </c>
      <c r="C11" t="s">
        <v>67</v>
      </c>
      <c r="D11" t="s">
        <v>107</v>
      </c>
      <c r="E11" t="s">
        <v>106</v>
      </c>
      <c r="F11" t="s">
        <v>1</v>
      </c>
      <c r="G11" t="s">
        <v>15</v>
      </c>
    </row>
    <row r="12" spans="1:10" x14ac:dyDescent="0.3">
      <c r="A12" t="s">
        <v>78</v>
      </c>
      <c r="B12" t="str">
        <f t="shared" si="0"/>
        <v>NC20-4551/NF13-4126-4_3</v>
      </c>
      <c r="C12" t="s">
        <v>67</v>
      </c>
      <c r="D12" t="s">
        <v>108</v>
      </c>
      <c r="E12" t="s">
        <v>106</v>
      </c>
      <c r="F12" t="s">
        <v>1</v>
      </c>
      <c r="G12" t="s">
        <v>15</v>
      </c>
      <c r="I12" t="s">
        <v>107</v>
      </c>
      <c r="J12" t="s">
        <v>1</v>
      </c>
    </row>
    <row r="13" spans="1:10" x14ac:dyDescent="0.3">
      <c r="A13" t="s">
        <v>79</v>
      </c>
      <c r="B13" t="str">
        <f t="shared" si="0"/>
        <v>NC20-4551/NC20-4526</v>
      </c>
      <c r="C13" t="s">
        <v>67</v>
      </c>
      <c r="D13" t="s">
        <v>109</v>
      </c>
      <c r="E13" t="s">
        <v>101</v>
      </c>
      <c r="F13" t="s">
        <v>1</v>
      </c>
      <c r="G13" t="s">
        <v>100</v>
      </c>
      <c r="I13" t="s">
        <v>108</v>
      </c>
      <c r="J13" t="s">
        <v>1</v>
      </c>
    </row>
    <row r="14" spans="1:10" x14ac:dyDescent="0.3">
      <c r="A14" t="s">
        <v>80</v>
      </c>
      <c r="B14" t="s">
        <v>9</v>
      </c>
      <c r="C14" t="s">
        <v>66</v>
      </c>
      <c r="D14" t="s">
        <v>96</v>
      </c>
      <c r="F14" t="s">
        <v>9</v>
      </c>
      <c r="I14" t="s">
        <v>109</v>
      </c>
      <c r="J14" t="s">
        <v>1</v>
      </c>
    </row>
    <row r="15" spans="1:10" x14ac:dyDescent="0.3">
      <c r="A15" t="s">
        <v>81</v>
      </c>
      <c r="B15" t="s">
        <v>100</v>
      </c>
      <c r="C15" t="s">
        <v>66</v>
      </c>
      <c r="D15" t="s">
        <v>102</v>
      </c>
      <c r="F15" t="s">
        <v>100</v>
      </c>
      <c r="I15" t="s">
        <v>110</v>
      </c>
      <c r="J15" t="s">
        <v>1</v>
      </c>
    </row>
    <row r="16" spans="1:10" x14ac:dyDescent="0.3">
      <c r="A16" t="s">
        <v>82</v>
      </c>
      <c r="B16" t="s">
        <v>100</v>
      </c>
      <c r="C16" t="s">
        <v>66</v>
      </c>
      <c r="D16" t="s">
        <v>101</v>
      </c>
      <c r="F16" t="s">
        <v>100</v>
      </c>
      <c r="I16" t="s">
        <v>111</v>
      </c>
      <c r="J16" t="s">
        <v>1</v>
      </c>
    </row>
    <row r="17" spans="1:10" x14ac:dyDescent="0.3">
      <c r="A17" t="s">
        <v>83</v>
      </c>
      <c r="B17" t="s">
        <v>9</v>
      </c>
      <c r="C17" t="s">
        <v>66</v>
      </c>
      <c r="D17" t="s">
        <v>94</v>
      </c>
      <c r="F17" t="s">
        <v>9</v>
      </c>
      <c r="I17" t="s">
        <v>112</v>
      </c>
      <c r="J17" t="s">
        <v>1</v>
      </c>
    </row>
    <row r="18" spans="1:10" x14ac:dyDescent="0.3">
      <c r="A18" t="s">
        <v>84</v>
      </c>
      <c r="B18" t="s">
        <v>100</v>
      </c>
      <c r="C18" t="s">
        <v>66</v>
      </c>
      <c r="D18" t="s">
        <v>98</v>
      </c>
      <c r="F18" t="s">
        <v>100</v>
      </c>
      <c r="I18" t="s">
        <v>113</v>
      </c>
      <c r="J18" t="s">
        <v>1</v>
      </c>
    </row>
    <row r="19" spans="1:10" x14ac:dyDescent="0.3">
      <c r="A19" t="s">
        <v>85</v>
      </c>
      <c r="B19" t="s">
        <v>9</v>
      </c>
      <c r="C19" t="s">
        <v>66</v>
      </c>
      <c r="D19" t="s">
        <v>97</v>
      </c>
      <c r="F19" t="s">
        <v>9</v>
      </c>
    </row>
    <row r="20" spans="1:10" x14ac:dyDescent="0.3">
      <c r="A20" t="s">
        <v>86</v>
      </c>
      <c r="B20" t="str">
        <f t="shared" ref="B20" si="1">_xlfn.CONCAT(F20,"/",G20)</f>
        <v>NF13-4126-4_3/NC20-4526</v>
      </c>
      <c r="C20" t="s">
        <v>67</v>
      </c>
      <c r="D20" t="s">
        <v>105</v>
      </c>
      <c r="E20" t="s">
        <v>98</v>
      </c>
      <c r="F20" t="s">
        <v>15</v>
      </c>
      <c r="G20" t="s">
        <v>100</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5069-D2CF-43DD-A042-29E5C15CA244}">
  <dimension ref="A1:K43"/>
  <sheetViews>
    <sheetView topLeftCell="A13" workbookViewId="0">
      <selection activeCell="A14" sqref="A14:D20"/>
    </sheetView>
  </sheetViews>
  <sheetFormatPr defaultRowHeight="14.4" x14ac:dyDescent="0.3"/>
  <cols>
    <col min="1" max="1" width="30.33203125" bestFit="1" customWidth="1"/>
    <col min="2" max="2" width="8.109375" bestFit="1" customWidth="1"/>
    <col min="3" max="3" width="22.6640625" bestFit="1" customWidth="1"/>
    <col min="4" max="4" width="16" bestFit="1" customWidth="1"/>
    <col min="5" max="5" width="12.109375" bestFit="1" customWidth="1"/>
    <col min="6" max="6" width="13.6640625" bestFit="1" customWidth="1"/>
    <col min="7" max="7" width="11.6640625" bestFit="1" customWidth="1"/>
    <col min="8" max="8" width="11.5546875" bestFit="1" customWidth="1"/>
    <col min="9" max="9" width="12" bestFit="1" customWidth="1"/>
    <col min="10" max="10" width="11.44140625" bestFit="1" customWidth="1"/>
    <col min="11" max="11" width="13.44140625" bestFit="1" customWidth="1"/>
  </cols>
  <sheetData>
    <row r="1" spans="1:11" x14ac:dyDescent="0.3">
      <c r="A1" t="s">
        <v>87</v>
      </c>
      <c r="B1" t="s">
        <v>88</v>
      </c>
      <c r="C1" t="s">
        <v>29</v>
      </c>
      <c r="D1" t="s">
        <v>17</v>
      </c>
      <c r="E1" t="s">
        <v>30</v>
      </c>
      <c r="F1" t="s">
        <v>31</v>
      </c>
      <c r="G1" t="s">
        <v>89</v>
      </c>
      <c r="H1" t="s">
        <v>90</v>
      </c>
      <c r="I1" t="s">
        <v>91</v>
      </c>
      <c r="J1" t="s">
        <v>92</v>
      </c>
      <c r="K1" t="s">
        <v>93</v>
      </c>
    </row>
    <row r="2" spans="1:11" x14ac:dyDescent="0.3">
      <c r="A2" t="s">
        <v>94</v>
      </c>
      <c r="B2">
        <v>754009</v>
      </c>
      <c r="C2" t="s">
        <v>95</v>
      </c>
      <c r="D2" t="s">
        <v>9</v>
      </c>
      <c r="E2">
        <v>12</v>
      </c>
      <c r="F2">
        <v>1</v>
      </c>
      <c r="H2">
        <v>1</v>
      </c>
      <c r="K2">
        <v>1</v>
      </c>
    </row>
    <row r="3" spans="1:11" x14ac:dyDescent="0.3">
      <c r="A3" t="s">
        <v>96</v>
      </c>
      <c r="B3">
        <v>754010</v>
      </c>
      <c r="C3" t="s">
        <v>95</v>
      </c>
      <c r="D3" t="s">
        <v>9</v>
      </c>
      <c r="E3">
        <v>12</v>
      </c>
      <c r="F3">
        <v>1</v>
      </c>
      <c r="H3">
        <v>1</v>
      </c>
      <c r="K3">
        <v>2</v>
      </c>
    </row>
    <row r="4" spans="1:11" x14ac:dyDescent="0.3">
      <c r="A4" t="s">
        <v>97</v>
      </c>
      <c r="B4">
        <v>754011</v>
      </c>
      <c r="C4" t="s">
        <v>95</v>
      </c>
      <c r="D4" t="s">
        <v>9</v>
      </c>
      <c r="E4">
        <v>12</v>
      </c>
      <c r="F4">
        <v>1</v>
      </c>
      <c r="H4">
        <v>1</v>
      </c>
      <c r="K4">
        <v>3</v>
      </c>
    </row>
    <row r="5" spans="1:11" x14ac:dyDescent="0.3">
      <c r="A5" t="s">
        <v>98</v>
      </c>
      <c r="B5">
        <v>754003</v>
      </c>
      <c r="C5" t="s">
        <v>99</v>
      </c>
      <c r="D5" t="s">
        <v>100</v>
      </c>
      <c r="E5">
        <v>14</v>
      </c>
      <c r="F5">
        <v>1</v>
      </c>
      <c r="H5">
        <v>1</v>
      </c>
      <c r="K5">
        <v>1</v>
      </c>
    </row>
    <row r="6" spans="1:11" x14ac:dyDescent="0.3">
      <c r="A6" t="s">
        <v>101</v>
      </c>
      <c r="B6">
        <v>754004</v>
      </c>
      <c r="C6" t="s">
        <v>99</v>
      </c>
      <c r="D6" t="s">
        <v>100</v>
      </c>
      <c r="E6">
        <v>14</v>
      </c>
      <c r="F6">
        <v>1</v>
      </c>
      <c r="H6">
        <v>1</v>
      </c>
      <c r="K6">
        <v>2</v>
      </c>
    </row>
    <row r="7" spans="1:11" x14ac:dyDescent="0.3">
      <c r="A7" t="s">
        <v>102</v>
      </c>
      <c r="B7">
        <v>754005</v>
      </c>
      <c r="C7" t="s">
        <v>99</v>
      </c>
      <c r="D7" t="s">
        <v>100</v>
      </c>
      <c r="E7">
        <v>14</v>
      </c>
      <c r="F7">
        <v>1</v>
      </c>
      <c r="H7">
        <v>1</v>
      </c>
      <c r="K7">
        <v>3</v>
      </c>
    </row>
    <row r="8" spans="1:11" x14ac:dyDescent="0.3">
      <c r="A8" t="s">
        <v>103</v>
      </c>
      <c r="B8">
        <v>753852</v>
      </c>
      <c r="C8" t="s">
        <v>104</v>
      </c>
      <c r="D8" t="s">
        <v>15</v>
      </c>
      <c r="E8">
        <v>17</v>
      </c>
      <c r="F8">
        <v>1</v>
      </c>
      <c r="H8">
        <v>1</v>
      </c>
      <c r="K8">
        <v>1</v>
      </c>
    </row>
    <row r="9" spans="1:11" x14ac:dyDescent="0.3">
      <c r="A9" t="s">
        <v>105</v>
      </c>
      <c r="B9">
        <v>753853</v>
      </c>
      <c r="C9" t="s">
        <v>104</v>
      </c>
      <c r="D9" t="s">
        <v>15</v>
      </c>
      <c r="E9">
        <v>17</v>
      </c>
      <c r="F9">
        <v>1</v>
      </c>
      <c r="H9">
        <v>1</v>
      </c>
      <c r="K9">
        <v>2</v>
      </c>
    </row>
    <row r="10" spans="1:11" x14ac:dyDescent="0.3">
      <c r="A10" t="s">
        <v>106</v>
      </c>
      <c r="B10">
        <v>753854</v>
      </c>
      <c r="C10" t="s">
        <v>104</v>
      </c>
      <c r="D10" t="s">
        <v>15</v>
      </c>
      <c r="E10">
        <v>17</v>
      </c>
      <c r="F10">
        <v>1</v>
      </c>
      <c r="H10">
        <v>1</v>
      </c>
      <c r="K10">
        <v>3</v>
      </c>
    </row>
    <row r="13" spans="1:11" x14ac:dyDescent="0.3">
      <c r="A13" t="s">
        <v>87</v>
      </c>
      <c r="B13" t="s">
        <v>88</v>
      </c>
      <c r="C13" t="s">
        <v>29</v>
      </c>
      <c r="D13" t="s">
        <v>17</v>
      </c>
      <c r="E13" t="s">
        <v>30</v>
      </c>
      <c r="F13" t="s">
        <v>31</v>
      </c>
      <c r="G13" t="s">
        <v>89</v>
      </c>
      <c r="H13" t="s">
        <v>90</v>
      </c>
      <c r="I13" t="s">
        <v>91</v>
      </c>
      <c r="J13" t="s">
        <v>92</v>
      </c>
      <c r="K13" t="s">
        <v>93</v>
      </c>
    </row>
    <row r="14" spans="1:11" x14ac:dyDescent="0.3">
      <c r="A14" t="s">
        <v>107</v>
      </c>
      <c r="B14">
        <v>758710</v>
      </c>
      <c r="C14" t="s">
        <v>39</v>
      </c>
      <c r="D14" t="s">
        <v>1</v>
      </c>
      <c r="E14">
        <v>20</v>
      </c>
      <c r="F14">
        <v>1</v>
      </c>
      <c r="H14">
        <v>1</v>
      </c>
      <c r="K14">
        <v>1</v>
      </c>
    </row>
    <row r="15" spans="1:11" x14ac:dyDescent="0.3">
      <c r="A15" t="s">
        <v>108</v>
      </c>
      <c r="B15">
        <v>758711</v>
      </c>
      <c r="C15" t="s">
        <v>39</v>
      </c>
      <c r="D15" t="s">
        <v>1</v>
      </c>
      <c r="E15">
        <v>20</v>
      </c>
      <c r="F15">
        <v>1</v>
      </c>
      <c r="H15">
        <v>1</v>
      </c>
      <c r="K15">
        <v>2</v>
      </c>
    </row>
    <row r="16" spans="1:11" x14ac:dyDescent="0.3">
      <c r="A16" t="s">
        <v>109</v>
      </c>
      <c r="B16">
        <v>758712</v>
      </c>
      <c r="C16" t="s">
        <v>39</v>
      </c>
      <c r="D16" t="s">
        <v>1</v>
      </c>
      <c r="E16">
        <v>20</v>
      </c>
      <c r="F16">
        <v>1</v>
      </c>
      <c r="H16">
        <v>1</v>
      </c>
      <c r="K16">
        <v>3</v>
      </c>
    </row>
    <row r="17" spans="1:11" x14ac:dyDescent="0.3">
      <c r="A17" t="s">
        <v>110</v>
      </c>
      <c r="B17">
        <v>758713</v>
      </c>
      <c r="C17" t="s">
        <v>39</v>
      </c>
      <c r="D17" t="s">
        <v>1</v>
      </c>
      <c r="E17">
        <v>20</v>
      </c>
      <c r="F17">
        <v>1</v>
      </c>
      <c r="H17">
        <v>1</v>
      </c>
      <c r="K17">
        <v>4</v>
      </c>
    </row>
    <row r="18" spans="1:11" x14ac:dyDescent="0.3">
      <c r="A18" t="s">
        <v>111</v>
      </c>
      <c r="B18">
        <v>758714</v>
      </c>
      <c r="C18" t="s">
        <v>39</v>
      </c>
      <c r="D18" t="s">
        <v>1</v>
      </c>
      <c r="E18">
        <v>20</v>
      </c>
      <c r="F18">
        <v>1</v>
      </c>
      <c r="H18">
        <v>1</v>
      </c>
      <c r="K18">
        <v>5</v>
      </c>
    </row>
    <row r="19" spans="1:11" x14ac:dyDescent="0.3">
      <c r="A19" t="s">
        <v>112</v>
      </c>
      <c r="B19">
        <v>758715</v>
      </c>
      <c r="C19" t="s">
        <v>39</v>
      </c>
      <c r="D19" t="s">
        <v>1</v>
      </c>
      <c r="E19">
        <v>20</v>
      </c>
      <c r="F19">
        <v>1</v>
      </c>
      <c r="H19">
        <v>1</v>
      </c>
      <c r="K19">
        <v>6</v>
      </c>
    </row>
    <row r="20" spans="1:11" x14ac:dyDescent="0.3">
      <c r="A20" t="s">
        <v>113</v>
      </c>
      <c r="B20">
        <v>758716</v>
      </c>
      <c r="C20" t="s">
        <v>39</v>
      </c>
      <c r="D20" t="s">
        <v>1</v>
      </c>
      <c r="E20">
        <v>20</v>
      </c>
      <c r="F20">
        <v>1</v>
      </c>
      <c r="H20">
        <v>1</v>
      </c>
      <c r="K20">
        <v>7</v>
      </c>
    </row>
    <row r="21" spans="1:11" x14ac:dyDescent="0.3">
      <c r="A21" t="s">
        <v>114</v>
      </c>
      <c r="B21">
        <v>758723</v>
      </c>
      <c r="C21" t="s">
        <v>40</v>
      </c>
      <c r="D21" t="s">
        <v>6</v>
      </c>
      <c r="E21">
        <v>21</v>
      </c>
      <c r="F21">
        <v>1</v>
      </c>
      <c r="H21">
        <v>1</v>
      </c>
      <c r="K21">
        <v>1</v>
      </c>
    </row>
    <row r="22" spans="1:11" x14ac:dyDescent="0.3">
      <c r="A22" t="s">
        <v>115</v>
      </c>
      <c r="B22">
        <v>758724</v>
      </c>
      <c r="C22" t="s">
        <v>40</v>
      </c>
      <c r="D22" t="s">
        <v>6</v>
      </c>
      <c r="E22">
        <v>21</v>
      </c>
      <c r="F22">
        <v>1</v>
      </c>
      <c r="H22">
        <v>1</v>
      </c>
      <c r="K22">
        <v>2</v>
      </c>
    </row>
    <row r="23" spans="1:11" x14ac:dyDescent="0.3">
      <c r="A23" t="s">
        <v>116</v>
      </c>
      <c r="B23">
        <v>758733</v>
      </c>
      <c r="C23" t="s">
        <v>41</v>
      </c>
      <c r="D23" t="s">
        <v>9</v>
      </c>
      <c r="E23">
        <v>22</v>
      </c>
      <c r="F23">
        <v>1</v>
      </c>
      <c r="H23">
        <v>1</v>
      </c>
      <c r="K23">
        <v>1</v>
      </c>
    </row>
    <row r="24" spans="1:11" x14ac:dyDescent="0.3">
      <c r="A24" t="s">
        <v>117</v>
      </c>
      <c r="B24">
        <v>758734</v>
      </c>
      <c r="C24" t="s">
        <v>41</v>
      </c>
      <c r="D24" t="s">
        <v>9</v>
      </c>
      <c r="E24">
        <v>22</v>
      </c>
      <c r="F24">
        <v>1</v>
      </c>
      <c r="H24">
        <v>1</v>
      </c>
      <c r="K24">
        <v>2</v>
      </c>
    </row>
    <row r="25" spans="1:11" x14ac:dyDescent="0.3">
      <c r="A25" t="s">
        <v>118</v>
      </c>
      <c r="B25">
        <v>758735</v>
      </c>
      <c r="C25" t="s">
        <v>41</v>
      </c>
      <c r="D25" t="s">
        <v>9</v>
      </c>
      <c r="E25">
        <v>22</v>
      </c>
      <c r="F25">
        <v>1</v>
      </c>
      <c r="H25">
        <v>1</v>
      </c>
      <c r="K25">
        <v>3</v>
      </c>
    </row>
    <row r="26" spans="1:11" x14ac:dyDescent="0.3">
      <c r="A26" t="s">
        <v>119</v>
      </c>
      <c r="B26">
        <v>758736</v>
      </c>
      <c r="C26" t="s">
        <v>41</v>
      </c>
      <c r="D26" t="s">
        <v>9</v>
      </c>
      <c r="E26">
        <v>22</v>
      </c>
      <c r="F26">
        <v>1</v>
      </c>
      <c r="H26">
        <v>1</v>
      </c>
      <c r="K26">
        <v>4</v>
      </c>
    </row>
    <row r="27" spans="1:11" x14ac:dyDescent="0.3">
      <c r="A27" t="s">
        <v>120</v>
      </c>
      <c r="B27">
        <v>758717</v>
      </c>
      <c r="C27" t="s">
        <v>42</v>
      </c>
      <c r="D27" t="s">
        <v>100</v>
      </c>
      <c r="E27">
        <v>23</v>
      </c>
      <c r="F27">
        <v>1</v>
      </c>
      <c r="H27">
        <v>1</v>
      </c>
      <c r="K27">
        <v>1</v>
      </c>
    </row>
    <row r="28" spans="1:11" x14ac:dyDescent="0.3">
      <c r="A28" t="s">
        <v>121</v>
      </c>
      <c r="B28">
        <v>758718</v>
      </c>
      <c r="C28" t="s">
        <v>42</v>
      </c>
      <c r="D28" t="s">
        <v>100</v>
      </c>
      <c r="E28">
        <v>23</v>
      </c>
      <c r="F28">
        <v>1</v>
      </c>
      <c r="H28">
        <v>1</v>
      </c>
      <c r="K28">
        <v>2</v>
      </c>
    </row>
    <row r="29" spans="1:11" x14ac:dyDescent="0.3">
      <c r="A29" t="s">
        <v>122</v>
      </c>
      <c r="B29">
        <v>758719</v>
      </c>
      <c r="C29" t="s">
        <v>42</v>
      </c>
      <c r="D29" t="s">
        <v>100</v>
      </c>
      <c r="E29">
        <v>23</v>
      </c>
      <c r="F29">
        <v>1</v>
      </c>
      <c r="H29">
        <v>1</v>
      </c>
      <c r="K29">
        <v>3</v>
      </c>
    </row>
    <row r="30" spans="1:11" x14ac:dyDescent="0.3">
      <c r="A30" t="s">
        <v>123</v>
      </c>
      <c r="B30">
        <v>758725</v>
      </c>
      <c r="C30" t="s">
        <v>43</v>
      </c>
      <c r="D30" t="s">
        <v>13</v>
      </c>
      <c r="E30">
        <v>24</v>
      </c>
      <c r="F30">
        <v>1</v>
      </c>
      <c r="H30">
        <v>1</v>
      </c>
      <c r="K30">
        <v>1</v>
      </c>
    </row>
    <row r="31" spans="1:11" x14ac:dyDescent="0.3">
      <c r="A31" t="s">
        <v>124</v>
      </c>
      <c r="B31">
        <v>758726</v>
      </c>
      <c r="C31" t="s">
        <v>43</v>
      </c>
      <c r="D31" t="s">
        <v>13</v>
      </c>
      <c r="E31">
        <v>24</v>
      </c>
      <c r="F31">
        <v>1</v>
      </c>
      <c r="H31">
        <v>1</v>
      </c>
      <c r="K31">
        <v>2</v>
      </c>
    </row>
    <row r="32" spans="1:11" x14ac:dyDescent="0.3">
      <c r="A32" t="s">
        <v>125</v>
      </c>
      <c r="B32">
        <v>758727</v>
      </c>
      <c r="C32" t="s">
        <v>43</v>
      </c>
      <c r="D32" t="s">
        <v>13</v>
      </c>
      <c r="E32">
        <v>24</v>
      </c>
      <c r="F32">
        <v>1</v>
      </c>
      <c r="H32">
        <v>1</v>
      </c>
      <c r="K32">
        <v>3</v>
      </c>
    </row>
    <row r="33" spans="1:11" x14ac:dyDescent="0.3">
      <c r="A33" t="s">
        <v>126</v>
      </c>
      <c r="B33">
        <v>758728</v>
      </c>
      <c r="C33" t="s">
        <v>43</v>
      </c>
      <c r="D33" t="s">
        <v>13</v>
      </c>
      <c r="E33">
        <v>24</v>
      </c>
      <c r="F33">
        <v>1</v>
      </c>
      <c r="H33">
        <v>1</v>
      </c>
      <c r="K33">
        <v>4</v>
      </c>
    </row>
    <row r="34" spans="1:11" x14ac:dyDescent="0.3">
      <c r="A34" t="s">
        <v>127</v>
      </c>
      <c r="B34">
        <v>758729</v>
      </c>
      <c r="C34" t="s">
        <v>44</v>
      </c>
      <c r="D34" t="s">
        <v>15</v>
      </c>
      <c r="E34">
        <v>25</v>
      </c>
      <c r="F34">
        <v>1</v>
      </c>
      <c r="H34">
        <v>1</v>
      </c>
      <c r="K34">
        <v>1</v>
      </c>
    </row>
    <row r="35" spans="1:11" x14ac:dyDescent="0.3">
      <c r="A35" t="s">
        <v>128</v>
      </c>
      <c r="B35">
        <v>758730</v>
      </c>
      <c r="C35" t="s">
        <v>44</v>
      </c>
      <c r="D35" t="s">
        <v>15</v>
      </c>
      <c r="E35">
        <v>25</v>
      </c>
      <c r="F35">
        <v>1</v>
      </c>
      <c r="H35">
        <v>1</v>
      </c>
      <c r="K35">
        <v>2</v>
      </c>
    </row>
    <row r="36" spans="1:11" x14ac:dyDescent="0.3">
      <c r="A36" t="s">
        <v>129</v>
      </c>
      <c r="B36">
        <v>758731</v>
      </c>
      <c r="C36" t="s">
        <v>44</v>
      </c>
      <c r="D36" t="s">
        <v>15</v>
      </c>
      <c r="E36">
        <v>25</v>
      </c>
      <c r="F36">
        <v>1</v>
      </c>
      <c r="H36">
        <v>1</v>
      </c>
      <c r="K36">
        <v>3</v>
      </c>
    </row>
    <row r="37" spans="1:11" x14ac:dyDescent="0.3">
      <c r="A37" t="s">
        <v>130</v>
      </c>
      <c r="B37">
        <v>758732</v>
      </c>
      <c r="C37" t="s">
        <v>44</v>
      </c>
      <c r="D37" t="s">
        <v>15</v>
      </c>
      <c r="E37">
        <v>25</v>
      </c>
      <c r="F37">
        <v>1</v>
      </c>
      <c r="H37">
        <v>1</v>
      </c>
      <c r="K37">
        <v>4</v>
      </c>
    </row>
    <row r="38" spans="1:11" x14ac:dyDescent="0.3">
      <c r="A38" t="s">
        <v>131</v>
      </c>
      <c r="B38">
        <v>758720</v>
      </c>
      <c r="C38" t="s">
        <v>45</v>
      </c>
      <c r="D38" t="s">
        <v>5</v>
      </c>
      <c r="E38">
        <v>26</v>
      </c>
      <c r="F38">
        <v>1</v>
      </c>
      <c r="H38">
        <v>1</v>
      </c>
      <c r="K38">
        <v>1</v>
      </c>
    </row>
    <row r="39" spans="1:11" x14ac:dyDescent="0.3">
      <c r="A39" t="s">
        <v>132</v>
      </c>
      <c r="B39">
        <v>758721</v>
      </c>
      <c r="C39" t="s">
        <v>45</v>
      </c>
      <c r="D39" t="s">
        <v>5</v>
      </c>
      <c r="E39">
        <v>26</v>
      </c>
      <c r="F39">
        <v>1</v>
      </c>
      <c r="H39">
        <v>1</v>
      </c>
      <c r="K39">
        <v>2</v>
      </c>
    </row>
    <row r="40" spans="1:11" x14ac:dyDescent="0.3">
      <c r="A40" t="s">
        <v>133</v>
      </c>
      <c r="B40">
        <v>758722</v>
      </c>
      <c r="C40" t="s">
        <v>45</v>
      </c>
      <c r="D40" t="s">
        <v>5</v>
      </c>
      <c r="E40">
        <v>26</v>
      </c>
      <c r="F40">
        <v>1</v>
      </c>
      <c r="H40">
        <v>1</v>
      </c>
      <c r="K40">
        <v>3</v>
      </c>
    </row>
    <row r="41" spans="1:11" x14ac:dyDescent="0.3">
      <c r="A41" t="s">
        <v>134</v>
      </c>
      <c r="B41">
        <v>758707</v>
      </c>
      <c r="C41" t="s">
        <v>46</v>
      </c>
      <c r="D41" t="s">
        <v>4</v>
      </c>
      <c r="E41">
        <v>27</v>
      </c>
      <c r="F41">
        <v>1</v>
      </c>
      <c r="H41">
        <v>1</v>
      </c>
      <c r="K41">
        <v>1</v>
      </c>
    </row>
    <row r="42" spans="1:11" x14ac:dyDescent="0.3">
      <c r="A42" t="s">
        <v>135</v>
      </c>
      <c r="B42">
        <v>758708</v>
      </c>
      <c r="C42" t="s">
        <v>46</v>
      </c>
      <c r="D42" t="s">
        <v>4</v>
      </c>
      <c r="E42">
        <v>27</v>
      </c>
      <c r="F42">
        <v>1</v>
      </c>
      <c r="H42">
        <v>1</v>
      </c>
      <c r="K42">
        <v>2</v>
      </c>
    </row>
    <row r="43" spans="1:11" x14ac:dyDescent="0.3">
      <c r="A43" t="s">
        <v>136</v>
      </c>
      <c r="B43">
        <v>758709</v>
      </c>
      <c r="C43" t="s">
        <v>46</v>
      </c>
      <c r="D43" t="s">
        <v>4</v>
      </c>
      <c r="E43">
        <v>27</v>
      </c>
      <c r="F43">
        <v>1</v>
      </c>
      <c r="H43">
        <v>1</v>
      </c>
      <c r="K43">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40C38-D08F-4418-BDAD-3D404DA3F501}">
  <dimension ref="A1:F9"/>
  <sheetViews>
    <sheetView workbookViewId="0">
      <selection activeCell="B23" sqref="B22:B23"/>
    </sheetView>
  </sheetViews>
  <sheetFormatPr defaultRowHeight="14.4" x14ac:dyDescent="0.3"/>
  <cols>
    <col min="1" max="1" width="20.44140625" customWidth="1"/>
    <col min="2" max="2" width="68.5546875" customWidth="1"/>
    <col min="3" max="3" width="6" customWidth="1"/>
    <col min="4" max="4" width="11.6640625" customWidth="1"/>
    <col min="5" max="5" width="34.6640625" customWidth="1"/>
    <col min="6" max="6" width="17.6640625" bestFit="1" customWidth="1"/>
    <col min="8" max="8" width="18.5546875" bestFit="1" customWidth="1"/>
  </cols>
  <sheetData>
    <row r="1" spans="1:6" x14ac:dyDescent="0.3">
      <c r="C1" t="s">
        <v>2</v>
      </c>
      <c r="D1" t="s">
        <v>3</v>
      </c>
    </row>
    <row r="2" spans="1:6" x14ac:dyDescent="0.3">
      <c r="A2" t="s">
        <v>1</v>
      </c>
      <c r="B2" t="s">
        <v>0</v>
      </c>
      <c r="C2">
        <v>1</v>
      </c>
      <c r="D2">
        <v>7</v>
      </c>
      <c r="E2" t="s">
        <v>39</v>
      </c>
      <c r="F2" t="s">
        <v>1</v>
      </c>
    </row>
    <row r="3" spans="1:6" x14ac:dyDescent="0.3">
      <c r="A3" t="s">
        <v>6</v>
      </c>
      <c r="B3" t="s">
        <v>7</v>
      </c>
      <c r="D3">
        <v>2</v>
      </c>
      <c r="E3" t="s">
        <v>40</v>
      </c>
      <c r="F3" t="s">
        <v>6</v>
      </c>
    </row>
    <row r="4" spans="1:6" x14ac:dyDescent="0.3">
      <c r="A4" t="s">
        <v>9</v>
      </c>
      <c r="B4" t="s">
        <v>8</v>
      </c>
      <c r="D4">
        <v>4</v>
      </c>
      <c r="E4" t="s">
        <v>41</v>
      </c>
      <c r="F4" t="s">
        <v>9</v>
      </c>
    </row>
    <row r="5" spans="1:6" x14ac:dyDescent="0.3">
      <c r="A5" t="s">
        <v>11</v>
      </c>
      <c r="B5" t="s">
        <v>10</v>
      </c>
      <c r="D5">
        <v>3</v>
      </c>
      <c r="E5" t="s">
        <v>42</v>
      </c>
      <c r="F5" t="s">
        <v>11</v>
      </c>
    </row>
    <row r="6" spans="1:6" x14ac:dyDescent="0.3">
      <c r="A6" t="s">
        <v>13</v>
      </c>
      <c r="B6" t="s">
        <v>12</v>
      </c>
      <c r="D6">
        <v>4</v>
      </c>
      <c r="E6" t="s">
        <v>43</v>
      </c>
      <c r="F6" t="s">
        <v>13</v>
      </c>
    </row>
    <row r="7" spans="1:6" x14ac:dyDescent="0.3">
      <c r="A7" t="s">
        <v>5</v>
      </c>
      <c r="B7" t="s">
        <v>16</v>
      </c>
      <c r="D7">
        <v>3</v>
      </c>
      <c r="E7" t="s">
        <v>45</v>
      </c>
      <c r="F7" t="s">
        <v>5</v>
      </c>
    </row>
    <row r="8" spans="1:6" x14ac:dyDescent="0.3">
      <c r="A8" t="s">
        <v>4</v>
      </c>
      <c r="B8" t="s">
        <v>22</v>
      </c>
      <c r="D8">
        <v>3</v>
      </c>
      <c r="E8" t="s">
        <v>46</v>
      </c>
      <c r="F8" t="s">
        <v>4</v>
      </c>
    </row>
    <row r="9" spans="1:6" x14ac:dyDescent="0.3">
      <c r="A9" t="s">
        <v>15</v>
      </c>
      <c r="B9" t="s">
        <v>14</v>
      </c>
      <c r="D9">
        <v>4</v>
      </c>
      <c r="E9" t="s">
        <v>44</v>
      </c>
      <c r="F9" t="s">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FCDF-E2EC-4717-88DB-714DC6C8EBD4}">
  <dimension ref="A1:L9"/>
  <sheetViews>
    <sheetView workbookViewId="0">
      <selection activeCell="I2" sqref="I2"/>
    </sheetView>
  </sheetViews>
  <sheetFormatPr defaultRowHeight="14.4" x14ac:dyDescent="0.3"/>
  <cols>
    <col min="1" max="1" width="26.44140625" bestFit="1" customWidth="1"/>
    <col min="2" max="2" width="24.109375" bestFit="1" customWidth="1"/>
    <col min="3" max="3" width="10.109375" bestFit="1" customWidth="1"/>
    <col min="5" max="5" width="12.109375" bestFit="1" customWidth="1"/>
    <col min="6" max="6" width="103.109375" bestFit="1" customWidth="1"/>
    <col min="7" max="7" width="19" bestFit="1" customWidth="1"/>
    <col min="8" max="8" width="29.33203125" bestFit="1" customWidth="1"/>
    <col min="9" max="9" width="18.88671875" customWidth="1"/>
    <col min="10" max="11" width="17.6640625" customWidth="1"/>
    <col min="12" max="12" width="63.88671875" bestFit="1" customWidth="1"/>
  </cols>
  <sheetData>
    <row r="1" spans="1:12" ht="15" thickBot="1" x14ac:dyDescent="0.35">
      <c r="A1" s="2" t="s">
        <v>23</v>
      </c>
      <c r="B1" s="2" t="s">
        <v>24</v>
      </c>
      <c r="C1" s="2" t="s">
        <v>25</v>
      </c>
      <c r="D1" s="2" t="s">
        <v>26</v>
      </c>
      <c r="E1" s="2" t="s">
        <v>27</v>
      </c>
      <c r="F1" s="2" t="s">
        <v>19</v>
      </c>
      <c r="G1" s="2" t="s">
        <v>28</v>
      </c>
      <c r="H1" s="2" t="s">
        <v>29</v>
      </c>
      <c r="I1" s="2" t="s">
        <v>17</v>
      </c>
      <c r="J1" s="2" t="s">
        <v>30</v>
      </c>
      <c r="K1" s="2" t="s">
        <v>31</v>
      </c>
      <c r="L1" s="2" t="s">
        <v>32</v>
      </c>
    </row>
    <row r="2" spans="1:12" x14ac:dyDescent="0.3">
      <c r="A2" t="s">
        <v>38</v>
      </c>
      <c r="B2" t="s">
        <v>34</v>
      </c>
      <c r="C2" s="4" t="s">
        <v>36</v>
      </c>
      <c r="D2">
        <v>2026</v>
      </c>
      <c r="E2" s="3" t="s">
        <v>33</v>
      </c>
      <c r="F2" t="s">
        <v>35</v>
      </c>
      <c r="G2" s="4" t="s">
        <v>37</v>
      </c>
      <c r="H2" t="str">
        <f>_xlfn.CONCAT(A2,"_",J2)</f>
        <v>CU_ARS_2026_WOF_crossing_20</v>
      </c>
      <c r="I2" t="s">
        <v>1</v>
      </c>
      <c r="J2">
        <v>20</v>
      </c>
      <c r="K2">
        <v>1</v>
      </c>
      <c r="L2" t="s">
        <v>0</v>
      </c>
    </row>
    <row r="3" spans="1:12" x14ac:dyDescent="0.3">
      <c r="A3" t="s">
        <v>38</v>
      </c>
      <c r="B3" t="s">
        <v>34</v>
      </c>
      <c r="C3" s="4" t="s">
        <v>36</v>
      </c>
      <c r="D3">
        <v>2026</v>
      </c>
      <c r="E3" s="3" t="s">
        <v>33</v>
      </c>
      <c r="F3" t="s">
        <v>35</v>
      </c>
      <c r="G3" s="4" t="s">
        <v>37</v>
      </c>
      <c r="H3" t="str">
        <f t="shared" ref="H3:H9" si="0">_xlfn.CONCAT(A3,"_",J3)</f>
        <v>CU_ARS_2026_WOF_crossing_21</v>
      </c>
      <c r="I3" t="s">
        <v>6</v>
      </c>
      <c r="J3">
        <v>21</v>
      </c>
      <c r="K3">
        <v>1</v>
      </c>
      <c r="L3" t="s">
        <v>7</v>
      </c>
    </row>
    <row r="4" spans="1:12" x14ac:dyDescent="0.3">
      <c r="A4" t="s">
        <v>38</v>
      </c>
      <c r="B4" t="s">
        <v>34</v>
      </c>
      <c r="C4" s="4" t="s">
        <v>36</v>
      </c>
      <c r="D4">
        <v>2026</v>
      </c>
      <c r="E4" s="3" t="s">
        <v>33</v>
      </c>
      <c r="F4" t="s">
        <v>35</v>
      </c>
      <c r="G4" s="4" t="s">
        <v>37</v>
      </c>
      <c r="H4" t="str">
        <f t="shared" si="0"/>
        <v>CU_ARS_2026_WOF_crossing_22</v>
      </c>
      <c r="I4" t="s">
        <v>9</v>
      </c>
      <c r="J4">
        <v>22</v>
      </c>
      <c r="K4">
        <v>1</v>
      </c>
      <c r="L4" t="s">
        <v>8</v>
      </c>
    </row>
    <row r="5" spans="1:12" x14ac:dyDescent="0.3">
      <c r="A5" t="s">
        <v>38</v>
      </c>
      <c r="B5" t="s">
        <v>34</v>
      </c>
      <c r="C5" s="4" t="s">
        <v>36</v>
      </c>
      <c r="D5">
        <v>2026</v>
      </c>
      <c r="E5" s="3" t="s">
        <v>33</v>
      </c>
      <c r="F5" t="s">
        <v>35</v>
      </c>
      <c r="G5" s="4" t="s">
        <v>37</v>
      </c>
      <c r="H5" t="str">
        <f t="shared" si="0"/>
        <v>CU_ARS_2026_WOF_crossing_23</v>
      </c>
      <c r="I5" t="s">
        <v>11</v>
      </c>
      <c r="J5">
        <v>23</v>
      </c>
      <c r="K5">
        <v>1</v>
      </c>
      <c r="L5" t="s">
        <v>10</v>
      </c>
    </row>
    <row r="6" spans="1:12" x14ac:dyDescent="0.3">
      <c r="A6" t="s">
        <v>38</v>
      </c>
      <c r="B6" t="s">
        <v>34</v>
      </c>
      <c r="C6" s="4" t="s">
        <v>36</v>
      </c>
      <c r="D6">
        <v>2026</v>
      </c>
      <c r="E6" s="3" t="s">
        <v>33</v>
      </c>
      <c r="F6" t="s">
        <v>35</v>
      </c>
      <c r="G6" s="4" t="s">
        <v>37</v>
      </c>
      <c r="H6" t="str">
        <f t="shared" si="0"/>
        <v>CU_ARS_2026_WOF_crossing_24</v>
      </c>
      <c r="I6" t="s">
        <v>13</v>
      </c>
      <c r="J6">
        <v>24</v>
      </c>
      <c r="K6">
        <v>1</v>
      </c>
      <c r="L6" t="s">
        <v>12</v>
      </c>
    </row>
    <row r="7" spans="1:12" x14ac:dyDescent="0.3">
      <c r="A7" t="s">
        <v>38</v>
      </c>
      <c r="B7" t="s">
        <v>34</v>
      </c>
      <c r="C7" s="4" t="s">
        <v>36</v>
      </c>
      <c r="D7">
        <v>2026</v>
      </c>
      <c r="E7" s="3" t="s">
        <v>33</v>
      </c>
      <c r="F7" t="s">
        <v>35</v>
      </c>
      <c r="G7" s="4" t="s">
        <v>37</v>
      </c>
      <c r="H7" t="str">
        <f t="shared" si="0"/>
        <v>CU_ARS_2026_WOF_crossing_25</v>
      </c>
      <c r="I7" t="s">
        <v>15</v>
      </c>
      <c r="J7">
        <v>25</v>
      </c>
      <c r="K7">
        <v>1</v>
      </c>
      <c r="L7" t="s">
        <v>14</v>
      </c>
    </row>
    <row r="8" spans="1:12" x14ac:dyDescent="0.3">
      <c r="A8" t="s">
        <v>38</v>
      </c>
      <c r="B8" t="s">
        <v>34</v>
      </c>
      <c r="C8" s="4" t="s">
        <v>36</v>
      </c>
      <c r="D8">
        <v>2026</v>
      </c>
      <c r="E8" s="3" t="s">
        <v>33</v>
      </c>
      <c r="F8" t="s">
        <v>35</v>
      </c>
      <c r="G8" s="4" t="s">
        <v>37</v>
      </c>
      <c r="H8" t="str">
        <f t="shared" si="0"/>
        <v>CU_ARS_2026_WOF_crossing_26</v>
      </c>
      <c r="I8" t="s">
        <v>5</v>
      </c>
      <c r="J8">
        <v>26</v>
      </c>
      <c r="K8">
        <v>1</v>
      </c>
      <c r="L8" t="s">
        <v>16</v>
      </c>
    </row>
    <row r="9" spans="1:12" x14ac:dyDescent="0.3">
      <c r="A9" t="s">
        <v>38</v>
      </c>
      <c r="B9" t="s">
        <v>34</v>
      </c>
      <c r="C9" s="4" t="s">
        <v>36</v>
      </c>
      <c r="D9">
        <v>2026</v>
      </c>
      <c r="E9" s="3" t="s">
        <v>33</v>
      </c>
      <c r="F9" t="s">
        <v>35</v>
      </c>
      <c r="G9" s="4" t="s">
        <v>37</v>
      </c>
      <c r="H9" t="str">
        <f t="shared" si="0"/>
        <v>CU_ARS_2026_WOF_crossing_27</v>
      </c>
      <c r="I9" t="s">
        <v>4</v>
      </c>
      <c r="J9">
        <v>27</v>
      </c>
      <c r="K9">
        <v>1</v>
      </c>
      <c r="L9"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9D8C-A788-4420-9286-271D383FF2A9}">
  <dimension ref="A1:C2"/>
  <sheetViews>
    <sheetView workbookViewId="0">
      <selection activeCell="C32" sqref="C32"/>
    </sheetView>
  </sheetViews>
  <sheetFormatPr defaultRowHeight="14.4" x14ac:dyDescent="0.3"/>
  <cols>
    <col min="1" max="1" width="17.6640625" bestFit="1" customWidth="1"/>
    <col min="2" max="2" width="14" bestFit="1" customWidth="1"/>
    <col min="3" max="3" width="103.88671875" bestFit="1" customWidth="1"/>
  </cols>
  <sheetData>
    <row r="1" spans="1:3" ht="15" thickBot="1" x14ac:dyDescent="0.35">
      <c r="A1" s="1" t="s">
        <v>17</v>
      </c>
      <c r="B1" s="1" t="s">
        <v>18</v>
      </c>
      <c r="C1" s="1" t="s">
        <v>19</v>
      </c>
    </row>
    <row r="2" spans="1:3" x14ac:dyDescent="0.3">
      <c r="A2" t="s">
        <v>4</v>
      </c>
      <c r="B2" t="s">
        <v>20</v>
      </c>
      <c r="C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seed_set</vt:lpstr>
      <vt:lpstr>crosses_upload</vt:lpstr>
      <vt:lpstr>Sheet1</vt:lpstr>
      <vt:lpstr>cross_target</vt:lpstr>
      <vt:lpstr>plant_count</vt:lpstr>
      <vt:lpstr>template</vt:lpstr>
      <vt:lpstr>crosses</vt:lpstr>
      <vt:lpstr>parents</vt:lpstr>
      <vt:lpstr>seedlots</vt:lpstr>
      <vt:lpstr>T3_trial_upload</vt:lpstr>
      <vt:lpstr>accession</vt:lpstr>
    </vt:vector>
  </TitlesOfParts>
  <Company>Cornell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T. Hyde</dc:creator>
  <cp:lastModifiedBy>Peter T. Hyde</cp:lastModifiedBy>
  <dcterms:created xsi:type="dcterms:W3CDTF">2025-11-25T17:16:32Z</dcterms:created>
  <dcterms:modified xsi:type="dcterms:W3CDTF">2025-12-09T20:30:54Z</dcterms:modified>
</cp:coreProperties>
</file>