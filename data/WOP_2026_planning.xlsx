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h7\Documents\Intercrop JLJ\2026_winter\2026_winter\data\"/>
    </mc:Choice>
  </mc:AlternateContent>
  <xr:revisionPtr revIDLastSave="0" documentId="13_ncr:1_{ADE23EE5-08B0-4D56-89A6-3615AFB75522}" xr6:coauthVersionLast="47" xr6:coauthVersionMax="47" xr10:uidLastSave="{00000000-0000-0000-0000-000000000000}"/>
  <bookViews>
    <workbookView xWindow="585" yWindow="45" windowWidth="31620" windowHeight="20745" xr2:uid="{D40C415E-5EC6-489A-8663-B1D283C6BF70}"/>
  </bookViews>
  <sheets>
    <sheet name="original" sheetId="1" r:id="rId1"/>
    <sheet name="accession_plan" sheetId="10" r:id="rId2"/>
    <sheet name="new seedlots" sheetId="4" r:id="rId3"/>
    <sheet name="accession upload" sheetId="6" r:id="rId4"/>
    <sheet name="pea" sheetId="5" r:id="rId5"/>
    <sheet name="map" sheetId="13" r:id="rId6"/>
    <sheet name="plot_layout" sheetId="15" r:id="rId7"/>
    <sheet name="Guard " sheetId="14" r:id="rId8"/>
    <sheet name="Sheet8" sheetId="9" r:id="rId9"/>
    <sheet name="Sheet1" sheetId="11" r:id="rId10"/>
    <sheet name="Sheet7" sheetId="8" r:id="rId11"/>
  </sheets>
  <definedNames>
    <definedName name="_xlnm.Print_Area" localSheetId="7">'Guard '!$A$1:$D$41</definedName>
    <definedName name="_xlnm.Print_Area" localSheetId="5">map!$A$1:$W$29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9" i="15" l="1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U17" i="15"/>
  <c r="T17" i="15"/>
  <c r="S17" i="15"/>
  <c r="R17" i="15"/>
  <c r="Q17" i="15"/>
  <c r="P17" i="15"/>
  <c r="O17" i="15"/>
  <c r="N17" i="15"/>
  <c r="N15" i="15" s="1"/>
  <c r="N13" i="15" s="1"/>
  <c r="N11" i="15" s="1"/>
  <c r="N9" i="15" s="1"/>
  <c r="N7" i="15" s="1"/>
  <c r="N5" i="15" s="1"/>
  <c r="N3" i="15" s="1"/>
  <c r="M17" i="15"/>
  <c r="L17" i="15"/>
  <c r="K17" i="15"/>
  <c r="J17" i="15"/>
  <c r="I17" i="15"/>
  <c r="H17" i="15"/>
  <c r="G17" i="15"/>
  <c r="F17" i="15"/>
  <c r="F15" i="15" s="1"/>
  <c r="F13" i="15" s="1"/>
  <c r="F11" i="15" s="1"/>
  <c r="F9" i="15" s="1"/>
  <c r="F7" i="15" s="1"/>
  <c r="F5" i="15" s="1"/>
  <c r="F3" i="15" s="1"/>
  <c r="E17" i="15"/>
  <c r="D17" i="15"/>
  <c r="C17" i="15"/>
  <c r="B17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U15" i="15"/>
  <c r="T15" i="15"/>
  <c r="S15" i="15"/>
  <c r="R15" i="15"/>
  <c r="Q15" i="15"/>
  <c r="P15" i="15"/>
  <c r="O15" i="15"/>
  <c r="M15" i="15"/>
  <c r="L15" i="15"/>
  <c r="K15" i="15"/>
  <c r="J15" i="15"/>
  <c r="I15" i="15"/>
  <c r="H15" i="15"/>
  <c r="G15" i="15"/>
  <c r="E15" i="15"/>
  <c r="D15" i="15"/>
  <c r="C15" i="15"/>
  <c r="B15" i="15"/>
  <c r="U14" i="15"/>
  <c r="T14" i="15"/>
  <c r="S14" i="15"/>
  <c r="R14" i="15"/>
  <c r="R12" i="15" s="1"/>
  <c r="R10" i="15" s="1"/>
  <c r="R8" i="15" s="1"/>
  <c r="R6" i="15" s="1"/>
  <c r="R4" i="15" s="1"/>
  <c r="R2" i="15" s="1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U13" i="15"/>
  <c r="T13" i="15"/>
  <c r="S13" i="15"/>
  <c r="R13" i="15"/>
  <c r="Q13" i="15"/>
  <c r="P13" i="15"/>
  <c r="O13" i="15"/>
  <c r="M13" i="15"/>
  <c r="L13" i="15"/>
  <c r="K13" i="15"/>
  <c r="J13" i="15"/>
  <c r="I13" i="15"/>
  <c r="H13" i="15"/>
  <c r="G13" i="15"/>
  <c r="E13" i="15"/>
  <c r="D13" i="15"/>
  <c r="C13" i="15"/>
  <c r="B13" i="15"/>
  <c r="U12" i="15"/>
  <c r="T12" i="15"/>
  <c r="S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U11" i="15"/>
  <c r="T11" i="15"/>
  <c r="S11" i="15"/>
  <c r="R11" i="15"/>
  <c r="Q11" i="15"/>
  <c r="P11" i="15"/>
  <c r="O11" i="15"/>
  <c r="M11" i="15"/>
  <c r="L11" i="15"/>
  <c r="K11" i="15"/>
  <c r="J11" i="15"/>
  <c r="I11" i="15"/>
  <c r="H11" i="15"/>
  <c r="G11" i="15"/>
  <c r="E11" i="15"/>
  <c r="D11" i="15"/>
  <c r="C11" i="15"/>
  <c r="B11" i="15"/>
  <c r="U10" i="15"/>
  <c r="T10" i="15"/>
  <c r="S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U9" i="15"/>
  <c r="T9" i="15"/>
  <c r="S9" i="15"/>
  <c r="R9" i="15"/>
  <c r="Q9" i="15"/>
  <c r="P9" i="15"/>
  <c r="O9" i="15"/>
  <c r="M9" i="15"/>
  <c r="L9" i="15"/>
  <c r="K9" i="15"/>
  <c r="J9" i="15"/>
  <c r="I9" i="15"/>
  <c r="H9" i="15"/>
  <c r="G9" i="15"/>
  <c r="E9" i="15"/>
  <c r="D9" i="15"/>
  <c r="C9" i="15"/>
  <c r="B9" i="15"/>
  <c r="U8" i="15"/>
  <c r="T8" i="15"/>
  <c r="S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B6" i="15" s="1"/>
  <c r="B4" i="15" s="1"/>
  <c r="B2" i="15" s="1"/>
  <c r="U7" i="15"/>
  <c r="T7" i="15"/>
  <c r="S7" i="15"/>
  <c r="R7" i="15"/>
  <c r="Q7" i="15"/>
  <c r="P7" i="15"/>
  <c r="O7" i="15"/>
  <c r="M7" i="15"/>
  <c r="L7" i="15"/>
  <c r="K7" i="15"/>
  <c r="J7" i="15"/>
  <c r="I7" i="15"/>
  <c r="H7" i="15"/>
  <c r="G7" i="15"/>
  <c r="E7" i="15"/>
  <c r="D7" i="15"/>
  <c r="C7" i="15"/>
  <c r="B7" i="15"/>
  <c r="U6" i="15"/>
  <c r="T6" i="15"/>
  <c r="S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U5" i="15"/>
  <c r="T5" i="15"/>
  <c r="S5" i="15"/>
  <c r="R5" i="15"/>
  <c r="Q5" i="15"/>
  <c r="P5" i="15"/>
  <c r="O5" i="15"/>
  <c r="M5" i="15"/>
  <c r="L5" i="15"/>
  <c r="K5" i="15"/>
  <c r="J5" i="15"/>
  <c r="I5" i="15"/>
  <c r="H5" i="15"/>
  <c r="G5" i="15"/>
  <c r="E5" i="15"/>
  <c r="D5" i="15"/>
  <c r="C5" i="15"/>
  <c r="B5" i="15"/>
  <c r="U4" i="15"/>
  <c r="T4" i="15"/>
  <c r="S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U3" i="15"/>
  <c r="T3" i="15"/>
  <c r="S3" i="15"/>
  <c r="R3" i="15"/>
  <c r="Q3" i="15"/>
  <c r="P3" i="15"/>
  <c r="O3" i="15"/>
  <c r="M3" i="15"/>
  <c r="L3" i="15"/>
  <c r="K3" i="15"/>
  <c r="J3" i="15"/>
  <c r="I3" i="15"/>
  <c r="H3" i="15"/>
  <c r="G3" i="15"/>
  <c r="E3" i="15"/>
  <c r="D3" i="15"/>
  <c r="C3" i="15"/>
  <c r="B3" i="15"/>
  <c r="U2" i="15"/>
  <c r="T2" i="15"/>
  <c r="S2" i="15"/>
  <c r="Q2" i="15"/>
  <c r="P2" i="15"/>
  <c r="O2" i="15"/>
  <c r="N2" i="15"/>
  <c r="M2" i="15"/>
  <c r="L2" i="15"/>
  <c r="K2" i="15"/>
  <c r="J2" i="15"/>
  <c r="I2" i="15"/>
  <c r="H2" i="15"/>
  <c r="G2" i="15"/>
  <c r="F2" i="15"/>
  <c r="E2" i="15"/>
  <c r="D2" i="15"/>
  <c r="C2" i="15"/>
  <c r="Q3" i="5"/>
  <c r="E3" i="5"/>
  <c r="L3" i="5"/>
  <c r="K3" i="5"/>
  <c r="F3" i="5"/>
  <c r="M3" i="5" s="1"/>
  <c r="O3" i="5" s="1"/>
  <c r="U7" i="13"/>
  <c r="T7" i="13"/>
  <c r="S7" i="13"/>
  <c r="R7" i="13"/>
  <c r="Q7" i="13"/>
  <c r="P7" i="13"/>
  <c r="O7" i="13"/>
  <c r="N7" i="13"/>
  <c r="M7" i="13"/>
  <c r="L7" i="13"/>
  <c r="K7" i="13"/>
  <c r="J7" i="13"/>
  <c r="I7" i="13"/>
  <c r="H7" i="13"/>
  <c r="G7" i="13"/>
  <c r="F7" i="13"/>
  <c r="E7" i="13"/>
  <c r="D7" i="13"/>
  <c r="C7" i="13"/>
  <c r="B7" i="13"/>
  <c r="U6" i="13"/>
  <c r="T6" i="13"/>
  <c r="S6" i="13"/>
  <c r="R6" i="13"/>
  <c r="Q6" i="13"/>
  <c r="P6" i="13"/>
  <c r="O6" i="13"/>
  <c r="N6" i="13"/>
  <c r="M6" i="13"/>
  <c r="L6" i="13"/>
  <c r="K6" i="13"/>
  <c r="J6" i="13"/>
  <c r="I6" i="13"/>
  <c r="H6" i="13"/>
  <c r="G6" i="13"/>
  <c r="F6" i="13"/>
  <c r="E6" i="13"/>
  <c r="D6" i="13"/>
  <c r="C6" i="13"/>
  <c r="B6" i="13"/>
  <c r="U9" i="13"/>
  <c r="T9" i="13"/>
  <c r="S9" i="13"/>
  <c r="R9" i="13"/>
  <c r="Q9" i="13"/>
  <c r="P9" i="13"/>
  <c r="O9" i="13"/>
  <c r="N9" i="13"/>
  <c r="M9" i="13"/>
  <c r="L9" i="13"/>
  <c r="K9" i="13"/>
  <c r="J9" i="13"/>
  <c r="I9" i="13"/>
  <c r="H9" i="13"/>
  <c r="G9" i="13"/>
  <c r="F9" i="13"/>
  <c r="E9" i="13"/>
  <c r="D9" i="13"/>
  <c r="C9" i="13"/>
  <c r="B9" i="13"/>
  <c r="U8" i="13"/>
  <c r="T8" i="13"/>
  <c r="S8" i="13"/>
  <c r="R8" i="13"/>
  <c r="Q8" i="13"/>
  <c r="P8" i="13"/>
  <c r="O8" i="13"/>
  <c r="N8" i="13"/>
  <c r="M8" i="13"/>
  <c r="L8" i="13"/>
  <c r="K8" i="13"/>
  <c r="J8" i="13"/>
  <c r="I8" i="13"/>
  <c r="H8" i="13"/>
  <c r="G8" i="13"/>
  <c r="F8" i="13"/>
  <c r="E8" i="13"/>
  <c r="D8" i="13"/>
  <c r="C8" i="13"/>
  <c r="B8" i="13"/>
  <c r="U11" i="13"/>
  <c r="T11" i="13"/>
  <c r="S11" i="13"/>
  <c r="R11" i="13"/>
  <c r="Q11" i="13"/>
  <c r="P11" i="13"/>
  <c r="O11" i="13"/>
  <c r="N11" i="13"/>
  <c r="M11" i="13"/>
  <c r="L11" i="13"/>
  <c r="K11" i="13"/>
  <c r="J11" i="13"/>
  <c r="I11" i="13"/>
  <c r="H11" i="13"/>
  <c r="G11" i="13"/>
  <c r="F11" i="13"/>
  <c r="E11" i="13"/>
  <c r="D11" i="13"/>
  <c r="C11" i="13"/>
  <c r="B11" i="13"/>
  <c r="U10" i="13"/>
  <c r="T10" i="13"/>
  <c r="S10" i="13"/>
  <c r="R10" i="13"/>
  <c r="Q10" i="13"/>
  <c r="P10" i="13"/>
  <c r="O10" i="13"/>
  <c r="N10" i="13"/>
  <c r="M10" i="13"/>
  <c r="L10" i="13"/>
  <c r="K10" i="13"/>
  <c r="J10" i="13"/>
  <c r="I10" i="13"/>
  <c r="H10" i="13"/>
  <c r="G10" i="13"/>
  <c r="F10" i="13"/>
  <c r="E10" i="13"/>
  <c r="D10" i="13"/>
  <c r="C10" i="13"/>
  <c r="B10" i="13"/>
  <c r="U13" i="13"/>
  <c r="T13" i="13"/>
  <c r="S13" i="13"/>
  <c r="R13" i="13"/>
  <c r="Q13" i="13"/>
  <c r="P13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C13" i="13"/>
  <c r="B13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H12" i="13"/>
  <c r="G12" i="13"/>
  <c r="F12" i="13"/>
  <c r="E12" i="13"/>
  <c r="D12" i="13"/>
  <c r="C12" i="13"/>
  <c r="B12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G15" i="13"/>
  <c r="F15" i="13"/>
  <c r="E15" i="13"/>
  <c r="D15" i="13"/>
  <c r="C15" i="13"/>
  <c r="B15" i="13"/>
  <c r="U14" i="13"/>
  <c r="T14" i="13"/>
  <c r="S14" i="13"/>
  <c r="R14" i="13"/>
  <c r="Q14" i="13"/>
  <c r="P14" i="13"/>
  <c r="O14" i="13"/>
  <c r="N14" i="13"/>
  <c r="M14" i="13"/>
  <c r="L14" i="13"/>
  <c r="K14" i="13"/>
  <c r="J14" i="13"/>
  <c r="I14" i="13"/>
  <c r="H14" i="13"/>
  <c r="G14" i="13"/>
  <c r="F14" i="13"/>
  <c r="E14" i="13"/>
  <c r="D14" i="13"/>
  <c r="C14" i="13"/>
  <c r="B14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B17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B19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B18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B21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B20" i="13"/>
  <c r="B22" i="13"/>
  <c r="C22" i="13"/>
  <c r="D22" i="13"/>
  <c r="E22" i="13"/>
  <c r="F22" i="13"/>
  <c r="G22" i="13"/>
  <c r="H22" i="13"/>
  <c r="I22" i="13"/>
  <c r="J22" i="13"/>
  <c r="K22" i="13"/>
  <c r="L22" i="13"/>
  <c r="M22" i="13"/>
  <c r="N22" i="13"/>
  <c r="O22" i="13"/>
  <c r="P22" i="13"/>
  <c r="Q22" i="13"/>
  <c r="R22" i="13"/>
  <c r="S22" i="13"/>
  <c r="T22" i="13"/>
  <c r="U22" i="13"/>
  <c r="C23" i="13"/>
  <c r="D23" i="13"/>
  <c r="E23" i="13"/>
  <c r="F23" i="13"/>
  <c r="G23" i="13"/>
  <c r="H23" i="13"/>
  <c r="I23" i="13"/>
  <c r="J23" i="13"/>
  <c r="K23" i="13"/>
  <c r="L23" i="13"/>
  <c r="M23" i="13"/>
  <c r="N23" i="13"/>
  <c r="O23" i="13"/>
  <c r="P23" i="13"/>
  <c r="Q23" i="13"/>
  <c r="R23" i="13"/>
  <c r="S23" i="13"/>
  <c r="T23" i="13"/>
  <c r="U23" i="13"/>
  <c r="B23" i="13"/>
  <c r="I3" i="10" l="1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2" i="10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2" i="8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24" i="5"/>
  <c r="L2" i="5"/>
  <c r="P2" i="5"/>
  <c r="Q2" i="5" s="1"/>
  <c r="E2" i="5"/>
  <c r="F2" i="5" s="1"/>
  <c r="K2" i="5"/>
  <c r="M2" i="5" l="1"/>
  <c r="O2" i="5" s="1"/>
</calcChain>
</file>

<file path=xl/sharedStrings.xml><?xml version="1.0" encoding="utf-8"?>
<sst xmlns="http://schemas.openxmlformats.org/spreadsheetml/2006/main" count="1744" uniqueCount="444">
  <si>
    <t>OZARK|POGI</t>
  </si>
  <si>
    <t>NC14-1820</t>
  </si>
  <si>
    <t>NC14-1989</t>
  </si>
  <si>
    <t>NC14-1554</t>
  </si>
  <si>
    <t>LA05011GSBSBSB-11</t>
  </si>
  <si>
    <t>NC12-3578</t>
  </si>
  <si>
    <t>NC14-1985</t>
  </si>
  <si>
    <t>NC14-1543</t>
  </si>
  <si>
    <t>NC14-1965</t>
  </si>
  <si>
    <t>NC14-1619</t>
  </si>
  <si>
    <t>LA99017</t>
  </si>
  <si>
    <t>seed g</t>
  </si>
  <si>
    <t>Accession</t>
  </si>
  <si>
    <t>source trial</t>
  </si>
  <si>
    <t>LA99016</t>
  </si>
  <si>
    <t>Juggernaut</t>
  </si>
  <si>
    <t>Savage</t>
  </si>
  <si>
    <t>TX19CAS0057</t>
  </si>
  <si>
    <t>TX18OCS9061</t>
  </si>
  <si>
    <t>TX18OCS9028</t>
  </si>
  <si>
    <t>TX21CAS2064</t>
  </si>
  <si>
    <t>TX20CAS1071</t>
  </si>
  <si>
    <t>FL17539-25</t>
  </si>
  <si>
    <t>FL17539-27</t>
  </si>
  <si>
    <t>FL17542-21</t>
  </si>
  <si>
    <t>FL17556-1</t>
  </si>
  <si>
    <t>FL16504-35</t>
  </si>
  <si>
    <t>FL16507-28</t>
  </si>
  <si>
    <t>FL16531-59</t>
  </si>
  <si>
    <t>LA18034SSB-7-1</t>
  </si>
  <si>
    <t>LA18155SSB-20-2</t>
  </si>
  <si>
    <t>LA20050SBSB-1-1</t>
  </si>
  <si>
    <t>LA20053SBSB-27-2</t>
  </si>
  <si>
    <t>LA20053SBSB-27-1</t>
  </si>
  <si>
    <t>SCLA17030SBSS-57-1</t>
  </si>
  <si>
    <t>SCLA17110SBSS-16-1</t>
  </si>
  <si>
    <t>SCLA18059SSB-33-2</t>
  </si>
  <si>
    <t>SCLA18073SSB-36-1</t>
  </si>
  <si>
    <t>SCLA18110SSB-44-2</t>
  </si>
  <si>
    <t>Lauren / NCSU</t>
  </si>
  <si>
    <t xml:space="preserve">Keystone 1 </t>
  </si>
  <si>
    <t>Keystone 2</t>
  </si>
  <si>
    <t>Keystone 3</t>
  </si>
  <si>
    <t>WOP 2024 best 4</t>
  </si>
  <si>
    <t>plots</t>
  </si>
  <si>
    <t>NC09-4274N</t>
  </si>
  <si>
    <t>NC09-4503N</t>
  </si>
  <si>
    <t>NC18-5877N</t>
  </si>
  <si>
    <t>NC21-6357N</t>
  </si>
  <si>
    <t>NC21-6359N</t>
  </si>
  <si>
    <t>seed_lot</t>
  </si>
  <si>
    <t>probably on Mirza selection</t>
  </si>
  <si>
    <t>NC21-6492</t>
  </si>
  <si>
    <t>NF12AS-73-4_3</t>
  </si>
  <si>
    <t>NF13-4214-4_5</t>
  </si>
  <si>
    <t>PA7617-3658</t>
  </si>
  <si>
    <t>PA7617-3460</t>
  </si>
  <si>
    <t>NF13-4214-4_1</t>
  </si>
  <si>
    <t>NF13-4157-4_2</t>
  </si>
  <si>
    <t>NC20-4452</t>
  </si>
  <si>
    <t>NC21-6610</t>
  </si>
  <si>
    <t>NF99414</t>
  </si>
  <si>
    <t>NF13-4083-4_6</t>
  </si>
  <si>
    <t>AURORA</t>
  </si>
  <si>
    <t>GERARD224</t>
  </si>
  <si>
    <t>NC21-6497</t>
  </si>
  <si>
    <t>Horizon 578</t>
  </si>
  <si>
    <t>NC20-4551</t>
  </si>
  <si>
    <t>NF12AS-107-4_2-1</t>
  </si>
  <si>
    <t>NC20-4702</t>
  </si>
  <si>
    <t>NC20-4526</t>
  </si>
  <si>
    <t>NF13-4124-4_3</t>
  </si>
  <si>
    <t>NF502_5</t>
  </si>
  <si>
    <t>Gerard 227</t>
  </si>
  <si>
    <t>NF18</t>
  </si>
  <si>
    <t>SCLA17031SBSS-4-1</t>
  </si>
  <si>
    <t>NF13-4153-4_2</t>
  </si>
  <si>
    <t>NF12AS-108-4_4</t>
  </si>
  <si>
    <t>NF12AS-108-4_1</t>
  </si>
  <si>
    <t>NF401_1</t>
  </si>
  <si>
    <t>NC21-6576</t>
  </si>
  <si>
    <t>NF13-4126-4_3</t>
  </si>
  <si>
    <t>NC21-6609</t>
  </si>
  <si>
    <t>NF12AS-100-4_2</t>
  </si>
  <si>
    <t>NF13-4173-4_4</t>
  </si>
  <si>
    <t>NF13-4124-4_8</t>
  </si>
  <si>
    <t>NC21-6429</t>
  </si>
  <si>
    <t>NF05424_2</t>
  </si>
  <si>
    <t>NF99401_1-1</t>
  </si>
  <si>
    <t>NF97405B2</t>
  </si>
  <si>
    <t>NORA</t>
  </si>
  <si>
    <t>Pea Mono 1</t>
  </si>
  <si>
    <t>Biomass</t>
  </si>
  <si>
    <t>NC21-6475</t>
  </si>
  <si>
    <t>OKAY</t>
  </si>
  <si>
    <t>HARRISON</t>
  </si>
  <si>
    <t>NF99414-1</t>
  </si>
  <si>
    <t>SCLA17080SBS-4-2</t>
  </si>
  <si>
    <t>NC20-4700</t>
  </si>
  <si>
    <t>FLLA17088-77</t>
  </si>
  <si>
    <t>FLLA11019-8</t>
  </si>
  <si>
    <t>LA17069SBSS-2-1</t>
  </si>
  <si>
    <t>NC19-3542</t>
  </si>
  <si>
    <t>NF12AS-107-4_4</t>
  </si>
  <si>
    <t>TX18OCS9104</t>
  </si>
  <si>
    <t>NF13-4173-4_5</t>
  </si>
  <si>
    <t>NC20-4402</t>
  </si>
  <si>
    <t>LA17129SBSS-8-1</t>
  </si>
  <si>
    <t>TX18OCS9125</t>
  </si>
  <si>
    <t>FLLA17088-61</t>
  </si>
  <si>
    <t>NC17-6440</t>
  </si>
  <si>
    <t>NF01404A</t>
  </si>
  <si>
    <t>HORIZON201</t>
  </si>
  <si>
    <t>LA17153SBSS-46-1</t>
  </si>
  <si>
    <t>NC21-6511</t>
  </si>
  <si>
    <t>M-311-CU_2025_Ithaca_WOF_HR_bulk</t>
  </si>
  <si>
    <t>PA8014-840-CU_2025_Ithaca_WOF_HR_bulk</t>
  </si>
  <si>
    <t>WINTOK-CU_2025_Ithaca_WOF_HR_bulk</t>
  </si>
  <si>
    <t>M-311</t>
  </si>
  <si>
    <t>PA8014-840</t>
  </si>
  <si>
    <t>WINTOK</t>
  </si>
  <si>
    <t>CU_2025_Ithaca_WOF_HR</t>
  </si>
  <si>
    <t>CU SOAP HR 2025</t>
  </si>
  <si>
    <t>NC14-1533</t>
  </si>
  <si>
    <t>seedlot_name</t>
  </si>
  <si>
    <t>accession_name</t>
  </si>
  <si>
    <t>operator_name</t>
  </si>
  <si>
    <t>amount</t>
  </si>
  <si>
    <t>weight_gram</t>
  </si>
  <si>
    <t>description</t>
  </si>
  <si>
    <t>box_name</t>
  </si>
  <si>
    <t>quality</t>
  </si>
  <si>
    <t>source</t>
  </si>
  <si>
    <t>LA06059SB-4-S1 / NC09-4503N</t>
  </si>
  <si>
    <t>Sourced from LEX25_Nuda_AT_1204</t>
  </si>
  <si>
    <t>Sourced from LEX25_Nuda_AT_1201</t>
  </si>
  <si>
    <t>Sourced from LEX25_Nuda_AT_1205</t>
  </si>
  <si>
    <t>Sourced from LEX25_Nuda_AT_1202</t>
  </si>
  <si>
    <t>Sourced from LEX25_Nuda_AT_1203</t>
  </si>
  <si>
    <t>Hyde</t>
  </si>
  <si>
    <t>pea_source</t>
  </si>
  <si>
    <t>peaName</t>
  </si>
  <si>
    <t>entryNumber</t>
  </si>
  <si>
    <t>peaAcc</t>
  </si>
  <si>
    <t>100_weight_g</t>
  </si>
  <si>
    <t>seed_weight</t>
  </si>
  <si>
    <t>germination_20</t>
  </si>
  <si>
    <t>seed_per_sqft</t>
  </si>
  <si>
    <t>location</t>
  </si>
  <si>
    <t>planted_plot_size_sqft</t>
  </si>
  <si>
    <t>PLS_per_sqft</t>
  </si>
  <si>
    <t>seed_per_plot</t>
  </si>
  <si>
    <t>pea_grams_per_plot</t>
  </si>
  <si>
    <t>g_per_bag</t>
  </si>
  <si>
    <t>bags</t>
  </si>
  <si>
    <t>2024_A_14</t>
  </si>
  <si>
    <t>Blaze</t>
  </si>
  <si>
    <t>NY</t>
  </si>
  <si>
    <t>main</t>
  </si>
  <si>
    <t>biomass</t>
  </si>
  <si>
    <t>mono pea</t>
  </si>
  <si>
    <t>pea</t>
  </si>
  <si>
    <t>grams</t>
  </si>
  <si>
    <t>T3_label</t>
  </si>
  <si>
    <t>2026 UWON</t>
  </si>
  <si>
    <t>Sourced from 2026 UWON</t>
  </si>
  <si>
    <t>2026 winter hull-less</t>
  </si>
  <si>
    <t>species_name</t>
  </si>
  <si>
    <t>purdy pedigree</t>
  </si>
  <si>
    <t>Avena sativa</t>
  </si>
  <si>
    <t>hull-less oat</t>
  </si>
  <si>
    <t>NC09-4274N_LEX25-Nuda-AT_Plot_1204</t>
  </si>
  <si>
    <t>NC09-4503N_LEX25_Nuda_AT_Plot_1201</t>
  </si>
  <si>
    <t>NC18-5877N_LEX25_Nuda_AT_Plot_1205</t>
  </si>
  <si>
    <t>NC21-6357N_LEX25_Nuda_AT_Plot_1202</t>
  </si>
  <si>
    <t>NC21-6359N_LEX25_Nuda_AT_Plot_1203</t>
  </si>
  <si>
    <t>LA99016_2026_UWON_Entry_01</t>
  </si>
  <si>
    <t>Juggernaut_2026_UWON_Entry_02</t>
  </si>
  <si>
    <t>Savage_2026_UWON_Entry_03</t>
  </si>
  <si>
    <t>FLLA11019-8_2026_UWON_Entry_04</t>
  </si>
  <si>
    <t>TX19CAS0057_2026_UWON_Entry_06</t>
  </si>
  <si>
    <t>TX18OCS9061_2026_UWON_Entry_07</t>
  </si>
  <si>
    <t>TX18OCS9028_2026_UWON_Entry_08</t>
  </si>
  <si>
    <t>TX21CAS2064_2026_UWON_Entry_09</t>
  </si>
  <si>
    <t>TX20CAS1071_2026_UWON_Entry_10</t>
  </si>
  <si>
    <t>FL17539-25_2026_UWON_Entry_11</t>
  </si>
  <si>
    <t>FL17539-27_2026_UWON_Entry_12</t>
  </si>
  <si>
    <t>FL17542-21_2026_UWON_Entry_13</t>
  </si>
  <si>
    <t>FL17556-1_2026_UWON_Entry_14</t>
  </si>
  <si>
    <t>FL16504-35_2026_UWON_Entry_15</t>
  </si>
  <si>
    <t>FL16507-28_2026_UWON_Entry_16</t>
  </si>
  <si>
    <t>FL16531-59_2026_UWON_Entry_17</t>
  </si>
  <si>
    <t>LA18034SSB-7-1_2026_UWON_Entry_18</t>
  </si>
  <si>
    <t>LA18155SSB-20-2_2026_UWON_Entry_19</t>
  </si>
  <si>
    <t>LA20050SBSB-1-1_2026_UWON_Entry_20</t>
  </si>
  <si>
    <t>LA20053SBSB-27-2_2026_UWON_Entry_21</t>
  </si>
  <si>
    <t>LA20053SBSB-27-1_2026_UWON_Entry_22</t>
  </si>
  <si>
    <t>SCLA17030SBSS-57-1_2026_UWON_Entry_23</t>
  </si>
  <si>
    <t>SCLA17110SBSS-16-1_2026_UWON_Entry_24</t>
  </si>
  <si>
    <t>SCLA18059SSB-33-2_2026_UWON_Entry_25</t>
  </si>
  <si>
    <t>SCLA18073SSB-36-1_2026_UWON_Entry_26</t>
  </si>
  <si>
    <t>SCLA18110SSB-44-2_2026_UWON_Entry_27</t>
  </si>
  <si>
    <t>Horizon578_2026_UWON_Entry_05</t>
  </si>
  <si>
    <t>LA09030SBS-U3-AB1/TX09CS070</t>
  </si>
  <si>
    <t>TX16OCS7011/LA12006SBSBSB-46</t>
  </si>
  <si>
    <t>TX09CS031/LA09015SBS-U1</t>
  </si>
  <si>
    <t>TX09CS049/LA08084BS-T2</t>
  </si>
  <si>
    <t>LA10001SSBS-20/NC12-3447</t>
  </si>
  <si>
    <t>LA09044SBS-U1/TX10CAS579</t>
  </si>
  <si>
    <t>HORIZON 306/LA08084SBSBS-15</t>
  </si>
  <si>
    <t>LA08017SBSBS-20/NC12-3963</t>
  </si>
  <si>
    <t>FL1035-2 /  LA10061SSBSBSB-23-1</t>
  </si>
  <si>
    <t>TX15OCS6142 /  LA10001SSBS-20</t>
  </si>
  <si>
    <t>LA14086SBSBS80-3 / FL1035BSBSB-15-1</t>
  </si>
  <si>
    <t>LA14086SBSBS80-3 / LA14086SBSBS80-5-1</t>
  </si>
  <si>
    <t>HZN 306  / LA16044,F1 (HZN 306  / FL0720-R6)</t>
  </si>
  <si>
    <t>LA99016 / LA09015SBS-U1</t>
  </si>
  <si>
    <t>LA09015SBS-U4/ LA10041SSBS-80</t>
  </si>
  <si>
    <t>LA10041SSBS-80/ LA10044SSBS-1</t>
  </si>
  <si>
    <t>LA17058F1(LA09015SBS-U1 / LA10041SSBS-80)/LA17092F1(LA10041SSBS-80 / NC12-3447)</t>
  </si>
  <si>
    <t>UWON_2026</t>
  </si>
  <si>
    <t>Seedlot_Name</t>
  </si>
  <si>
    <t>Content_Name</t>
  </si>
  <si>
    <t>Current_Weight</t>
  </si>
  <si>
    <t>AURORA-Cornell_WinterOatPeaIntercrop_2024_Ithaca-PLOT_24</t>
  </si>
  <si>
    <t>accession</t>
  </si>
  <si>
    <t>Clav 4476-Cornell_WinterOatPeaIntercrop_2024_Ithaca-PLOT_240</t>
  </si>
  <si>
    <t>Clav 4476</t>
  </si>
  <si>
    <t>Clav 6982-Cornell_WinterOatPeaIntercrop_2024_Ithaca-PLOT_235</t>
  </si>
  <si>
    <t>Clav 6982</t>
  </si>
  <si>
    <t>Clav 7618-Cornell_WinterOatPeaIntercrop_2024_Ithaca-PLOT_123</t>
  </si>
  <si>
    <t>Clav 7618</t>
  </si>
  <si>
    <t>FLLA11019-8-Cornell_WinterOatPeaIntercrop_2024_Ithaca-PLOT_356</t>
  </si>
  <si>
    <t>FLLA16083-25-Cornell_WinterOatPeaIntercrop_2024_Ithaca-PLOT_351</t>
  </si>
  <si>
    <t>FLLA16083-25</t>
  </si>
  <si>
    <t>FLLA17069-52-Cornell_WinterOatPeaIntercrop_2024_Ithaca-PLOT_30</t>
  </si>
  <si>
    <t>FLLA17069-52</t>
  </si>
  <si>
    <t>FLLA17069-53-Cornell_WinterOatPeaIntercrop_2024_Ithaca-PLOT_34</t>
  </si>
  <si>
    <t>FLLA17069-53</t>
  </si>
  <si>
    <t>FLLA17069-54-Cornell_WinterOatPeaIntercrop_2024_Ithaca-PLOT_102</t>
  </si>
  <si>
    <t>FLLA17069-54</t>
  </si>
  <si>
    <t>FLLA17069-65-Cornell_WinterOatPeaIntercrop_2024_Ithaca-PLOT_113</t>
  </si>
  <si>
    <t>FLLA17069-65</t>
  </si>
  <si>
    <t>FLLA17088-61-Cornell_WinterOatPeaIntercrop_2024_Ithaca-PLOT_339</t>
  </si>
  <si>
    <t>FLLA17088-77-Cornell_WinterOatPeaIntercrop_2024_Ithaca-PLOT_48</t>
  </si>
  <si>
    <t>GERARD224-Cornell_WinterOatPeaIntercrop_2024_Ithaca-PLOT_218</t>
  </si>
  <si>
    <t>Gerard 227-Cornell_WinterOatPeaIntercrop_2024_Ithaca-PLOT_250</t>
  </si>
  <si>
    <t>HARRISON-Cornell_WinterOatPeaIntercrop_2024_Ithaca-PLOT_56</t>
  </si>
  <si>
    <t>HORIZON201-Cornell_WinterOatPeaIntercrop_2024_Ithaca-PLOT_199</t>
  </si>
  <si>
    <t>Horizon 578-Cornell_WinterOatPeaIntercrop_2024_Ithaca-PLOT_282</t>
  </si>
  <si>
    <t>Juggernaut-Cornell_WinterOatPeaIntercrop_2024_Ithaca-PLOT_327</t>
  </si>
  <si>
    <t>LA08039SBSBS-56-A1-Cornell_WinterOatPeaIntercrop_2024_Ithaca-PLOT_207</t>
  </si>
  <si>
    <t>LA08039SBSBS-56-A1</t>
  </si>
  <si>
    <t>LA15015SB-S50-Cornell_WinterOatPeaIntercrop_2024_Ithaca-PLOT_89</t>
  </si>
  <si>
    <t>LA15015SB-S50</t>
  </si>
  <si>
    <t>LA17069SBSS-2-1-Cornell_WinterOatPeaIntercrop_2024_Ithaca-PLOT_244</t>
  </si>
  <si>
    <t>LA17075SBSS-29-1-Cornell_WinterOatPeaIntercrop_2024_Ithaca-PLOT_294</t>
  </si>
  <si>
    <t>LA17075SBSS-29-1</t>
  </si>
  <si>
    <t>LA17089SBS-45-1-1-Cornell_WinterOatPeaIntercrop_2024_Ithaca-PLOT_223</t>
  </si>
  <si>
    <t>LA17089SBS-45-1-1</t>
  </si>
  <si>
    <t>LA17129SBSS-8-1-Cornell_WinterOatPeaIntercrop_2024_Ithaca-PLOT_165</t>
  </si>
  <si>
    <t>LA17153SBSS-46-1-Cornell_WinterOatPeaIntercrop_2024_Ithaca-PLOT_118</t>
  </si>
  <si>
    <t>LA17153SBSS-55-1-Cornell_WinterOatPeaIntercrop_2024_Ithaca-PLOT_299</t>
  </si>
  <si>
    <t>LA17153SBSS-55-1</t>
  </si>
  <si>
    <t>LA99016-Cornell_WinterOatPeaIntercrop_2024_Ithaca-PLOT_238</t>
  </si>
  <si>
    <t>NC09-4503N-Cornell_WinterOatPeaIntercrop_2024_Ithaca-PLOT_149</t>
  </si>
  <si>
    <t>NC17-6440-Cornell_WinterOatPeaIntercrop_2024_Ithaca-PLOT_306</t>
  </si>
  <si>
    <t>NC18-5877N-Cornell_WinterOatPeaIntercrop_2024_Ithaca-PLOT_175</t>
  </si>
  <si>
    <t>NC19-3542-Cornell_WinterOatPeaIntercrop_2024_Ithaca-PLOT_261</t>
  </si>
  <si>
    <t>NC20-4402-Cornell_WinterOatPeaIntercrop_2024_Ithaca-PLOT_142</t>
  </si>
  <si>
    <t>NC20-4452-Cornell_WinterOatPeaIntercrop_2024_Ithaca-PLOT_98</t>
  </si>
  <si>
    <t>NC20-4526-Cornell_WinterOatPeaIntercrop_2024_Ithaca-PLOT_32</t>
  </si>
  <si>
    <t>NC20-4551-Cornell_WinterOatPeaIntercrop_2024_Ithaca-PLOT_50</t>
  </si>
  <si>
    <t>NC20-4700-Cornell_WinterOatPeaIntercrop_2024_Ithaca-PLOT_364</t>
  </si>
  <si>
    <t>NC20-4702-Cornell_WinterOatPeaIntercrop_2024_Ithaca-PLOT_192</t>
  </si>
  <si>
    <t>NC20-4795-Cornell_WinterOatPeaIntercrop_2024_Ithaca-PLOT_348</t>
  </si>
  <si>
    <t>NC20-4795</t>
  </si>
  <si>
    <t>NC21-6429-Cornell_WinterOatPeaIntercrop_2024_Ithaca-PLOT_16</t>
  </si>
  <si>
    <t>NC21-6475-Cornell_WinterOatPeaIntercrop_2024_Ithaca-PLOT_77</t>
  </si>
  <si>
    <t>NC21-6492-Cornell_WinterOatPeaIntercrop_2024_Ithaca-PLOT_128</t>
  </si>
  <si>
    <t>NC21-6497-Cornell_WinterOatPeaIntercrop_2024_Ithaca-PLOT_65</t>
  </si>
  <si>
    <t>NC21-6502-Cornell_WinterOatPeaIntercrop_2024_Ithaca-PLOT_323</t>
  </si>
  <si>
    <t>NC21-6502</t>
  </si>
  <si>
    <t>NC21-6505-Cornell_WinterOatPeaIntercrop_2024_Ithaca-PLOT_63</t>
  </si>
  <si>
    <t>NC21-6505</t>
  </si>
  <si>
    <t>NC21-6511-Cornell_WinterOatPeaIntercrop_2024_Ithaca-PLOT_367</t>
  </si>
  <si>
    <t>NC21-6576-Cornell_WinterOatPeaIntercrop_2024_Ithaca-PLOT_85</t>
  </si>
  <si>
    <t>NC21-6609-Cornell_WinterOatPeaIntercrop_2024_Ithaca-PLOT_330</t>
  </si>
  <si>
    <t>NC21-6610-Cornell_WinterOatPeaIntercrop_2024_Ithaca-PLOT_99</t>
  </si>
  <si>
    <t>NF00407-Cornell_WinterOatPeaIntercrop_2024_Ithaca-PLOT_216</t>
  </si>
  <si>
    <t>NF00407</t>
  </si>
  <si>
    <t>NF01401B-Cornell_WinterOatPeaIntercrop_2024_Ithaca-PLOT_270</t>
  </si>
  <si>
    <t>NF01401B</t>
  </si>
  <si>
    <t>NF01404A-Cornell_WinterOatPeaIntercrop_2024_Ithaca-PLOT_160</t>
  </si>
  <si>
    <t>NF05424_2-Cornell_WinterOatPeaIntercrop_2024_Ithaca-PLOT_25</t>
  </si>
  <si>
    <t>NF12AS-100-4_2-Cornell_WinterOatPeaIntercrop_2024_Ithaca-PLOT_228</t>
  </si>
  <si>
    <t>NF12AS-107-4_2-1-Cornell_WinterOatPeaIntercrop_2024_Ithaca-PLOT_258</t>
  </si>
  <si>
    <t>NF12AS-107-4_4-Cornell_WinterOatPeaIntercrop_2024_Ithaca-PLOT_359</t>
  </si>
  <si>
    <t>NF12AS-108-4_1-Cornell_WinterOatPeaIntercrop_2024_Ithaca-PLOT_161</t>
  </si>
  <si>
    <t>NF12AS-108-4_4-Cornell_WinterOatPeaIntercrop_2024_Ithaca-PLOT_251</t>
  </si>
  <si>
    <t>NF12AS-122-4_3-Cornell_WinterOatPeaIntercrop_2024_Ithaca-PLOT_147</t>
  </si>
  <si>
    <t>NF12AS-122-4_3</t>
  </si>
  <si>
    <t>NF12AS-122-4_4-Cornell_WinterOatPeaIntercrop_2024_Ithaca-PLOT_153</t>
  </si>
  <si>
    <t>NF12AS-122-4_4</t>
  </si>
  <si>
    <t>NF12AS-73-4_3-Cornell_WinterOatPeaIntercrop_2024_Ithaca-PLOT_242</t>
  </si>
  <si>
    <t>NF12AS-91-4_1-Cornell_WinterOatPeaIntercrop_2024_Ithaca-PLOT_22</t>
  </si>
  <si>
    <t>NF12AS-91-4_1</t>
  </si>
  <si>
    <t>NF13-4083-4_6-Cornell_WinterOatPeaIntercrop_2024_Ithaca-PLOT_83</t>
  </si>
  <si>
    <t>NF13-4124-4_3-Cornell_WinterOatPeaIntercrop_2024_Ithaca-PLOT_62</t>
  </si>
  <si>
    <t>NF13-4124-4_8-Cornell_WinterOatPeaIntercrop_2024_Ithaca-PLOT_151</t>
  </si>
  <si>
    <t>NF13-4126-4_3-Cornell_WinterOatPeaIntercrop_2024_Ithaca-PLOT_145</t>
  </si>
  <si>
    <t>NF13-4153-4_2-Cornell_WinterOatPeaIntercrop_2024_Ithaca-PLOT_167</t>
  </si>
  <si>
    <t>NF13-4157-4_2-Cornell_WinterOatPeaIntercrop_2024_Ithaca-PLOT_81</t>
  </si>
  <si>
    <t>NF13-4173-4_4-Cornell_WinterOatPeaIntercrop_2024_Ithaca-PLOT_370</t>
  </si>
  <si>
    <t>NF13-4173-4_5-Cornell_WinterOatPeaIntercrop_2024_Ithaca-PLOT_116</t>
  </si>
  <si>
    <t>NF13-4173-4_6-Cornell_WinterOatPeaIntercrop_2024_Ithaca-PLOT_272</t>
  </si>
  <si>
    <t>NF13-4173-4_6</t>
  </si>
  <si>
    <t>NF13-4214-4_1-Cornell_WinterOatPeaIntercrop_2024_Ithaca-PLOT_156</t>
  </si>
  <si>
    <t>NF13-4214-4_5-Cornell_WinterOatPeaIntercrop_2024_Ithaca-PLOT_169</t>
  </si>
  <si>
    <t>NF18-Cornell_WinterOatPeaIntercrop_2024_Ithaca-PLOT_275</t>
  </si>
  <si>
    <t>NF401_1-Cornell_WinterOatPeaIntercrop_2024_Ithaca-PLOT_260</t>
  </si>
  <si>
    <t>NF502_5-Cornell_WinterOatPeaIntercrop_2024_Ithaca-PLOT_3</t>
  </si>
  <si>
    <t>NF97405-1-Cornell_WinterOatPeaIntercrop_2024_Ithaca-PLOT_296</t>
  </si>
  <si>
    <t>NF97405-1</t>
  </si>
  <si>
    <t>NF97405B2-Cornell_WinterOatPeaIntercrop_2024_Ithaca-PLOT_371</t>
  </si>
  <si>
    <t>NF99401_1-1-Cornell_WinterOatPeaIntercrop_2024_Ithaca-PLOT_95</t>
  </si>
  <si>
    <t>NF99414-1-Cornell_WinterOatPeaIntercrop_2024_Ithaca-PLOT_174</t>
  </si>
  <si>
    <t>NF99414-Cornell_WinterOatPeaIntercrop_2024_Ithaca-PLOT_378</t>
  </si>
  <si>
    <t>NORA-Cornell_WinterOatPeaIntercrop_2024_Ithaca-PLOT_133</t>
  </si>
  <si>
    <t>OKAY-Cornell_WinterOatPeaIntercrop_2024_Ithaca-PLOT_14</t>
  </si>
  <si>
    <t>OZARK|POGI-Cornell_WinterOatPeaIntercrop_2024_Ithaca-PLOT_204</t>
  </si>
  <si>
    <t>PA7617-3460-Cornell_WinterOatPeaIntercrop_2024_Ithaca-PLOT_212</t>
  </si>
  <si>
    <t>PA7617-3658-Cornell_WinterOatPeaIntercrop_2024_Ithaca-PLOT_54</t>
  </si>
  <si>
    <t>SCLA17018SBSS-45-1-Cornell_WinterOatPeaIntercrop_2024_Ithaca-PLOT_309</t>
  </si>
  <si>
    <t>SCLA17018SBSS-45-1</t>
  </si>
  <si>
    <t>SCLA17031SBSS-4-1-Cornell_WinterOatPeaIntercrop_2024_Ithaca-PLOT_36</t>
  </si>
  <si>
    <t>SCLA17080SBS-4-2-Cornell_WinterOatPeaIntercrop_2024_Ithaca-PLOT_316</t>
  </si>
  <si>
    <t>Savage-Cornell_WinterOatPeaIntercrop_2024_Ithaca-PLOT_43</t>
  </si>
  <si>
    <t>TX18OCS9100-Cornell_WinterOatPeaIntercrop_2024_Ithaca-PLOT_267</t>
  </si>
  <si>
    <t>TX18OCS9100</t>
  </si>
  <si>
    <t>TX18OCS9104-Cornell_WinterOatPeaIntercrop_2024_Ithaca-PLOT_37</t>
  </si>
  <si>
    <t>TX18OCS9125-Cornell_WinterOatPeaIntercrop_2024_Ithaca-PLOT_10</t>
  </si>
  <si>
    <t>TX19CAS0057-Cornell_WinterOatPeaIntercrop_2024_Ithaca-PLOT_213</t>
  </si>
  <si>
    <t>TX19CAS0058-Cornell_WinterOatPeaIntercrop_2024_Ithaca-PLOT_280</t>
  </si>
  <si>
    <t>TX19CAS0058</t>
  </si>
  <si>
    <t>g</t>
  </si>
  <si>
    <t>seedlot</t>
  </si>
  <si>
    <t>plot</t>
  </si>
  <si>
    <t xml:space="preserve"> </t>
  </si>
  <si>
    <t>BLAZE</t>
  </si>
  <si>
    <t>WOP_2024</t>
  </si>
  <si>
    <t>category</t>
  </si>
  <si>
    <t>SOAP_selection</t>
  </si>
  <si>
    <t>WOF_selection</t>
  </si>
  <si>
    <t>Hull-less</t>
  </si>
  <si>
    <t>UWON</t>
  </si>
  <si>
    <t>Keystone_Pea_Test</t>
  </si>
  <si>
    <t>WOP_Mirza_selection</t>
  </si>
  <si>
    <t>Monocrop_pea</t>
  </si>
  <si>
    <t>NO_PEA_PLANTED</t>
  </si>
  <si>
    <t>intercrop_accession_name</t>
  </si>
  <si>
    <t>nPlots</t>
  </si>
  <si>
    <t>weight_gram_seed_per_plot</t>
  </si>
  <si>
    <t>nReps</t>
  </si>
  <si>
    <t>source_trial</t>
  </si>
  <si>
    <t>paired</t>
  </si>
  <si>
    <t>WOP_2025</t>
  </si>
  <si>
    <t>WOP_2026</t>
  </si>
  <si>
    <t>BLAZE_mono</t>
  </si>
  <si>
    <t>BLAZE_biomass</t>
  </si>
  <si>
    <t>Content_type</t>
  </si>
  <si>
    <t>Material_type</t>
  </si>
  <si>
    <t>Description</t>
  </si>
  <si>
    <t>Box_Name</t>
  </si>
  <si>
    <t>Current_Count</t>
  </si>
  <si>
    <t>LA05011GSBSBSB-11-CU_2025_Ithaca_SOAP_HR-bulk</t>
  </si>
  <si>
    <t>seed</t>
  </si>
  <si>
    <t xml:space="preserve">Bulk seedlots combining 2 headrows, so we have enough for 2 plots </t>
  </si>
  <si>
    <t>CU_2025_Ithaca_SOAP_HR seedlots</t>
  </si>
  <si>
    <t>NA</t>
  </si>
  <si>
    <t>LA99017-CU_2025_Ithaca_SOAP_HR-bulk</t>
  </si>
  <si>
    <t>NaN</t>
  </si>
  <si>
    <t>CU_2025_Ithaca_WOF_HR seedlots</t>
  </si>
  <si>
    <t>NC12-3578-CU_2025_Ithaca_SOAP_HR-bulk</t>
  </si>
  <si>
    <t>NC14-1533-CU_2025_Ithaca_SOAP_HR-bulk</t>
  </si>
  <si>
    <t>NC14-1543-CU_2025_Ithaca_SOAP_HR-bulk</t>
  </si>
  <si>
    <t>NC14-1554-CU_2025_Ithaca_SOAP_HR-bulk</t>
  </si>
  <si>
    <t>NC14-1619-CU_2025_Ithaca_SOAP_HR-bulk</t>
  </si>
  <si>
    <t>NC14-1820-CU_2025_Ithaca_SOAP_HR-bulk</t>
  </si>
  <si>
    <t>NC14-1965-CU_2025_Ithaca_SOAP_HR-bulk</t>
  </si>
  <si>
    <t>NC14-1985-CU_2025_Ithaca_SOAP_HR-bulk</t>
  </si>
  <si>
    <t>NC14-1989-CU_2025_Ithaca_SOAP_HR-bulk</t>
  </si>
  <si>
    <t>BLAZE-Cornell_WinterOatPeaIntercrop_2024_Ithaca-bulk</t>
  </si>
  <si>
    <t>&gt;</t>
  </si>
  <si>
    <t>g14</t>
  </si>
  <si>
    <t>g28</t>
  </si>
  <si>
    <t>g13</t>
  </si>
  <si>
    <t>g27</t>
  </si>
  <si>
    <t>g12</t>
  </si>
  <si>
    <t>g26</t>
  </si>
  <si>
    <t>g11</t>
  </si>
  <si>
    <t>g25</t>
  </si>
  <si>
    <t>g10</t>
  </si>
  <si>
    <t>g24</t>
  </si>
  <si>
    <t>g9</t>
  </si>
  <si>
    <t>g23</t>
  </si>
  <si>
    <t>g8</t>
  </si>
  <si>
    <t>g22</t>
  </si>
  <si>
    <t>g7</t>
  </si>
  <si>
    <t>g21</t>
  </si>
  <si>
    <t>g6</t>
  </si>
  <si>
    <t>g20</t>
  </si>
  <si>
    <t>g5</t>
  </si>
  <si>
    <t>g19</t>
  </si>
  <si>
    <t>g4</t>
  </si>
  <si>
    <t>g18</t>
  </si>
  <si>
    <t>g3</t>
  </si>
  <si>
    <t>g17</t>
  </si>
  <si>
    <t>g2</t>
  </si>
  <si>
    <t>g16</t>
  </si>
  <si>
    <t>g1</t>
  </si>
  <si>
    <t>g15</t>
  </si>
  <si>
    <t>&lt;</t>
  </si>
  <si>
    <t>g33</t>
  </si>
  <si>
    <t>g40</t>
  </si>
  <si>
    <t>g39</t>
  </si>
  <si>
    <t>g38</t>
  </si>
  <si>
    <t>g37</t>
  </si>
  <si>
    <t>g36</t>
  </si>
  <si>
    <t>g35</t>
  </si>
  <si>
    <t>g34</t>
  </si>
  <si>
    <t>g32</t>
  </si>
  <si>
    <t>g31</t>
  </si>
  <si>
    <t>g30</t>
  </si>
  <si>
    <t>g29</t>
  </si>
  <si>
    <t>Winter Oat-Pea Trial 2026  Helfer 1 (110M X 33M)</t>
  </si>
  <si>
    <t>row</t>
  </si>
  <si>
    <t>accession_seedlot</t>
  </si>
  <si>
    <t>40.5g</t>
  </si>
  <si>
    <t>grams_oats</t>
  </si>
  <si>
    <t>KeyStone</t>
  </si>
  <si>
    <t>keystone</t>
  </si>
  <si>
    <t>Blaze 100 seed weight 2025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</si>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</sst>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12"/>
      <color theme="1"/>
      <name val="Aptos Narrow"/>
      <family val="2"/>
      <scheme val="minor"/>
    </font>
    <font>
      <sz val="11"/>
      <color rgb="FF212121"/>
      <name val="Inherit"/>
    </font>
    <font>
      <sz val="9"/>
      <color rgb="FF333333"/>
      <name val="Verdana"/>
      <family val="2"/>
    </font>
    <font>
      <sz val="10"/>
      <color theme="1"/>
      <name val="Arial"/>
      <family val="2"/>
    </font>
    <font>
      <sz val="9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11"/>
      <color rgb="FF333333"/>
      <name val="Arial"/>
      <family val="2"/>
    </font>
    <font>
      <b/>
      <sz val="20"/>
      <name val="Times New Roman"/>
      <family val="1"/>
    </font>
    <font>
      <b/>
      <sz val="10"/>
      <name val="Aptos Narrow"/>
      <family val="2"/>
      <scheme val="minor"/>
    </font>
    <font>
      <b/>
      <sz val="20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5">
    <xf numFmtId="0" fontId="0" fillId="0" borderId="0"/>
    <xf numFmtId="0" fontId="3" fillId="0" borderId="0"/>
    <xf numFmtId="0" fontId="1" fillId="0" borderId="0"/>
    <xf numFmtId="0" fontId="3" fillId="0" borderId="0"/>
    <xf numFmtId="0" fontId="6" fillId="0" borderId="0"/>
  </cellStyleXfs>
  <cellXfs count="37">
    <xf numFmtId="0" fontId="0" fillId="0" borderId="0" xfId="0"/>
    <xf numFmtId="0" fontId="0" fillId="2" borderId="0" xfId="0" applyFill="1"/>
    <xf numFmtId="0" fontId="0" fillId="3" borderId="0" xfId="0" applyFill="1"/>
    <xf numFmtId="0" fontId="5" fillId="4" borderId="2" xfId="2" applyFont="1" applyFill="1" applyBorder="1"/>
    <xf numFmtId="0" fontId="5" fillId="4" borderId="3" xfId="2" applyFont="1" applyFill="1" applyBorder="1"/>
    <xf numFmtId="0" fontId="5" fillId="0" borderId="4" xfId="2" applyFont="1" applyBorder="1"/>
    <xf numFmtId="0" fontId="5" fillId="0" borderId="3" xfId="2" applyFont="1" applyBorder="1"/>
    <xf numFmtId="0" fontId="4" fillId="4" borderId="3" xfId="1" applyFont="1" applyFill="1" applyBorder="1" applyAlignment="1">
      <alignment wrapText="1"/>
    </xf>
    <xf numFmtId="0" fontId="5" fillId="4" borderId="1" xfId="2" applyFont="1" applyFill="1" applyBorder="1"/>
    <xf numFmtId="0" fontId="5" fillId="4" borderId="5" xfId="2" applyFont="1" applyFill="1" applyBorder="1"/>
    <xf numFmtId="0" fontId="7" fillId="5" borderId="6" xfId="0" applyFont="1" applyFill="1" applyBorder="1" applyAlignment="1">
      <alignment horizontal="left" vertical="center" wrapText="1"/>
    </xf>
    <xf numFmtId="0" fontId="8" fillId="5" borderId="7" xfId="0" applyFont="1" applyFill="1" applyBorder="1" applyAlignment="1">
      <alignment vertical="top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right" wrapText="1"/>
    </xf>
    <xf numFmtId="1" fontId="0" fillId="0" borderId="0" xfId="0" applyNumberFormat="1"/>
    <xf numFmtId="49" fontId="10" fillId="0" borderId="3" xfId="4" applyNumberFormat="1" applyFont="1" applyBorder="1" applyAlignment="1" applyProtection="1">
      <alignment shrinkToFit="1"/>
      <protection locked="0"/>
    </xf>
    <xf numFmtId="49" fontId="10" fillId="4" borderId="3" xfId="4" applyNumberFormat="1" applyFont="1" applyFill="1" applyBorder="1" applyAlignment="1" applyProtection="1">
      <alignment shrinkToFit="1"/>
      <protection locked="0"/>
    </xf>
    <xf numFmtId="0" fontId="10" fillId="4" borderId="3" xfId="3" applyFont="1" applyFill="1" applyBorder="1" applyAlignment="1">
      <alignment horizontal="left" vertical="center" shrinkToFit="1"/>
    </xf>
    <xf numFmtId="0" fontId="10" fillId="4" borderId="3" xfId="1" applyFont="1" applyFill="1" applyBorder="1" applyAlignment="1">
      <alignment horizontal="left" vertical="center" shrinkToFit="1"/>
    </xf>
    <xf numFmtId="49" fontId="10" fillId="0" borderId="8" xfId="4" applyNumberFormat="1" applyFont="1" applyBorder="1" applyAlignment="1" applyProtection="1">
      <alignment shrinkToFit="1"/>
      <protection locked="0"/>
    </xf>
    <xf numFmtId="0" fontId="10" fillId="0" borderId="8" xfId="4" applyFont="1" applyBorder="1" applyAlignment="1">
      <alignment vertical="center" shrinkToFit="1"/>
    </xf>
    <xf numFmtId="0" fontId="10" fillId="0" borderId="8" xfId="1" applyFont="1" applyBorder="1" applyAlignment="1">
      <alignment horizontal="left" vertical="center" shrinkToFit="1"/>
    </xf>
    <xf numFmtId="0" fontId="11" fillId="4" borderId="3" xfId="1" applyFont="1" applyFill="1" applyBorder="1" applyAlignment="1" applyProtection="1">
      <alignment horizontal="left" vertical="center" shrinkToFit="1"/>
      <protection locked="0"/>
    </xf>
    <xf numFmtId="0" fontId="11" fillId="4" borderId="3" xfId="4" applyFont="1" applyFill="1" applyBorder="1" applyAlignment="1">
      <alignment vertical="center" shrinkToFit="1"/>
    </xf>
    <xf numFmtId="0" fontId="11" fillId="4" borderId="1" xfId="4" applyFont="1" applyFill="1" applyBorder="1" applyAlignment="1">
      <alignment vertical="center" shrinkToFit="1"/>
    </xf>
    <xf numFmtId="0" fontId="0" fillId="0" borderId="7" xfId="0" applyBorder="1"/>
    <xf numFmtId="0" fontId="8" fillId="5" borderId="9" xfId="0" applyFont="1" applyFill="1" applyBorder="1" applyAlignment="1">
      <alignment vertical="top" wrapText="1"/>
    </xf>
    <xf numFmtId="0" fontId="8" fillId="0" borderId="0" xfId="0" applyFont="1"/>
    <xf numFmtId="0" fontId="12" fillId="0" borderId="0" xfId="0" applyFont="1"/>
    <xf numFmtId="0" fontId="13" fillId="0" borderId="0" xfId="4" applyFont="1" applyAlignment="1">
      <alignment horizontal="left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5" fillId="0" borderId="0" xfId="4" applyFont="1" applyAlignment="1">
      <alignment horizontal="center"/>
    </xf>
    <xf numFmtId="0" fontId="15" fillId="0" borderId="0" xfId="0" applyFont="1" applyAlignment="1">
      <alignment horizontal="center" textRotation="180"/>
    </xf>
    <xf numFmtId="0" fontId="15" fillId="0" borderId="0" xfId="4" applyFont="1" applyAlignment="1">
      <alignment horizontal="center" textRotation="180"/>
    </xf>
    <xf numFmtId="0" fontId="16" fillId="6" borderId="7" xfId="0" applyFont="1" applyFill="1" applyBorder="1" applyAlignment="1">
      <alignment horizontal="center"/>
    </xf>
    <xf numFmtId="0" fontId="16" fillId="0" borderId="7" xfId="0" applyFont="1" applyBorder="1" applyAlignment="1">
      <alignment horizontal="center"/>
    </xf>
  </cellXfs>
  <cellStyles count="5">
    <cellStyle name="chemes]_x000a__x000a_Sci-Fi=_x000a__x000a_Nature=_x000a__x000a_robin=_x000a__x000a__x000a__x000a_[SoundScheme.Nature]_x000a__x000a_SystemAsterisk=C:\SNDSYS 2" xfId="3" xr:uid="{9EF97828-7F87-4F5D-86A3-7014640D26AA}"/>
    <cellStyle name="Normal" xfId="0" builtinId="0"/>
    <cellStyle name="Normal 2" xfId="1" xr:uid="{22BC12EB-69D1-4DDF-9A05-723099367193}"/>
    <cellStyle name="Normal 3" xfId="4" xr:uid="{BEC580AF-C4D6-40D3-90E4-539BB4559AAE}"/>
    <cellStyle name="Normal 4" xfId="2" xr:uid="{43924385-1F54-4384-B988-B2B14A587F3D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C8752-EEBE-42E5-AD07-85ADA8AFCA18}">
  <dimension ref="A1:F105"/>
  <sheetViews>
    <sheetView tabSelected="1" workbookViewId="0">
      <selection activeCell="A69" sqref="A69"/>
    </sheetView>
  </sheetViews>
  <sheetFormatPr defaultRowHeight="15"/>
  <cols>
    <col min="1" max="1" width="35.7109375" customWidth="1"/>
    <col min="2" max="2" width="17.28515625" customWidth="1"/>
    <col min="3" max="3" width="22.7109375" bestFit="1" customWidth="1"/>
    <col min="4" max="4" width="15.5703125" customWidth="1"/>
    <col min="5" max="5" width="38.28515625" bestFit="1" customWidth="1"/>
    <col min="6" max="6" width="25.85546875" bestFit="1" customWidth="1"/>
  </cols>
  <sheetData>
    <row r="1" spans="1:6">
      <c r="A1" t="s">
        <v>12</v>
      </c>
      <c r="B1" t="s">
        <v>11</v>
      </c>
      <c r="C1" t="s">
        <v>13</v>
      </c>
      <c r="D1" t="s">
        <v>44</v>
      </c>
      <c r="E1" t="s">
        <v>50</v>
      </c>
    </row>
    <row r="2" spans="1:6">
      <c r="A2" t="s">
        <v>0</v>
      </c>
      <c r="B2" s="1">
        <v>315.82</v>
      </c>
      <c r="C2" t="s">
        <v>122</v>
      </c>
      <c r="D2">
        <v>0</v>
      </c>
      <c r="F2" t="s">
        <v>51</v>
      </c>
    </row>
    <row r="3" spans="1:6">
      <c r="A3" t="s">
        <v>1</v>
      </c>
      <c r="B3" s="1">
        <v>255.69</v>
      </c>
      <c r="C3" t="s">
        <v>122</v>
      </c>
      <c r="D3">
        <v>4</v>
      </c>
    </row>
    <row r="4" spans="1:6">
      <c r="A4" t="s">
        <v>2</v>
      </c>
      <c r="B4" s="1">
        <v>232.01</v>
      </c>
      <c r="C4" t="s">
        <v>122</v>
      </c>
      <c r="D4">
        <v>4</v>
      </c>
    </row>
    <row r="5" spans="1:6">
      <c r="A5" t="s">
        <v>3</v>
      </c>
      <c r="B5" s="1">
        <v>182.96</v>
      </c>
      <c r="C5" t="s">
        <v>122</v>
      </c>
      <c r="D5">
        <v>4</v>
      </c>
    </row>
    <row r="6" spans="1:6">
      <c r="A6" t="s">
        <v>4</v>
      </c>
      <c r="B6" s="1">
        <v>177.98</v>
      </c>
      <c r="C6" t="s">
        <v>122</v>
      </c>
      <c r="D6">
        <v>4</v>
      </c>
    </row>
    <row r="7" spans="1:6">
      <c r="A7" t="s">
        <v>5</v>
      </c>
      <c r="B7" s="1">
        <v>189.24</v>
      </c>
      <c r="C7" t="s">
        <v>122</v>
      </c>
      <c r="D7">
        <v>4</v>
      </c>
    </row>
    <row r="8" spans="1:6">
      <c r="A8" t="s">
        <v>6</v>
      </c>
      <c r="B8">
        <v>124.56</v>
      </c>
      <c r="C8" t="s">
        <v>122</v>
      </c>
      <c r="D8">
        <v>2</v>
      </c>
    </row>
    <row r="9" spans="1:6">
      <c r="A9" t="s">
        <v>7</v>
      </c>
      <c r="B9">
        <v>147.09</v>
      </c>
      <c r="C9" t="s">
        <v>122</v>
      </c>
      <c r="D9">
        <v>2</v>
      </c>
    </row>
    <row r="10" spans="1:6">
      <c r="A10" t="s">
        <v>8</v>
      </c>
      <c r="B10" s="1">
        <v>178.86</v>
      </c>
      <c r="C10" t="s">
        <v>122</v>
      </c>
      <c r="D10">
        <v>4</v>
      </c>
    </row>
    <row r="11" spans="1:6">
      <c r="A11" t="s">
        <v>9</v>
      </c>
      <c r="B11">
        <v>147.68</v>
      </c>
      <c r="C11" t="s">
        <v>122</v>
      </c>
      <c r="D11">
        <v>2</v>
      </c>
    </row>
    <row r="12" spans="1:6">
      <c r="A12" t="s">
        <v>10</v>
      </c>
      <c r="B12" s="2">
        <v>120.2</v>
      </c>
      <c r="C12" t="s">
        <v>122</v>
      </c>
      <c r="D12">
        <v>2</v>
      </c>
    </row>
    <row r="13" spans="1:6">
      <c r="A13" t="s">
        <v>123</v>
      </c>
      <c r="B13">
        <v>103.33</v>
      </c>
      <c r="C13" t="s">
        <v>122</v>
      </c>
      <c r="D13">
        <v>2</v>
      </c>
    </row>
    <row r="14" spans="1:6">
      <c r="A14" t="s">
        <v>118</v>
      </c>
      <c r="B14">
        <v>92.03</v>
      </c>
      <c r="C14" t="s">
        <v>121</v>
      </c>
      <c r="D14">
        <v>2</v>
      </c>
      <c r="E14" t="s">
        <v>115</v>
      </c>
    </row>
    <row r="15" spans="1:6">
      <c r="A15" t="s">
        <v>119</v>
      </c>
      <c r="B15">
        <v>109.37</v>
      </c>
      <c r="C15" t="s">
        <v>121</v>
      </c>
      <c r="D15">
        <v>2</v>
      </c>
      <c r="E15" t="s">
        <v>116</v>
      </c>
    </row>
    <row r="16" spans="1:6">
      <c r="A16" t="s">
        <v>120</v>
      </c>
      <c r="B16">
        <v>94.25</v>
      </c>
      <c r="C16" t="s">
        <v>121</v>
      </c>
      <c r="D16">
        <v>2</v>
      </c>
      <c r="E16" t="s">
        <v>117</v>
      </c>
    </row>
    <row r="17" spans="1:5" ht="15.75" thickBot="1">
      <c r="A17" s="10" t="s">
        <v>45</v>
      </c>
      <c r="B17">
        <v>250</v>
      </c>
      <c r="C17" t="s">
        <v>39</v>
      </c>
      <c r="D17">
        <v>4</v>
      </c>
      <c r="E17" t="s">
        <v>171</v>
      </c>
    </row>
    <row r="18" spans="1:5" ht="15.75" thickBot="1">
      <c r="A18" s="10" t="s">
        <v>46</v>
      </c>
      <c r="B18">
        <v>250</v>
      </c>
      <c r="C18" t="s">
        <v>39</v>
      </c>
      <c r="D18">
        <v>4</v>
      </c>
      <c r="E18" t="s">
        <v>172</v>
      </c>
    </row>
    <row r="19" spans="1:5" ht="15.75" thickBot="1">
      <c r="A19" s="10" t="s">
        <v>47</v>
      </c>
      <c r="B19">
        <v>250</v>
      </c>
      <c r="C19" t="s">
        <v>39</v>
      </c>
      <c r="D19">
        <v>4</v>
      </c>
      <c r="E19" t="s">
        <v>173</v>
      </c>
    </row>
    <row r="20" spans="1:5" ht="15.75" thickBot="1">
      <c r="A20" s="10" t="s">
        <v>48</v>
      </c>
      <c r="B20">
        <v>250</v>
      </c>
      <c r="C20" t="s">
        <v>39</v>
      </c>
      <c r="D20">
        <v>4</v>
      </c>
      <c r="E20" t="s">
        <v>174</v>
      </c>
    </row>
    <row r="21" spans="1:5" ht="15.75" thickBot="1">
      <c r="A21" s="10" t="s">
        <v>49</v>
      </c>
      <c r="B21">
        <v>250</v>
      </c>
      <c r="C21" t="s">
        <v>39</v>
      </c>
      <c r="D21">
        <v>4</v>
      </c>
      <c r="E21" t="s">
        <v>175</v>
      </c>
    </row>
    <row r="22" spans="1:5">
      <c r="A22" s="3" t="s">
        <v>14</v>
      </c>
      <c r="B22">
        <v>250</v>
      </c>
      <c r="C22" t="s">
        <v>220</v>
      </c>
      <c r="D22">
        <v>4</v>
      </c>
      <c r="E22" t="s">
        <v>176</v>
      </c>
    </row>
    <row r="23" spans="1:5">
      <c r="A23" s="4" t="s">
        <v>15</v>
      </c>
      <c r="B23">
        <v>250</v>
      </c>
      <c r="C23" t="s">
        <v>220</v>
      </c>
      <c r="D23">
        <v>4</v>
      </c>
      <c r="E23" t="s">
        <v>177</v>
      </c>
    </row>
    <row r="24" spans="1:5">
      <c r="A24" s="4" t="s">
        <v>16</v>
      </c>
      <c r="B24">
        <v>250</v>
      </c>
      <c r="C24" t="s">
        <v>220</v>
      </c>
      <c r="D24">
        <v>4</v>
      </c>
      <c r="E24" t="s">
        <v>178</v>
      </c>
    </row>
    <row r="25" spans="1:5">
      <c r="A25" s="4" t="s">
        <v>100</v>
      </c>
      <c r="B25">
        <v>250</v>
      </c>
      <c r="C25" t="s">
        <v>220</v>
      </c>
      <c r="D25">
        <v>4</v>
      </c>
      <c r="E25" t="s">
        <v>179</v>
      </c>
    </row>
    <row r="26" spans="1:5">
      <c r="A26" s="4" t="s">
        <v>66</v>
      </c>
      <c r="B26">
        <v>250</v>
      </c>
      <c r="C26" t="s">
        <v>220</v>
      </c>
      <c r="D26">
        <v>4</v>
      </c>
      <c r="E26" t="s">
        <v>202</v>
      </c>
    </row>
    <row r="27" spans="1:5">
      <c r="A27" s="5" t="s">
        <v>17</v>
      </c>
      <c r="B27">
        <v>250</v>
      </c>
      <c r="C27" t="s">
        <v>220</v>
      </c>
      <c r="D27">
        <v>4</v>
      </c>
      <c r="E27" t="s">
        <v>180</v>
      </c>
    </row>
    <row r="28" spans="1:5">
      <c r="A28" s="6" t="s">
        <v>18</v>
      </c>
      <c r="B28">
        <v>250</v>
      </c>
      <c r="C28" t="s">
        <v>220</v>
      </c>
      <c r="D28">
        <v>4</v>
      </c>
      <c r="E28" t="s">
        <v>181</v>
      </c>
    </row>
    <row r="29" spans="1:5">
      <c r="A29" s="6" t="s">
        <v>19</v>
      </c>
      <c r="B29">
        <v>250</v>
      </c>
      <c r="C29" t="s">
        <v>220</v>
      </c>
      <c r="D29">
        <v>4</v>
      </c>
      <c r="E29" t="s">
        <v>182</v>
      </c>
    </row>
    <row r="30" spans="1:5">
      <c r="A30" s="6" t="s">
        <v>20</v>
      </c>
      <c r="B30">
        <v>250</v>
      </c>
      <c r="C30" t="s">
        <v>220</v>
      </c>
      <c r="D30">
        <v>4</v>
      </c>
      <c r="E30" t="s">
        <v>183</v>
      </c>
    </row>
    <row r="31" spans="1:5">
      <c r="A31" s="6" t="s">
        <v>21</v>
      </c>
      <c r="B31">
        <v>250</v>
      </c>
      <c r="C31" t="s">
        <v>220</v>
      </c>
      <c r="D31">
        <v>4</v>
      </c>
      <c r="E31" t="s">
        <v>184</v>
      </c>
    </row>
    <row r="32" spans="1:5">
      <c r="A32" s="4" t="s">
        <v>22</v>
      </c>
      <c r="B32">
        <v>250</v>
      </c>
      <c r="C32" t="s">
        <v>220</v>
      </c>
      <c r="D32">
        <v>4</v>
      </c>
      <c r="E32" t="s">
        <v>185</v>
      </c>
    </row>
    <row r="33" spans="1:5">
      <c r="A33" s="4" t="s">
        <v>23</v>
      </c>
      <c r="B33">
        <v>250</v>
      </c>
      <c r="C33" t="s">
        <v>220</v>
      </c>
      <c r="D33">
        <v>4</v>
      </c>
      <c r="E33" t="s">
        <v>186</v>
      </c>
    </row>
    <row r="34" spans="1:5">
      <c r="A34" s="4" t="s">
        <v>24</v>
      </c>
      <c r="B34">
        <v>250</v>
      </c>
      <c r="C34" t="s">
        <v>220</v>
      </c>
      <c r="D34">
        <v>4</v>
      </c>
      <c r="E34" t="s">
        <v>187</v>
      </c>
    </row>
    <row r="35" spans="1:5">
      <c r="A35" s="4" t="s">
        <v>25</v>
      </c>
      <c r="B35">
        <v>250</v>
      </c>
      <c r="C35" t="s">
        <v>220</v>
      </c>
      <c r="D35">
        <v>4</v>
      </c>
      <c r="E35" t="s">
        <v>188</v>
      </c>
    </row>
    <row r="36" spans="1:5">
      <c r="A36" s="4" t="s">
        <v>26</v>
      </c>
      <c r="B36">
        <v>250</v>
      </c>
      <c r="C36" t="s">
        <v>220</v>
      </c>
      <c r="D36">
        <v>4</v>
      </c>
      <c r="E36" t="s">
        <v>189</v>
      </c>
    </row>
    <row r="37" spans="1:5">
      <c r="A37" s="4" t="s">
        <v>27</v>
      </c>
      <c r="B37">
        <v>250</v>
      </c>
      <c r="C37" t="s">
        <v>220</v>
      </c>
      <c r="D37">
        <v>4</v>
      </c>
      <c r="E37" t="s">
        <v>190</v>
      </c>
    </row>
    <row r="38" spans="1:5">
      <c r="A38" s="4" t="s">
        <v>28</v>
      </c>
      <c r="B38">
        <v>250</v>
      </c>
      <c r="C38" t="s">
        <v>220</v>
      </c>
      <c r="D38">
        <v>4</v>
      </c>
      <c r="E38" t="s">
        <v>191</v>
      </c>
    </row>
    <row r="39" spans="1:5">
      <c r="A39" s="6" t="s">
        <v>29</v>
      </c>
      <c r="B39">
        <v>250</v>
      </c>
      <c r="C39" t="s">
        <v>220</v>
      </c>
      <c r="D39">
        <v>4</v>
      </c>
      <c r="E39" t="s">
        <v>192</v>
      </c>
    </row>
    <row r="40" spans="1:5">
      <c r="A40" s="6" t="s">
        <v>30</v>
      </c>
      <c r="B40">
        <v>250</v>
      </c>
      <c r="C40" t="s">
        <v>220</v>
      </c>
      <c r="D40">
        <v>4</v>
      </c>
      <c r="E40" t="s">
        <v>193</v>
      </c>
    </row>
    <row r="41" spans="1:5">
      <c r="A41" s="6" t="s">
        <v>31</v>
      </c>
      <c r="B41">
        <v>250</v>
      </c>
      <c r="C41" t="s">
        <v>220</v>
      </c>
      <c r="D41">
        <v>4</v>
      </c>
      <c r="E41" t="s">
        <v>194</v>
      </c>
    </row>
    <row r="42" spans="1:5">
      <c r="A42" s="6" t="s">
        <v>32</v>
      </c>
      <c r="B42">
        <v>250</v>
      </c>
      <c r="C42" t="s">
        <v>220</v>
      </c>
      <c r="D42">
        <v>4</v>
      </c>
      <c r="E42" t="s">
        <v>195</v>
      </c>
    </row>
    <row r="43" spans="1:5">
      <c r="A43" s="6" t="s">
        <v>33</v>
      </c>
      <c r="B43">
        <v>250</v>
      </c>
      <c r="C43" t="s">
        <v>220</v>
      </c>
      <c r="D43">
        <v>4</v>
      </c>
      <c r="E43" t="s">
        <v>196</v>
      </c>
    </row>
    <row r="44" spans="1:5">
      <c r="A44" s="7" t="s">
        <v>34</v>
      </c>
      <c r="B44">
        <v>250</v>
      </c>
      <c r="C44" t="s">
        <v>220</v>
      </c>
      <c r="D44">
        <v>4</v>
      </c>
      <c r="E44" t="s">
        <v>197</v>
      </c>
    </row>
    <row r="45" spans="1:5">
      <c r="A45" s="7" t="s">
        <v>35</v>
      </c>
      <c r="B45">
        <v>250</v>
      </c>
      <c r="C45" t="s">
        <v>220</v>
      </c>
      <c r="D45">
        <v>4</v>
      </c>
      <c r="E45" t="s">
        <v>198</v>
      </c>
    </row>
    <row r="46" spans="1:5">
      <c r="A46" s="4" t="s">
        <v>36</v>
      </c>
      <c r="B46">
        <v>250</v>
      </c>
      <c r="C46" t="s">
        <v>220</v>
      </c>
      <c r="D46">
        <v>4</v>
      </c>
      <c r="E46" t="s">
        <v>199</v>
      </c>
    </row>
    <row r="47" spans="1:5">
      <c r="A47" s="4" t="s">
        <v>37</v>
      </c>
      <c r="B47">
        <v>250</v>
      </c>
      <c r="C47" t="s">
        <v>220</v>
      </c>
      <c r="D47">
        <v>4</v>
      </c>
      <c r="E47" t="s">
        <v>200</v>
      </c>
    </row>
    <row r="48" spans="1:5" ht="15.75" thickBot="1">
      <c r="A48" s="8" t="s">
        <v>38</v>
      </c>
      <c r="B48">
        <v>250</v>
      </c>
      <c r="C48" t="s">
        <v>220</v>
      </c>
      <c r="D48">
        <v>4</v>
      </c>
      <c r="E48" t="s">
        <v>201</v>
      </c>
    </row>
    <row r="49" spans="1:4">
      <c r="A49" s="9" t="s">
        <v>40</v>
      </c>
      <c r="B49">
        <v>250</v>
      </c>
      <c r="C49" t="s">
        <v>43</v>
      </c>
      <c r="D49">
        <v>4</v>
      </c>
    </row>
    <row r="50" spans="1:4">
      <c r="A50" s="9" t="s">
        <v>41</v>
      </c>
      <c r="B50">
        <v>250</v>
      </c>
      <c r="C50" t="s">
        <v>43</v>
      </c>
      <c r="D50">
        <v>4</v>
      </c>
    </row>
    <row r="51" spans="1:4">
      <c r="A51" s="9" t="s">
        <v>42</v>
      </c>
      <c r="B51">
        <v>250</v>
      </c>
      <c r="C51" t="s">
        <v>43</v>
      </c>
      <c r="D51">
        <v>4</v>
      </c>
    </row>
    <row r="52" spans="1:4">
      <c r="A52" t="s">
        <v>0</v>
      </c>
      <c r="D52" t="s">
        <v>348</v>
      </c>
    </row>
    <row r="53" spans="1:4">
      <c r="A53" t="s">
        <v>52</v>
      </c>
      <c r="D53">
        <v>4</v>
      </c>
    </row>
    <row r="54" spans="1:4">
      <c r="A54" t="s">
        <v>53</v>
      </c>
      <c r="D54">
        <v>4</v>
      </c>
    </row>
    <row r="55" spans="1:4">
      <c r="A55" t="s">
        <v>54</v>
      </c>
      <c r="D55">
        <v>4</v>
      </c>
    </row>
    <row r="56" spans="1:4">
      <c r="A56" t="s">
        <v>55</v>
      </c>
      <c r="D56">
        <v>4</v>
      </c>
    </row>
    <row r="57" spans="1:4">
      <c r="A57" t="s">
        <v>56</v>
      </c>
      <c r="D57">
        <v>4</v>
      </c>
    </row>
    <row r="58" spans="1:4">
      <c r="A58" t="s">
        <v>57</v>
      </c>
      <c r="D58">
        <v>4</v>
      </c>
    </row>
    <row r="59" spans="1:4">
      <c r="A59" t="s">
        <v>58</v>
      </c>
      <c r="D59">
        <v>4</v>
      </c>
    </row>
    <row r="60" spans="1:4">
      <c r="A60" t="s">
        <v>59</v>
      </c>
      <c r="D60">
        <v>4</v>
      </c>
    </row>
    <row r="61" spans="1:4">
      <c r="A61" t="s">
        <v>60</v>
      </c>
      <c r="D61">
        <v>4</v>
      </c>
    </row>
    <row r="62" spans="1:4">
      <c r="A62" t="s">
        <v>61</v>
      </c>
      <c r="D62">
        <v>4</v>
      </c>
    </row>
    <row r="63" spans="1:4">
      <c r="A63" t="s">
        <v>62</v>
      </c>
      <c r="D63">
        <v>4</v>
      </c>
    </row>
    <row r="64" spans="1:4">
      <c r="A64" t="s">
        <v>63</v>
      </c>
      <c r="D64">
        <v>4</v>
      </c>
    </row>
    <row r="65" spans="1:4">
      <c r="A65" t="s">
        <v>64</v>
      </c>
      <c r="D65">
        <v>4</v>
      </c>
    </row>
    <row r="66" spans="1:4">
      <c r="A66" t="s">
        <v>67</v>
      </c>
      <c r="D66">
        <v>4</v>
      </c>
    </row>
    <row r="67" spans="1:4">
      <c r="A67" t="s">
        <v>86</v>
      </c>
      <c r="D67">
        <v>4</v>
      </c>
    </row>
    <row r="68" spans="1:4">
      <c r="A68" t="s">
        <v>73</v>
      </c>
      <c r="D68">
        <v>4</v>
      </c>
    </row>
    <row r="69" spans="1:4">
      <c r="A69" t="s">
        <v>70</v>
      </c>
      <c r="D69">
        <v>4</v>
      </c>
    </row>
    <row r="70" spans="1:4">
      <c r="A70" t="s">
        <v>69</v>
      </c>
      <c r="D70">
        <v>4</v>
      </c>
    </row>
    <row r="71" spans="1:4">
      <c r="A71" t="s">
        <v>93</v>
      </c>
      <c r="D71">
        <v>4</v>
      </c>
    </row>
    <row r="72" spans="1:4">
      <c r="A72" t="s">
        <v>14</v>
      </c>
      <c r="D72">
        <v>0</v>
      </c>
    </row>
    <row r="73" spans="1:4">
      <c r="A73" t="s">
        <v>94</v>
      </c>
      <c r="D73">
        <v>4</v>
      </c>
    </row>
    <row r="74" spans="1:4">
      <c r="A74" t="s">
        <v>95</v>
      </c>
      <c r="D74">
        <v>4</v>
      </c>
    </row>
    <row r="75" spans="1:4">
      <c r="A75" t="s">
        <v>96</v>
      </c>
      <c r="D75">
        <v>4</v>
      </c>
    </row>
    <row r="76" spans="1:4">
      <c r="A76" t="s">
        <v>97</v>
      </c>
      <c r="D76">
        <v>4</v>
      </c>
    </row>
    <row r="77" spans="1:4">
      <c r="A77" t="s">
        <v>98</v>
      </c>
      <c r="D77">
        <v>4</v>
      </c>
    </row>
    <row r="78" spans="1:4">
      <c r="A78" t="s">
        <v>99</v>
      </c>
      <c r="D78">
        <v>4</v>
      </c>
    </row>
    <row r="79" spans="1:4">
      <c r="A79" t="s">
        <v>100</v>
      </c>
      <c r="D79">
        <v>0</v>
      </c>
    </row>
    <row r="80" spans="1:4">
      <c r="A80" t="s">
        <v>101</v>
      </c>
      <c r="D80">
        <v>4</v>
      </c>
    </row>
    <row r="81" spans="1:4">
      <c r="A81" t="s">
        <v>80</v>
      </c>
      <c r="D81">
        <v>4</v>
      </c>
    </row>
    <row r="82" spans="1:4">
      <c r="A82" t="s">
        <v>102</v>
      </c>
      <c r="D82">
        <v>4</v>
      </c>
    </row>
    <row r="83" spans="1:4">
      <c r="A83" t="s">
        <v>103</v>
      </c>
      <c r="D83">
        <v>4</v>
      </c>
    </row>
    <row r="84" spans="1:4">
      <c r="A84" t="s">
        <v>104</v>
      </c>
      <c r="D84">
        <v>4</v>
      </c>
    </row>
    <row r="85" spans="1:4">
      <c r="A85" t="s">
        <v>105</v>
      </c>
      <c r="D85">
        <v>4</v>
      </c>
    </row>
    <row r="86" spans="1:4">
      <c r="A86" t="s">
        <v>16</v>
      </c>
      <c r="D86">
        <v>0</v>
      </c>
    </row>
    <row r="87" spans="1:4">
      <c r="A87" t="s">
        <v>66</v>
      </c>
      <c r="D87">
        <v>0</v>
      </c>
    </row>
    <row r="88" spans="1:4">
      <c r="A88" t="s">
        <v>90</v>
      </c>
      <c r="D88">
        <v>4</v>
      </c>
    </row>
    <row r="89" spans="1:4">
      <c r="A89" t="s">
        <v>106</v>
      </c>
      <c r="D89">
        <v>4</v>
      </c>
    </row>
    <row r="90" spans="1:4">
      <c r="A90" t="s">
        <v>81</v>
      </c>
      <c r="D90">
        <v>4</v>
      </c>
    </row>
    <row r="91" spans="1:4">
      <c r="A91" t="s">
        <v>83</v>
      </c>
      <c r="D91">
        <v>4</v>
      </c>
    </row>
    <row r="92" spans="1:4">
      <c r="A92" t="s">
        <v>107</v>
      </c>
      <c r="D92">
        <v>4</v>
      </c>
    </row>
    <row r="93" spans="1:4">
      <c r="A93" t="s">
        <v>78</v>
      </c>
      <c r="D93">
        <v>4</v>
      </c>
    </row>
    <row r="94" spans="1:4">
      <c r="A94" t="s">
        <v>108</v>
      </c>
      <c r="D94">
        <v>4</v>
      </c>
    </row>
    <row r="95" spans="1:4">
      <c r="A95" t="s">
        <v>109</v>
      </c>
      <c r="D95">
        <v>4</v>
      </c>
    </row>
    <row r="96" spans="1:4">
      <c r="A96" t="s">
        <v>110</v>
      </c>
      <c r="D96">
        <v>4</v>
      </c>
    </row>
    <row r="97" spans="1:4">
      <c r="A97" t="s">
        <v>68</v>
      </c>
      <c r="D97">
        <v>4</v>
      </c>
    </row>
    <row r="98" spans="1:4">
      <c r="A98" t="s">
        <v>111</v>
      </c>
      <c r="D98">
        <v>4</v>
      </c>
    </row>
    <row r="99" spans="1:4">
      <c r="A99" t="s">
        <v>112</v>
      </c>
      <c r="D99">
        <v>4</v>
      </c>
    </row>
    <row r="100" spans="1:4">
      <c r="A100" t="s">
        <v>15</v>
      </c>
      <c r="D100">
        <v>0</v>
      </c>
    </row>
    <row r="101" spans="1:4">
      <c r="A101" t="s">
        <v>113</v>
      </c>
      <c r="D101">
        <v>4</v>
      </c>
    </row>
    <row r="102" spans="1:4">
      <c r="A102" t="s">
        <v>114</v>
      </c>
      <c r="D102">
        <v>4</v>
      </c>
    </row>
    <row r="103" spans="1:4">
      <c r="A103" t="s">
        <v>65</v>
      </c>
      <c r="D103">
        <v>4</v>
      </c>
    </row>
    <row r="104" spans="1:4">
      <c r="A104" s="9" t="s">
        <v>91</v>
      </c>
      <c r="D104">
        <v>8</v>
      </c>
    </row>
    <row r="105" spans="1:4">
      <c r="A105" s="9" t="s">
        <v>92</v>
      </c>
      <c r="D105">
        <v>24</v>
      </c>
    </row>
  </sheetData>
  <phoneticPr fontId="2" type="noConversion"/>
  <conditionalFormatting sqref="A2:A12 A17:A105">
    <cfRule type="duplicateValues" dxfId="1" priority="2"/>
  </conditionalFormatting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66B10-4781-4AE4-9F5D-9E47F5FB3D34}">
  <dimension ref="A1:J107"/>
  <sheetViews>
    <sheetView topLeftCell="A90" workbookViewId="0">
      <selection activeCell="B93" sqref="B93"/>
    </sheetView>
  </sheetViews>
  <sheetFormatPr defaultRowHeight="15"/>
  <cols>
    <col min="1" max="1" width="35.7109375" customWidth="1"/>
    <col min="2" max="2" width="28.5703125" customWidth="1"/>
    <col min="3" max="3" width="65.140625" bestFit="1" customWidth="1"/>
    <col min="4" max="4" width="35.7109375" customWidth="1"/>
    <col min="5" max="5" width="17.28515625" customWidth="1"/>
    <col min="6" max="6" width="39.42578125" bestFit="1" customWidth="1"/>
    <col min="7" max="7" width="6.5703125" bestFit="1" customWidth="1"/>
    <col min="8" max="8" width="27.7109375" bestFit="1" customWidth="1"/>
  </cols>
  <sheetData>
    <row r="1" spans="1:10" ht="15.75" thickBot="1">
      <c r="A1" s="26" t="s">
        <v>125</v>
      </c>
      <c r="B1" s="26" t="s">
        <v>360</v>
      </c>
      <c r="C1" s="27" t="s">
        <v>124</v>
      </c>
      <c r="D1" t="s">
        <v>351</v>
      </c>
      <c r="E1" t="s">
        <v>11</v>
      </c>
      <c r="F1" t="s">
        <v>364</v>
      </c>
      <c r="G1" t="s">
        <v>361</v>
      </c>
      <c r="H1" s="27" t="s">
        <v>362</v>
      </c>
      <c r="I1" t="s">
        <v>363</v>
      </c>
      <c r="J1" t="s">
        <v>365</v>
      </c>
    </row>
    <row r="2" spans="1:10">
      <c r="A2" t="s">
        <v>1</v>
      </c>
      <c r="B2" t="s">
        <v>443</v>
      </c>
      <c r="C2" t="s">
        <v>388</v>
      </c>
      <c r="D2" t="s">
        <v>352</v>
      </c>
      <c r="E2" s="1">
        <v>255.69</v>
      </c>
      <c r="F2" t="s">
        <v>122</v>
      </c>
      <c r="G2">
        <v>4</v>
      </c>
      <c r="H2">
        <v>41</v>
      </c>
      <c r="I2">
        <f>G2/2</f>
        <v>2</v>
      </c>
      <c r="J2">
        <v>1</v>
      </c>
    </row>
    <row r="3" spans="1:10">
      <c r="A3" t="s">
        <v>2</v>
      </c>
      <c r="B3" t="s">
        <v>443</v>
      </c>
      <c r="C3" t="s">
        <v>391</v>
      </c>
      <c r="D3" t="s">
        <v>352</v>
      </c>
      <c r="E3" s="1">
        <v>232.01</v>
      </c>
      <c r="F3" t="s">
        <v>122</v>
      </c>
      <c r="G3">
        <v>4</v>
      </c>
      <c r="H3">
        <v>41</v>
      </c>
      <c r="I3">
        <f t="shared" ref="I3:I66" si="0">G3/2</f>
        <v>2</v>
      </c>
      <c r="J3">
        <v>1</v>
      </c>
    </row>
    <row r="4" spans="1:10">
      <c r="A4" t="s">
        <v>3</v>
      </c>
      <c r="B4" t="s">
        <v>443</v>
      </c>
      <c r="C4" t="s">
        <v>386</v>
      </c>
      <c r="D4" t="s">
        <v>352</v>
      </c>
      <c r="E4" s="1">
        <v>182.96</v>
      </c>
      <c r="F4" t="s">
        <v>122</v>
      </c>
      <c r="G4">
        <v>4</v>
      </c>
      <c r="H4">
        <v>41</v>
      </c>
      <c r="I4">
        <f t="shared" si="0"/>
        <v>2</v>
      </c>
      <c r="J4">
        <v>1</v>
      </c>
    </row>
    <row r="5" spans="1:10">
      <c r="A5" t="s">
        <v>4</v>
      </c>
      <c r="B5" t="s">
        <v>443</v>
      </c>
      <c r="C5" t="s">
        <v>375</v>
      </c>
      <c r="D5" t="s">
        <v>352</v>
      </c>
      <c r="E5" s="1">
        <v>177.98</v>
      </c>
      <c r="F5" t="s">
        <v>122</v>
      </c>
      <c r="G5">
        <v>4</v>
      </c>
      <c r="H5">
        <v>41</v>
      </c>
      <c r="I5">
        <f t="shared" si="0"/>
        <v>2</v>
      </c>
      <c r="J5">
        <v>1</v>
      </c>
    </row>
    <row r="6" spans="1:10">
      <c r="A6" t="s">
        <v>5</v>
      </c>
      <c r="B6" t="s">
        <v>443</v>
      </c>
      <c r="C6" t="s">
        <v>383</v>
      </c>
      <c r="D6" t="s">
        <v>352</v>
      </c>
      <c r="E6" s="1">
        <v>189.24</v>
      </c>
      <c r="F6" t="s">
        <v>122</v>
      </c>
      <c r="G6">
        <v>4</v>
      </c>
      <c r="H6">
        <v>41</v>
      </c>
      <c r="I6">
        <f t="shared" si="0"/>
        <v>2</v>
      </c>
      <c r="J6">
        <v>1</v>
      </c>
    </row>
    <row r="7" spans="1:10">
      <c r="A7" t="s">
        <v>6</v>
      </c>
      <c r="B7" t="s">
        <v>443</v>
      </c>
      <c r="C7" t="s">
        <v>390</v>
      </c>
      <c r="D7" t="s">
        <v>352</v>
      </c>
      <c r="E7">
        <v>124.56</v>
      </c>
      <c r="F7" t="s">
        <v>122</v>
      </c>
      <c r="G7">
        <v>2</v>
      </c>
      <c r="H7">
        <v>41</v>
      </c>
      <c r="I7">
        <f t="shared" si="0"/>
        <v>1</v>
      </c>
      <c r="J7">
        <v>1</v>
      </c>
    </row>
    <row r="8" spans="1:10">
      <c r="A8" t="s">
        <v>7</v>
      </c>
      <c r="B8" t="s">
        <v>443</v>
      </c>
      <c r="C8" t="s">
        <v>385</v>
      </c>
      <c r="D8" t="s">
        <v>352</v>
      </c>
      <c r="E8">
        <v>147.09</v>
      </c>
      <c r="F8" t="s">
        <v>122</v>
      </c>
      <c r="G8">
        <v>2</v>
      </c>
      <c r="H8">
        <v>41</v>
      </c>
      <c r="I8">
        <f t="shared" si="0"/>
        <v>1</v>
      </c>
      <c r="J8">
        <v>1</v>
      </c>
    </row>
    <row r="9" spans="1:10">
      <c r="A9" t="s">
        <v>8</v>
      </c>
      <c r="B9" t="s">
        <v>443</v>
      </c>
      <c r="C9" t="s">
        <v>389</v>
      </c>
      <c r="D9" t="s">
        <v>352</v>
      </c>
      <c r="E9" s="1">
        <v>178.86</v>
      </c>
      <c r="F9" t="s">
        <v>122</v>
      </c>
      <c r="G9">
        <v>4</v>
      </c>
      <c r="H9">
        <v>41</v>
      </c>
      <c r="I9">
        <f t="shared" si="0"/>
        <v>2</v>
      </c>
      <c r="J9">
        <v>1</v>
      </c>
    </row>
    <row r="10" spans="1:10">
      <c r="A10" t="s">
        <v>9</v>
      </c>
      <c r="B10" t="s">
        <v>443</v>
      </c>
      <c r="C10" t="s">
        <v>387</v>
      </c>
      <c r="D10" t="s">
        <v>352</v>
      </c>
      <c r="E10">
        <v>147.68</v>
      </c>
      <c r="F10" t="s">
        <v>122</v>
      </c>
      <c r="G10">
        <v>2</v>
      </c>
      <c r="H10">
        <v>41</v>
      </c>
      <c r="I10">
        <f t="shared" si="0"/>
        <v>1</v>
      </c>
      <c r="J10">
        <v>1</v>
      </c>
    </row>
    <row r="11" spans="1:10">
      <c r="A11" t="s">
        <v>10</v>
      </c>
      <c r="B11" t="s">
        <v>443</v>
      </c>
      <c r="C11" t="s">
        <v>380</v>
      </c>
      <c r="D11" t="s">
        <v>352</v>
      </c>
      <c r="E11" s="2">
        <v>120.2</v>
      </c>
      <c r="F11" t="s">
        <v>122</v>
      </c>
      <c r="G11">
        <v>2</v>
      </c>
      <c r="H11">
        <v>41</v>
      </c>
      <c r="I11">
        <f t="shared" si="0"/>
        <v>1</v>
      </c>
      <c r="J11">
        <v>1</v>
      </c>
    </row>
    <row r="12" spans="1:10">
      <c r="A12" t="s">
        <v>123</v>
      </c>
      <c r="B12" t="s">
        <v>443</v>
      </c>
      <c r="C12" t="s">
        <v>384</v>
      </c>
      <c r="D12" t="s">
        <v>352</v>
      </c>
      <c r="E12">
        <v>103.33</v>
      </c>
      <c r="F12" t="s">
        <v>122</v>
      </c>
      <c r="G12">
        <v>2</v>
      </c>
      <c r="H12">
        <v>41</v>
      </c>
      <c r="I12">
        <f t="shared" si="0"/>
        <v>1</v>
      </c>
      <c r="J12">
        <v>1</v>
      </c>
    </row>
    <row r="13" spans="1:10">
      <c r="A13" t="s">
        <v>118</v>
      </c>
      <c r="B13" t="s">
        <v>443</v>
      </c>
      <c r="C13" t="s">
        <v>115</v>
      </c>
      <c r="D13" t="s">
        <v>353</v>
      </c>
      <c r="E13">
        <v>92.03</v>
      </c>
      <c r="F13" t="s">
        <v>121</v>
      </c>
      <c r="G13">
        <v>2</v>
      </c>
      <c r="H13">
        <v>41</v>
      </c>
      <c r="I13">
        <f t="shared" si="0"/>
        <v>1</v>
      </c>
      <c r="J13">
        <v>1</v>
      </c>
    </row>
    <row r="14" spans="1:10">
      <c r="A14" t="s">
        <v>119</v>
      </c>
      <c r="B14" t="s">
        <v>443</v>
      </c>
      <c r="C14" t="s">
        <v>116</v>
      </c>
      <c r="D14" t="s">
        <v>353</v>
      </c>
      <c r="E14">
        <v>109.37</v>
      </c>
      <c r="F14" t="s">
        <v>121</v>
      </c>
      <c r="G14">
        <v>2</v>
      </c>
      <c r="H14">
        <v>41</v>
      </c>
      <c r="I14">
        <f t="shared" si="0"/>
        <v>1</v>
      </c>
      <c r="J14">
        <v>1</v>
      </c>
    </row>
    <row r="15" spans="1:10">
      <c r="A15" t="s">
        <v>120</v>
      </c>
      <c r="B15" t="s">
        <v>443</v>
      </c>
      <c r="C15" t="s">
        <v>117</v>
      </c>
      <c r="D15" t="s">
        <v>353</v>
      </c>
      <c r="E15">
        <v>94.25</v>
      </c>
      <c r="F15" t="s">
        <v>121</v>
      </c>
      <c r="G15">
        <v>2</v>
      </c>
      <c r="H15">
        <v>41</v>
      </c>
      <c r="I15">
        <f t="shared" si="0"/>
        <v>1</v>
      </c>
      <c r="J15">
        <v>1</v>
      </c>
    </row>
    <row r="16" spans="1:10">
      <c r="A16" t="s">
        <v>45</v>
      </c>
      <c r="B16" t="s">
        <v>443</v>
      </c>
      <c r="C16" t="s">
        <v>171</v>
      </c>
      <c r="D16" t="s">
        <v>354</v>
      </c>
      <c r="E16">
        <v>250</v>
      </c>
      <c r="F16" t="s">
        <v>39</v>
      </c>
      <c r="G16">
        <v>4</v>
      </c>
      <c r="H16">
        <v>41</v>
      </c>
      <c r="I16">
        <f t="shared" si="0"/>
        <v>2</v>
      </c>
      <c r="J16">
        <v>1</v>
      </c>
    </row>
    <row r="17" spans="1:10">
      <c r="A17" t="s">
        <v>46</v>
      </c>
      <c r="B17" t="s">
        <v>443</v>
      </c>
      <c r="C17" t="s">
        <v>172</v>
      </c>
      <c r="D17" t="s">
        <v>354</v>
      </c>
      <c r="E17">
        <v>250</v>
      </c>
      <c r="F17" t="s">
        <v>39</v>
      </c>
      <c r="G17">
        <v>4</v>
      </c>
      <c r="H17">
        <v>41</v>
      </c>
      <c r="I17">
        <f t="shared" si="0"/>
        <v>2</v>
      </c>
      <c r="J17">
        <v>1</v>
      </c>
    </row>
    <row r="18" spans="1:10">
      <c r="A18" t="s">
        <v>47</v>
      </c>
      <c r="B18" t="s">
        <v>443</v>
      </c>
      <c r="C18" t="s">
        <v>173</v>
      </c>
      <c r="D18" t="s">
        <v>354</v>
      </c>
      <c r="E18">
        <v>250</v>
      </c>
      <c r="F18" t="s">
        <v>39</v>
      </c>
      <c r="G18">
        <v>4</v>
      </c>
      <c r="H18">
        <v>41</v>
      </c>
      <c r="I18">
        <f t="shared" si="0"/>
        <v>2</v>
      </c>
      <c r="J18">
        <v>1</v>
      </c>
    </row>
    <row r="19" spans="1:10">
      <c r="A19" t="s">
        <v>48</v>
      </c>
      <c r="B19" t="s">
        <v>443</v>
      </c>
      <c r="C19" t="s">
        <v>174</v>
      </c>
      <c r="D19" t="s">
        <v>354</v>
      </c>
      <c r="E19">
        <v>250</v>
      </c>
      <c r="F19" t="s">
        <v>39</v>
      </c>
      <c r="G19">
        <v>4</v>
      </c>
      <c r="H19">
        <v>41</v>
      </c>
      <c r="I19">
        <f t="shared" si="0"/>
        <v>2</v>
      </c>
      <c r="J19">
        <v>1</v>
      </c>
    </row>
    <row r="20" spans="1:10">
      <c r="A20" t="s">
        <v>49</v>
      </c>
      <c r="B20" t="s">
        <v>443</v>
      </c>
      <c r="C20" t="s">
        <v>175</v>
      </c>
      <c r="D20" t="s">
        <v>354</v>
      </c>
      <c r="E20">
        <v>250</v>
      </c>
      <c r="F20" t="s">
        <v>39</v>
      </c>
      <c r="G20">
        <v>4</v>
      </c>
      <c r="H20">
        <v>41</v>
      </c>
      <c r="I20">
        <f t="shared" si="0"/>
        <v>2</v>
      </c>
      <c r="J20">
        <v>1</v>
      </c>
    </row>
    <row r="21" spans="1:10">
      <c r="A21" t="s">
        <v>14</v>
      </c>
      <c r="B21" t="s">
        <v>443</v>
      </c>
      <c r="C21" t="s">
        <v>176</v>
      </c>
      <c r="D21" t="s">
        <v>355</v>
      </c>
      <c r="E21">
        <v>250</v>
      </c>
      <c r="F21" t="s">
        <v>220</v>
      </c>
      <c r="G21">
        <v>4</v>
      </c>
      <c r="H21">
        <v>41</v>
      </c>
      <c r="I21">
        <f t="shared" si="0"/>
        <v>2</v>
      </c>
      <c r="J21">
        <v>1</v>
      </c>
    </row>
    <row r="22" spans="1:10">
      <c r="A22" t="s">
        <v>15</v>
      </c>
      <c r="B22" t="s">
        <v>443</v>
      </c>
      <c r="C22" t="s">
        <v>177</v>
      </c>
      <c r="D22" t="s">
        <v>355</v>
      </c>
      <c r="E22">
        <v>250</v>
      </c>
      <c r="F22" t="s">
        <v>220</v>
      </c>
      <c r="G22">
        <v>4</v>
      </c>
      <c r="H22">
        <v>41</v>
      </c>
      <c r="I22">
        <f t="shared" si="0"/>
        <v>2</v>
      </c>
      <c r="J22">
        <v>1</v>
      </c>
    </row>
    <row r="23" spans="1:10">
      <c r="A23" t="s">
        <v>16</v>
      </c>
      <c r="B23" t="s">
        <v>443</v>
      </c>
      <c r="C23" t="s">
        <v>178</v>
      </c>
      <c r="D23" t="s">
        <v>355</v>
      </c>
      <c r="E23">
        <v>250</v>
      </c>
      <c r="F23" t="s">
        <v>220</v>
      </c>
      <c r="G23">
        <v>4</v>
      </c>
      <c r="H23">
        <v>41</v>
      </c>
      <c r="I23">
        <f t="shared" si="0"/>
        <v>2</v>
      </c>
      <c r="J23">
        <v>1</v>
      </c>
    </row>
    <row r="24" spans="1:10">
      <c r="A24" t="s">
        <v>100</v>
      </c>
      <c r="B24" t="s">
        <v>443</v>
      </c>
      <c r="C24" t="s">
        <v>179</v>
      </c>
      <c r="D24" t="s">
        <v>355</v>
      </c>
      <c r="E24">
        <v>250</v>
      </c>
      <c r="F24" t="s">
        <v>220</v>
      </c>
      <c r="G24">
        <v>4</v>
      </c>
      <c r="H24">
        <v>41</v>
      </c>
      <c r="I24">
        <f t="shared" si="0"/>
        <v>2</v>
      </c>
      <c r="J24">
        <v>1</v>
      </c>
    </row>
    <row r="25" spans="1:10">
      <c r="A25" t="s">
        <v>66</v>
      </c>
      <c r="B25" t="s">
        <v>443</v>
      </c>
      <c r="C25" t="s">
        <v>202</v>
      </c>
      <c r="D25" t="s">
        <v>355</v>
      </c>
      <c r="E25">
        <v>250</v>
      </c>
      <c r="F25" t="s">
        <v>220</v>
      </c>
      <c r="G25">
        <v>4</v>
      </c>
      <c r="H25">
        <v>41</v>
      </c>
      <c r="I25">
        <f t="shared" si="0"/>
        <v>2</v>
      </c>
      <c r="J25">
        <v>1</v>
      </c>
    </row>
    <row r="26" spans="1:10">
      <c r="A26" t="s">
        <v>17</v>
      </c>
      <c r="B26" t="s">
        <v>443</v>
      </c>
      <c r="C26" t="s">
        <v>180</v>
      </c>
      <c r="D26" t="s">
        <v>355</v>
      </c>
      <c r="E26">
        <v>250</v>
      </c>
      <c r="F26" t="s">
        <v>220</v>
      </c>
      <c r="G26">
        <v>4</v>
      </c>
      <c r="H26">
        <v>41</v>
      </c>
      <c r="I26">
        <f t="shared" si="0"/>
        <v>2</v>
      </c>
      <c r="J26">
        <v>1</v>
      </c>
    </row>
    <row r="27" spans="1:10">
      <c r="A27" t="s">
        <v>18</v>
      </c>
      <c r="B27" t="s">
        <v>443</v>
      </c>
      <c r="C27" t="s">
        <v>181</v>
      </c>
      <c r="D27" t="s">
        <v>355</v>
      </c>
      <c r="E27">
        <v>250</v>
      </c>
      <c r="F27" t="s">
        <v>220</v>
      </c>
      <c r="G27">
        <v>4</v>
      </c>
      <c r="H27">
        <v>41</v>
      </c>
      <c r="I27">
        <f t="shared" si="0"/>
        <v>2</v>
      </c>
      <c r="J27">
        <v>1</v>
      </c>
    </row>
    <row r="28" spans="1:10">
      <c r="A28" t="s">
        <v>19</v>
      </c>
      <c r="B28" t="s">
        <v>443</v>
      </c>
      <c r="C28" t="s">
        <v>182</v>
      </c>
      <c r="D28" t="s">
        <v>355</v>
      </c>
      <c r="E28">
        <v>250</v>
      </c>
      <c r="F28" t="s">
        <v>220</v>
      </c>
      <c r="G28">
        <v>4</v>
      </c>
      <c r="H28">
        <v>41</v>
      </c>
      <c r="I28">
        <f t="shared" si="0"/>
        <v>2</v>
      </c>
      <c r="J28">
        <v>1</v>
      </c>
    </row>
    <row r="29" spans="1:10">
      <c r="A29" t="s">
        <v>20</v>
      </c>
      <c r="B29" t="s">
        <v>443</v>
      </c>
      <c r="C29" t="s">
        <v>183</v>
      </c>
      <c r="D29" t="s">
        <v>355</v>
      </c>
      <c r="E29">
        <v>250</v>
      </c>
      <c r="F29" t="s">
        <v>220</v>
      </c>
      <c r="G29">
        <v>4</v>
      </c>
      <c r="H29">
        <v>41</v>
      </c>
      <c r="I29">
        <f t="shared" si="0"/>
        <v>2</v>
      </c>
      <c r="J29">
        <v>1</v>
      </c>
    </row>
    <row r="30" spans="1:10">
      <c r="A30" t="s">
        <v>21</v>
      </c>
      <c r="B30" t="s">
        <v>443</v>
      </c>
      <c r="C30" t="s">
        <v>184</v>
      </c>
      <c r="D30" t="s">
        <v>355</v>
      </c>
      <c r="E30">
        <v>250</v>
      </c>
      <c r="F30" t="s">
        <v>220</v>
      </c>
      <c r="G30">
        <v>4</v>
      </c>
      <c r="H30">
        <v>41</v>
      </c>
      <c r="I30">
        <f t="shared" si="0"/>
        <v>2</v>
      </c>
      <c r="J30">
        <v>1</v>
      </c>
    </row>
    <row r="31" spans="1:10">
      <c r="A31" t="s">
        <v>22</v>
      </c>
      <c r="B31" t="s">
        <v>443</v>
      </c>
      <c r="C31" t="s">
        <v>185</v>
      </c>
      <c r="D31" t="s">
        <v>355</v>
      </c>
      <c r="E31">
        <v>250</v>
      </c>
      <c r="F31" t="s">
        <v>220</v>
      </c>
      <c r="G31">
        <v>4</v>
      </c>
      <c r="H31">
        <v>41</v>
      </c>
      <c r="I31">
        <f t="shared" si="0"/>
        <v>2</v>
      </c>
      <c r="J31">
        <v>1</v>
      </c>
    </row>
    <row r="32" spans="1:10">
      <c r="A32" t="s">
        <v>23</v>
      </c>
      <c r="B32" t="s">
        <v>443</v>
      </c>
      <c r="C32" t="s">
        <v>186</v>
      </c>
      <c r="D32" t="s">
        <v>355</v>
      </c>
      <c r="E32">
        <v>250</v>
      </c>
      <c r="F32" t="s">
        <v>220</v>
      </c>
      <c r="G32">
        <v>4</v>
      </c>
      <c r="H32">
        <v>41</v>
      </c>
      <c r="I32">
        <f t="shared" si="0"/>
        <v>2</v>
      </c>
      <c r="J32">
        <v>1</v>
      </c>
    </row>
    <row r="33" spans="1:10">
      <c r="A33" t="s">
        <v>24</v>
      </c>
      <c r="B33" t="s">
        <v>443</v>
      </c>
      <c r="C33" t="s">
        <v>187</v>
      </c>
      <c r="D33" t="s">
        <v>355</v>
      </c>
      <c r="E33">
        <v>250</v>
      </c>
      <c r="F33" t="s">
        <v>220</v>
      </c>
      <c r="G33">
        <v>4</v>
      </c>
      <c r="H33">
        <v>41</v>
      </c>
      <c r="I33">
        <f t="shared" si="0"/>
        <v>2</v>
      </c>
      <c r="J33">
        <v>1</v>
      </c>
    </row>
    <row r="34" spans="1:10">
      <c r="A34" t="s">
        <v>25</v>
      </c>
      <c r="B34" t="s">
        <v>443</v>
      </c>
      <c r="C34" t="s">
        <v>188</v>
      </c>
      <c r="D34" t="s">
        <v>355</v>
      </c>
      <c r="E34">
        <v>250</v>
      </c>
      <c r="F34" t="s">
        <v>220</v>
      </c>
      <c r="G34">
        <v>4</v>
      </c>
      <c r="H34">
        <v>41</v>
      </c>
      <c r="I34">
        <f t="shared" si="0"/>
        <v>2</v>
      </c>
      <c r="J34">
        <v>1</v>
      </c>
    </row>
    <row r="35" spans="1:10">
      <c r="A35" t="s">
        <v>26</v>
      </c>
      <c r="B35" t="s">
        <v>443</v>
      </c>
      <c r="C35" t="s">
        <v>189</v>
      </c>
      <c r="D35" t="s">
        <v>355</v>
      </c>
      <c r="E35">
        <v>250</v>
      </c>
      <c r="F35" t="s">
        <v>220</v>
      </c>
      <c r="G35">
        <v>4</v>
      </c>
      <c r="H35">
        <v>41</v>
      </c>
      <c r="I35">
        <f t="shared" si="0"/>
        <v>2</v>
      </c>
      <c r="J35">
        <v>1</v>
      </c>
    </row>
    <row r="36" spans="1:10">
      <c r="A36" t="s">
        <v>27</v>
      </c>
      <c r="B36" t="s">
        <v>443</v>
      </c>
      <c r="C36" t="s">
        <v>190</v>
      </c>
      <c r="D36" t="s">
        <v>355</v>
      </c>
      <c r="E36">
        <v>250</v>
      </c>
      <c r="F36" t="s">
        <v>220</v>
      </c>
      <c r="G36">
        <v>4</v>
      </c>
      <c r="H36">
        <v>41</v>
      </c>
      <c r="I36">
        <f t="shared" si="0"/>
        <v>2</v>
      </c>
      <c r="J36">
        <v>1</v>
      </c>
    </row>
    <row r="37" spans="1:10">
      <c r="A37" t="s">
        <v>28</v>
      </c>
      <c r="B37" t="s">
        <v>443</v>
      </c>
      <c r="C37" t="s">
        <v>191</v>
      </c>
      <c r="D37" t="s">
        <v>355</v>
      </c>
      <c r="E37">
        <v>250</v>
      </c>
      <c r="F37" t="s">
        <v>220</v>
      </c>
      <c r="G37">
        <v>4</v>
      </c>
      <c r="H37">
        <v>41</v>
      </c>
      <c r="I37">
        <f t="shared" si="0"/>
        <v>2</v>
      </c>
      <c r="J37">
        <v>1</v>
      </c>
    </row>
    <row r="38" spans="1:10">
      <c r="A38" t="s">
        <v>29</v>
      </c>
      <c r="B38" t="s">
        <v>443</v>
      </c>
      <c r="C38" t="s">
        <v>192</v>
      </c>
      <c r="D38" t="s">
        <v>355</v>
      </c>
      <c r="E38">
        <v>250</v>
      </c>
      <c r="F38" t="s">
        <v>220</v>
      </c>
      <c r="G38">
        <v>4</v>
      </c>
      <c r="H38">
        <v>41</v>
      </c>
      <c r="I38">
        <f t="shared" si="0"/>
        <v>2</v>
      </c>
      <c r="J38">
        <v>1</v>
      </c>
    </row>
    <row r="39" spans="1:10">
      <c r="A39" t="s">
        <v>30</v>
      </c>
      <c r="B39" t="s">
        <v>443</v>
      </c>
      <c r="C39" t="s">
        <v>193</v>
      </c>
      <c r="D39" t="s">
        <v>355</v>
      </c>
      <c r="E39">
        <v>250</v>
      </c>
      <c r="F39" t="s">
        <v>220</v>
      </c>
      <c r="G39">
        <v>4</v>
      </c>
      <c r="H39">
        <v>41</v>
      </c>
      <c r="I39">
        <f t="shared" si="0"/>
        <v>2</v>
      </c>
      <c r="J39">
        <v>1</v>
      </c>
    </row>
    <row r="40" spans="1:10">
      <c r="A40" t="s">
        <v>31</v>
      </c>
      <c r="B40" t="s">
        <v>443</v>
      </c>
      <c r="C40" t="s">
        <v>194</v>
      </c>
      <c r="D40" t="s">
        <v>355</v>
      </c>
      <c r="E40">
        <v>250</v>
      </c>
      <c r="F40" t="s">
        <v>220</v>
      </c>
      <c r="G40">
        <v>4</v>
      </c>
      <c r="H40">
        <v>41</v>
      </c>
      <c r="I40">
        <f t="shared" si="0"/>
        <v>2</v>
      </c>
      <c r="J40">
        <v>1</v>
      </c>
    </row>
    <row r="41" spans="1:10">
      <c r="A41" t="s">
        <v>32</v>
      </c>
      <c r="B41" t="s">
        <v>443</v>
      </c>
      <c r="C41" t="s">
        <v>195</v>
      </c>
      <c r="D41" t="s">
        <v>355</v>
      </c>
      <c r="E41">
        <v>250</v>
      </c>
      <c r="F41" t="s">
        <v>220</v>
      </c>
      <c r="G41">
        <v>4</v>
      </c>
      <c r="H41">
        <v>41</v>
      </c>
      <c r="I41">
        <f t="shared" si="0"/>
        <v>2</v>
      </c>
      <c r="J41">
        <v>1</v>
      </c>
    </row>
    <row r="42" spans="1:10">
      <c r="A42" t="s">
        <v>33</v>
      </c>
      <c r="B42" t="s">
        <v>443</v>
      </c>
      <c r="C42" t="s">
        <v>196</v>
      </c>
      <c r="D42" t="s">
        <v>355</v>
      </c>
      <c r="E42">
        <v>250</v>
      </c>
      <c r="F42" t="s">
        <v>220</v>
      </c>
      <c r="G42">
        <v>4</v>
      </c>
      <c r="H42">
        <v>41</v>
      </c>
      <c r="I42">
        <f t="shared" si="0"/>
        <v>2</v>
      </c>
      <c r="J42">
        <v>1</v>
      </c>
    </row>
    <row r="43" spans="1:10">
      <c r="A43" t="s">
        <v>34</v>
      </c>
      <c r="B43" t="s">
        <v>443</v>
      </c>
      <c r="C43" t="s">
        <v>197</v>
      </c>
      <c r="D43" t="s">
        <v>355</v>
      </c>
      <c r="E43">
        <v>250</v>
      </c>
      <c r="F43" t="s">
        <v>220</v>
      </c>
      <c r="G43">
        <v>4</v>
      </c>
      <c r="H43">
        <v>41</v>
      </c>
      <c r="I43">
        <f t="shared" si="0"/>
        <v>2</v>
      </c>
      <c r="J43">
        <v>1</v>
      </c>
    </row>
    <row r="44" spans="1:10">
      <c r="A44" t="s">
        <v>35</v>
      </c>
      <c r="B44" t="s">
        <v>443</v>
      </c>
      <c r="C44" t="s">
        <v>198</v>
      </c>
      <c r="D44" t="s">
        <v>355</v>
      </c>
      <c r="E44">
        <v>250</v>
      </c>
      <c r="F44" t="s">
        <v>220</v>
      </c>
      <c r="G44">
        <v>4</v>
      </c>
      <c r="H44">
        <v>41</v>
      </c>
      <c r="I44">
        <f t="shared" si="0"/>
        <v>2</v>
      </c>
      <c r="J44">
        <v>1</v>
      </c>
    </row>
    <row r="45" spans="1:10">
      <c r="A45" t="s">
        <v>36</v>
      </c>
      <c r="B45" t="s">
        <v>443</v>
      </c>
      <c r="C45" t="s">
        <v>199</v>
      </c>
      <c r="D45" t="s">
        <v>355</v>
      </c>
      <c r="E45">
        <v>250</v>
      </c>
      <c r="F45" t="s">
        <v>220</v>
      </c>
      <c r="G45">
        <v>4</v>
      </c>
      <c r="H45">
        <v>41</v>
      </c>
      <c r="I45">
        <f t="shared" si="0"/>
        <v>2</v>
      </c>
      <c r="J45">
        <v>1</v>
      </c>
    </row>
    <row r="46" spans="1:10">
      <c r="A46" t="s">
        <v>37</v>
      </c>
      <c r="B46" t="s">
        <v>443</v>
      </c>
      <c r="C46" t="s">
        <v>200</v>
      </c>
      <c r="D46" t="s">
        <v>355</v>
      </c>
      <c r="E46">
        <v>250</v>
      </c>
      <c r="F46" t="s">
        <v>220</v>
      </c>
      <c r="G46">
        <v>4</v>
      </c>
      <c r="H46">
        <v>41</v>
      </c>
      <c r="I46">
        <f t="shared" si="0"/>
        <v>2</v>
      </c>
      <c r="J46">
        <v>1</v>
      </c>
    </row>
    <row r="47" spans="1:10">
      <c r="A47" t="s">
        <v>38</v>
      </c>
      <c r="B47" t="s">
        <v>443</v>
      </c>
      <c r="C47" t="s">
        <v>201</v>
      </c>
      <c r="D47" t="s">
        <v>355</v>
      </c>
      <c r="E47">
        <v>250</v>
      </c>
      <c r="F47" t="s">
        <v>220</v>
      </c>
      <c r="G47">
        <v>4</v>
      </c>
      <c r="H47">
        <v>41</v>
      </c>
      <c r="I47">
        <f t="shared" si="0"/>
        <v>2</v>
      </c>
      <c r="J47">
        <v>1</v>
      </c>
    </row>
    <row r="48" spans="1:10">
      <c r="A48" t="s">
        <v>0</v>
      </c>
      <c r="B48" t="s">
        <v>443</v>
      </c>
      <c r="C48" t="s">
        <v>330</v>
      </c>
      <c r="D48" t="s">
        <v>356</v>
      </c>
      <c r="E48">
        <v>250</v>
      </c>
      <c r="F48" t="s">
        <v>350</v>
      </c>
      <c r="G48">
        <v>4</v>
      </c>
      <c r="H48">
        <v>41</v>
      </c>
      <c r="I48">
        <f t="shared" si="0"/>
        <v>2</v>
      </c>
      <c r="J48">
        <v>1</v>
      </c>
    </row>
    <row r="49" spans="1:10">
      <c r="A49" t="s">
        <v>52</v>
      </c>
      <c r="B49" t="s">
        <v>443</v>
      </c>
      <c r="C49" t="s">
        <v>279</v>
      </c>
      <c r="D49" t="s">
        <v>356</v>
      </c>
      <c r="E49">
        <v>250</v>
      </c>
      <c r="F49" t="s">
        <v>350</v>
      </c>
      <c r="G49">
        <v>4</v>
      </c>
      <c r="H49">
        <v>41</v>
      </c>
      <c r="I49">
        <f t="shared" si="0"/>
        <v>2</v>
      </c>
      <c r="J49">
        <v>1</v>
      </c>
    </row>
    <row r="50" spans="1:10">
      <c r="A50" t="s">
        <v>53</v>
      </c>
      <c r="B50" t="s">
        <v>443</v>
      </c>
      <c r="C50" t="s">
        <v>304</v>
      </c>
      <c r="D50" t="s">
        <v>356</v>
      </c>
      <c r="E50">
        <v>250</v>
      </c>
      <c r="F50" t="s">
        <v>350</v>
      </c>
      <c r="G50">
        <v>4</v>
      </c>
      <c r="H50">
        <v>41</v>
      </c>
      <c r="I50">
        <f t="shared" si="0"/>
        <v>2</v>
      </c>
      <c r="J50">
        <v>1</v>
      </c>
    </row>
    <row r="51" spans="1:10">
      <c r="A51" t="s">
        <v>0</v>
      </c>
      <c r="B51" t="s">
        <v>443</v>
      </c>
      <c r="C51" t="s">
        <v>330</v>
      </c>
      <c r="D51" t="s">
        <v>357</v>
      </c>
      <c r="E51">
        <v>846</v>
      </c>
      <c r="F51" t="s">
        <v>350</v>
      </c>
      <c r="G51">
        <v>4</v>
      </c>
      <c r="H51">
        <v>41</v>
      </c>
      <c r="I51">
        <f t="shared" si="0"/>
        <v>2</v>
      </c>
      <c r="J51">
        <v>1</v>
      </c>
    </row>
    <row r="52" spans="1:10">
      <c r="A52" t="s">
        <v>52</v>
      </c>
      <c r="B52" t="s">
        <v>443</v>
      </c>
      <c r="C52" t="s">
        <v>279</v>
      </c>
      <c r="D52" t="s">
        <v>357</v>
      </c>
      <c r="E52">
        <v>778</v>
      </c>
      <c r="F52" t="s">
        <v>350</v>
      </c>
      <c r="G52">
        <v>4</v>
      </c>
      <c r="H52">
        <v>41</v>
      </c>
      <c r="I52">
        <f t="shared" si="0"/>
        <v>2</v>
      </c>
      <c r="J52">
        <v>1</v>
      </c>
    </row>
    <row r="53" spans="1:10">
      <c r="A53" t="s">
        <v>53</v>
      </c>
      <c r="B53" t="s">
        <v>443</v>
      </c>
      <c r="C53" t="s">
        <v>304</v>
      </c>
      <c r="D53" t="s">
        <v>357</v>
      </c>
      <c r="E53">
        <v>812</v>
      </c>
      <c r="F53" t="s">
        <v>350</v>
      </c>
      <c r="G53">
        <v>4</v>
      </c>
      <c r="H53">
        <v>41</v>
      </c>
      <c r="I53">
        <f t="shared" si="0"/>
        <v>2</v>
      </c>
      <c r="J53">
        <v>1</v>
      </c>
    </row>
    <row r="54" spans="1:10">
      <c r="A54" t="s">
        <v>54</v>
      </c>
      <c r="B54" t="s">
        <v>443</v>
      </c>
      <c r="C54" t="s">
        <v>318</v>
      </c>
      <c r="D54" t="s">
        <v>357</v>
      </c>
      <c r="E54">
        <v>664</v>
      </c>
      <c r="F54" t="s">
        <v>350</v>
      </c>
      <c r="G54">
        <v>4</v>
      </c>
      <c r="H54">
        <v>41</v>
      </c>
      <c r="I54">
        <f t="shared" si="0"/>
        <v>2</v>
      </c>
      <c r="J54">
        <v>1</v>
      </c>
    </row>
    <row r="55" spans="1:10">
      <c r="A55" t="s">
        <v>55</v>
      </c>
      <c r="B55" t="s">
        <v>443</v>
      </c>
      <c r="C55" t="s">
        <v>332</v>
      </c>
      <c r="D55" t="s">
        <v>357</v>
      </c>
      <c r="E55">
        <v>634</v>
      </c>
      <c r="F55" t="s">
        <v>350</v>
      </c>
      <c r="G55">
        <v>4</v>
      </c>
      <c r="H55">
        <v>41</v>
      </c>
      <c r="I55">
        <f t="shared" si="0"/>
        <v>2</v>
      </c>
      <c r="J55">
        <v>1</v>
      </c>
    </row>
    <row r="56" spans="1:10">
      <c r="A56" t="s">
        <v>56</v>
      </c>
      <c r="B56" t="s">
        <v>443</v>
      </c>
      <c r="C56" t="s">
        <v>331</v>
      </c>
      <c r="D56" t="s">
        <v>357</v>
      </c>
      <c r="E56">
        <v>757</v>
      </c>
      <c r="F56" t="s">
        <v>350</v>
      </c>
      <c r="G56">
        <v>4</v>
      </c>
      <c r="H56">
        <v>41</v>
      </c>
      <c r="I56">
        <f t="shared" si="0"/>
        <v>2</v>
      </c>
      <c r="J56">
        <v>1</v>
      </c>
    </row>
    <row r="57" spans="1:10">
      <c r="A57" t="s">
        <v>57</v>
      </c>
      <c r="B57" t="s">
        <v>443</v>
      </c>
      <c r="C57" t="s">
        <v>317</v>
      </c>
      <c r="D57" t="s">
        <v>357</v>
      </c>
      <c r="E57">
        <v>776</v>
      </c>
      <c r="F57" t="s">
        <v>350</v>
      </c>
      <c r="G57">
        <v>4</v>
      </c>
      <c r="H57">
        <v>41</v>
      </c>
      <c r="I57">
        <f t="shared" si="0"/>
        <v>2</v>
      </c>
      <c r="J57">
        <v>1</v>
      </c>
    </row>
    <row r="58" spans="1:10">
      <c r="A58" t="s">
        <v>58</v>
      </c>
      <c r="B58" t="s">
        <v>443</v>
      </c>
      <c r="C58" t="s">
        <v>312</v>
      </c>
      <c r="D58" t="s">
        <v>357</v>
      </c>
      <c r="E58">
        <v>792</v>
      </c>
      <c r="F58" t="s">
        <v>350</v>
      </c>
      <c r="G58">
        <v>4</v>
      </c>
      <c r="H58">
        <v>41</v>
      </c>
      <c r="I58">
        <f t="shared" si="0"/>
        <v>2</v>
      </c>
      <c r="J58">
        <v>1</v>
      </c>
    </row>
    <row r="59" spans="1:10">
      <c r="A59" t="s">
        <v>59</v>
      </c>
      <c r="B59" t="s">
        <v>443</v>
      </c>
      <c r="C59" t="s">
        <v>270</v>
      </c>
      <c r="D59" t="s">
        <v>357</v>
      </c>
      <c r="E59">
        <v>1151</v>
      </c>
      <c r="F59" t="s">
        <v>350</v>
      </c>
      <c r="G59">
        <v>4</v>
      </c>
      <c r="H59">
        <v>41</v>
      </c>
      <c r="I59">
        <f t="shared" si="0"/>
        <v>2</v>
      </c>
      <c r="J59">
        <v>1</v>
      </c>
    </row>
    <row r="60" spans="1:10">
      <c r="A60" t="s">
        <v>60</v>
      </c>
      <c r="B60" t="s">
        <v>443</v>
      </c>
      <c r="C60" t="s">
        <v>288</v>
      </c>
      <c r="D60" t="s">
        <v>357</v>
      </c>
      <c r="E60">
        <v>834</v>
      </c>
      <c r="F60" t="s">
        <v>350</v>
      </c>
      <c r="G60">
        <v>4</v>
      </c>
      <c r="H60">
        <v>41</v>
      </c>
      <c r="I60">
        <f t="shared" si="0"/>
        <v>2</v>
      </c>
      <c r="J60">
        <v>1</v>
      </c>
    </row>
    <row r="61" spans="1:10">
      <c r="A61" t="s">
        <v>61</v>
      </c>
      <c r="B61" t="s">
        <v>443</v>
      </c>
      <c r="C61" t="s">
        <v>327</v>
      </c>
      <c r="D61" t="s">
        <v>357</v>
      </c>
      <c r="E61">
        <v>533</v>
      </c>
      <c r="F61" t="s">
        <v>350</v>
      </c>
      <c r="G61">
        <v>4</v>
      </c>
      <c r="H61">
        <v>41</v>
      </c>
      <c r="I61">
        <f t="shared" si="0"/>
        <v>2</v>
      </c>
      <c r="J61">
        <v>1</v>
      </c>
    </row>
    <row r="62" spans="1:10">
      <c r="A62" t="s">
        <v>62</v>
      </c>
      <c r="B62" t="s">
        <v>443</v>
      </c>
      <c r="C62" t="s">
        <v>307</v>
      </c>
      <c r="D62" t="s">
        <v>357</v>
      </c>
      <c r="E62">
        <v>501</v>
      </c>
      <c r="F62" t="s">
        <v>350</v>
      </c>
      <c r="G62">
        <v>4</v>
      </c>
      <c r="H62">
        <v>41</v>
      </c>
      <c r="I62">
        <f t="shared" si="0"/>
        <v>2</v>
      </c>
      <c r="J62">
        <v>1</v>
      </c>
    </row>
    <row r="63" spans="1:10">
      <c r="A63" t="s">
        <v>63</v>
      </c>
      <c r="B63" t="s">
        <v>443</v>
      </c>
      <c r="C63" t="s">
        <v>224</v>
      </c>
      <c r="D63" t="s">
        <v>357</v>
      </c>
      <c r="E63">
        <v>888</v>
      </c>
      <c r="F63" t="s">
        <v>350</v>
      </c>
      <c r="G63">
        <v>4</v>
      </c>
      <c r="H63">
        <v>41</v>
      </c>
      <c r="I63">
        <f t="shared" si="0"/>
        <v>2</v>
      </c>
      <c r="J63">
        <v>1</v>
      </c>
    </row>
    <row r="64" spans="1:10">
      <c r="A64" t="s">
        <v>64</v>
      </c>
      <c r="B64" t="s">
        <v>443</v>
      </c>
      <c r="C64" t="s">
        <v>245</v>
      </c>
      <c r="D64" t="s">
        <v>357</v>
      </c>
      <c r="E64">
        <v>940</v>
      </c>
      <c r="F64" t="s">
        <v>350</v>
      </c>
      <c r="G64">
        <v>4</v>
      </c>
      <c r="H64">
        <v>41</v>
      </c>
      <c r="I64">
        <f t="shared" si="0"/>
        <v>2</v>
      </c>
      <c r="J64">
        <v>1</v>
      </c>
    </row>
    <row r="65" spans="1:10">
      <c r="A65" t="s">
        <v>67</v>
      </c>
      <c r="B65" t="s">
        <v>443</v>
      </c>
      <c r="C65" t="s">
        <v>272</v>
      </c>
      <c r="D65" t="s">
        <v>357</v>
      </c>
      <c r="E65">
        <v>815</v>
      </c>
      <c r="F65" t="s">
        <v>350</v>
      </c>
      <c r="G65">
        <v>4</v>
      </c>
      <c r="H65">
        <v>41</v>
      </c>
      <c r="I65">
        <f t="shared" si="0"/>
        <v>2</v>
      </c>
      <c r="J65">
        <v>1</v>
      </c>
    </row>
    <row r="66" spans="1:10">
      <c r="A66" t="s">
        <v>86</v>
      </c>
      <c r="B66" t="s">
        <v>443</v>
      </c>
      <c r="C66" t="s">
        <v>277</v>
      </c>
      <c r="D66" t="s">
        <v>357</v>
      </c>
      <c r="E66">
        <v>1027</v>
      </c>
      <c r="F66" t="s">
        <v>350</v>
      </c>
      <c r="G66">
        <v>4</v>
      </c>
      <c r="H66">
        <v>41</v>
      </c>
      <c r="I66">
        <f t="shared" si="0"/>
        <v>2</v>
      </c>
      <c r="J66">
        <v>1</v>
      </c>
    </row>
    <row r="67" spans="1:10">
      <c r="A67" t="s">
        <v>73</v>
      </c>
      <c r="B67" t="s">
        <v>443</v>
      </c>
      <c r="C67" t="s">
        <v>246</v>
      </c>
      <c r="D67" t="s">
        <v>357</v>
      </c>
      <c r="E67">
        <v>1031</v>
      </c>
      <c r="F67" t="s">
        <v>350</v>
      </c>
      <c r="G67">
        <v>4</v>
      </c>
      <c r="H67">
        <v>41</v>
      </c>
      <c r="I67">
        <f t="shared" ref="I67:I97" si="1">G67/2</f>
        <v>2</v>
      </c>
      <c r="J67">
        <v>1</v>
      </c>
    </row>
    <row r="68" spans="1:10">
      <c r="A68" t="s">
        <v>70</v>
      </c>
      <c r="B68" t="s">
        <v>443</v>
      </c>
      <c r="C68" t="s">
        <v>271</v>
      </c>
      <c r="D68" t="s">
        <v>357</v>
      </c>
      <c r="E68">
        <v>1055</v>
      </c>
      <c r="F68" t="s">
        <v>350</v>
      </c>
      <c r="G68">
        <v>4</v>
      </c>
      <c r="H68">
        <v>41</v>
      </c>
      <c r="I68">
        <f t="shared" si="1"/>
        <v>2</v>
      </c>
      <c r="J68">
        <v>1</v>
      </c>
    </row>
    <row r="69" spans="1:10">
      <c r="A69" t="s">
        <v>69</v>
      </c>
      <c r="B69" t="s">
        <v>443</v>
      </c>
      <c r="C69" t="s">
        <v>274</v>
      </c>
      <c r="D69" t="s">
        <v>357</v>
      </c>
      <c r="E69">
        <v>832</v>
      </c>
      <c r="F69" t="s">
        <v>350</v>
      </c>
      <c r="G69">
        <v>4</v>
      </c>
      <c r="H69">
        <v>41</v>
      </c>
      <c r="I69">
        <f t="shared" si="1"/>
        <v>2</v>
      </c>
      <c r="J69">
        <v>1</v>
      </c>
    </row>
    <row r="70" spans="1:10">
      <c r="A70" t="s">
        <v>93</v>
      </c>
      <c r="B70" t="s">
        <v>443</v>
      </c>
      <c r="C70" t="s">
        <v>278</v>
      </c>
      <c r="D70" t="s">
        <v>357</v>
      </c>
      <c r="E70">
        <v>722</v>
      </c>
      <c r="F70" t="s">
        <v>350</v>
      </c>
      <c r="G70">
        <v>4</v>
      </c>
      <c r="H70">
        <v>41</v>
      </c>
      <c r="I70">
        <f t="shared" si="1"/>
        <v>2</v>
      </c>
      <c r="J70">
        <v>1</v>
      </c>
    </row>
    <row r="71" spans="1:10">
      <c r="A71" t="s">
        <v>94</v>
      </c>
      <c r="B71" t="s">
        <v>443</v>
      </c>
      <c r="C71" t="s">
        <v>329</v>
      </c>
      <c r="D71" t="s">
        <v>357</v>
      </c>
      <c r="E71">
        <v>859</v>
      </c>
      <c r="F71" t="s">
        <v>350</v>
      </c>
      <c r="G71">
        <v>4</v>
      </c>
      <c r="H71">
        <v>41</v>
      </c>
      <c r="I71">
        <f t="shared" si="1"/>
        <v>2</v>
      </c>
      <c r="J71">
        <v>1</v>
      </c>
    </row>
    <row r="72" spans="1:10">
      <c r="A72" t="s">
        <v>95</v>
      </c>
      <c r="B72" t="s">
        <v>443</v>
      </c>
      <c r="C72" t="s">
        <v>247</v>
      </c>
      <c r="D72" t="s">
        <v>357</v>
      </c>
      <c r="E72">
        <v>719</v>
      </c>
      <c r="F72" t="s">
        <v>350</v>
      </c>
      <c r="G72">
        <v>4</v>
      </c>
      <c r="H72">
        <v>41</v>
      </c>
      <c r="I72">
        <f t="shared" si="1"/>
        <v>2</v>
      </c>
      <c r="J72">
        <v>1</v>
      </c>
    </row>
    <row r="73" spans="1:10">
      <c r="A73" t="s">
        <v>96</v>
      </c>
      <c r="B73" t="s">
        <v>443</v>
      </c>
      <c r="C73" t="s">
        <v>326</v>
      </c>
      <c r="D73" t="s">
        <v>357</v>
      </c>
      <c r="E73">
        <v>741</v>
      </c>
      <c r="F73" t="s">
        <v>350</v>
      </c>
      <c r="G73">
        <v>4</v>
      </c>
      <c r="H73">
        <v>41</v>
      </c>
      <c r="I73">
        <f t="shared" si="1"/>
        <v>2</v>
      </c>
      <c r="J73">
        <v>1</v>
      </c>
    </row>
    <row r="74" spans="1:10">
      <c r="A74" t="s">
        <v>97</v>
      </c>
      <c r="B74" t="s">
        <v>443</v>
      </c>
      <c r="C74" t="s">
        <v>336</v>
      </c>
      <c r="D74" t="s">
        <v>357</v>
      </c>
      <c r="E74">
        <v>822</v>
      </c>
      <c r="F74" t="s">
        <v>350</v>
      </c>
      <c r="G74">
        <v>4</v>
      </c>
      <c r="H74">
        <v>41</v>
      </c>
      <c r="I74">
        <f t="shared" si="1"/>
        <v>2</v>
      </c>
      <c r="J74">
        <v>1</v>
      </c>
    </row>
    <row r="75" spans="1:10">
      <c r="A75" t="s">
        <v>98</v>
      </c>
      <c r="B75" t="s">
        <v>443</v>
      </c>
      <c r="C75" t="s">
        <v>273</v>
      </c>
      <c r="D75" t="s">
        <v>357</v>
      </c>
      <c r="E75">
        <v>717</v>
      </c>
      <c r="F75" t="s">
        <v>350</v>
      </c>
      <c r="G75">
        <v>4</v>
      </c>
      <c r="H75">
        <v>41</v>
      </c>
      <c r="I75">
        <f t="shared" si="1"/>
        <v>2</v>
      </c>
      <c r="J75">
        <v>1</v>
      </c>
    </row>
    <row r="76" spans="1:10">
      <c r="A76" t="s">
        <v>99</v>
      </c>
      <c r="B76" t="s">
        <v>443</v>
      </c>
      <c r="C76" t="s">
        <v>244</v>
      </c>
      <c r="D76" t="s">
        <v>357</v>
      </c>
      <c r="E76">
        <v>868</v>
      </c>
      <c r="F76" t="s">
        <v>350</v>
      </c>
      <c r="G76">
        <v>4</v>
      </c>
      <c r="H76">
        <v>41</v>
      </c>
      <c r="I76">
        <f t="shared" si="1"/>
        <v>2</v>
      </c>
      <c r="J76">
        <v>1</v>
      </c>
    </row>
    <row r="77" spans="1:10">
      <c r="A77" t="s">
        <v>101</v>
      </c>
      <c r="B77" t="s">
        <v>443</v>
      </c>
      <c r="C77" t="s">
        <v>255</v>
      </c>
      <c r="D77" t="s">
        <v>357</v>
      </c>
      <c r="E77">
        <v>845</v>
      </c>
      <c r="F77" t="s">
        <v>350</v>
      </c>
      <c r="G77">
        <v>4</v>
      </c>
      <c r="H77">
        <v>41</v>
      </c>
      <c r="I77">
        <f t="shared" si="1"/>
        <v>2</v>
      </c>
      <c r="J77">
        <v>1</v>
      </c>
    </row>
    <row r="78" spans="1:10">
      <c r="A78" t="s">
        <v>80</v>
      </c>
      <c r="B78" t="s">
        <v>443</v>
      </c>
      <c r="C78" t="s">
        <v>286</v>
      </c>
      <c r="D78" t="s">
        <v>357</v>
      </c>
      <c r="E78">
        <v>640</v>
      </c>
      <c r="F78" t="s">
        <v>350</v>
      </c>
      <c r="G78">
        <v>4</v>
      </c>
      <c r="H78">
        <v>41</v>
      </c>
      <c r="I78">
        <f t="shared" si="1"/>
        <v>2</v>
      </c>
      <c r="J78">
        <v>1</v>
      </c>
    </row>
    <row r="79" spans="1:10">
      <c r="A79" t="s">
        <v>102</v>
      </c>
      <c r="B79" t="s">
        <v>443</v>
      </c>
      <c r="C79" t="s">
        <v>268</v>
      </c>
      <c r="D79" t="s">
        <v>357</v>
      </c>
      <c r="E79">
        <v>865</v>
      </c>
      <c r="F79" t="s">
        <v>350</v>
      </c>
      <c r="G79">
        <v>4</v>
      </c>
      <c r="H79">
        <v>41</v>
      </c>
      <c r="I79">
        <f t="shared" si="1"/>
        <v>2</v>
      </c>
      <c r="J79">
        <v>1</v>
      </c>
    </row>
    <row r="80" spans="1:10">
      <c r="A80" t="s">
        <v>103</v>
      </c>
      <c r="B80" t="s">
        <v>443</v>
      </c>
      <c r="C80" t="s">
        <v>297</v>
      </c>
      <c r="D80" t="s">
        <v>357</v>
      </c>
      <c r="E80">
        <v>954</v>
      </c>
      <c r="F80" t="s">
        <v>350</v>
      </c>
      <c r="G80">
        <v>4</v>
      </c>
      <c r="H80">
        <v>41</v>
      </c>
      <c r="I80">
        <f t="shared" si="1"/>
        <v>2</v>
      </c>
      <c r="J80">
        <v>1</v>
      </c>
    </row>
    <row r="81" spans="1:10">
      <c r="A81" t="s">
        <v>104</v>
      </c>
      <c r="B81" t="s">
        <v>443</v>
      </c>
      <c r="C81" t="s">
        <v>340</v>
      </c>
      <c r="D81" t="s">
        <v>357</v>
      </c>
      <c r="E81">
        <v>930</v>
      </c>
      <c r="F81" t="s">
        <v>350</v>
      </c>
      <c r="G81">
        <v>4</v>
      </c>
      <c r="H81">
        <v>41</v>
      </c>
      <c r="I81">
        <f t="shared" si="1"/>
        <v>2</v>
      </c>
      <c r="J81">
        <v>1</v>
      </c>
    </row>
    <row r="82" spans="1:10">
      <c r="A82" t="s">
        <v>105</v>
      </c>
      <c r="B82" t="s">
        <v>443</v>
      </c>
      <c r="C82" t="s">
        <v>314</v>
      </c>
      <c r="D82" t="s">
        <v>357</v>
      </c>
      <c r="E82">
        <v>772</v>
      </c>
      <c r="F82" t="s">
        <v>350</v>
      </c>
      <c r="G82">
        <v>4</v>
      </c>
      <c r="H82">
        <v>41</v>
      </c>
      <c r="I82">
        <f t="shared" si="1"/>
        <v>2</v>
      </c>
      <c r="J82">
        <v>1</v>
      </c>
    </row>
    <row r="83" spans="1:10">
      <c r="A83" t="s">
        <v>90</v>
      </c>
      <c r="B83" t="s">
        <v>443</v>
      </c>
      <c r="C83" t="s">
        <v>328</v>
      </c>
      <c r="D83" t="s">
        <v>357</v>
      </c>
      <c r="E83">
        <v>673</v>
      </c>
      <c r="F83" t="s">
        <v>350</v>
      </c>
      <c r="G83">
        <v>4</v>
      </c>
      <c r="H83">
        <v>41</v>
      </c>
      <c r="I83">
        <f t="shared" si="1"/>
        <v>2</v>
      </c>
      <c r="J83">
        <v>1</v>
      </c>
    </row>
    <row r="84" spans="1:10">
      <c r="A84" t="s">
        <v>106</v>
      </c>
      <c r="B84" t="s">
        <v>443</v>
      </c>
      <c r="C84" t="s">
        <v>269</v>
      </c>
      <c r="D84" t="s">
        <v>357</v>
      </c>
      <c r="E84">
        <v>739</v>
      </c>
      <c r="F84" t="s">
        <v>350</v>
      </c>
      <c r="G84">
        <v>4</v>
      </c>
      <c r="H84">
        <v>41</v>
      </c>
      <c r="I84">
        <f t="shared" si="1"/>
        <v>2</v>
      </c>
      <c r="J84">
        <v>1</v>
      </c>
    </row>
    <row r="85" spans="1:10">
      <c r="A85" t="s">
        <v>81</v>
      </c>
      <c r="B85" t="s">
        <v>443</v>
      </c>
      <c r="C85" t="s">
        <v>310</v>
      </c>
      <c r="D85" t="s">
        <v>357</v>
      </c>
      <c r="E85">
        <v>757</v>
      </c>
      <c r="F85" t="s">
        <v>350</v>
      </c>
      <c r="G85">
        <v>4</v>
      </c>
      <c r="H85">
        <v>41</v>
      </c>
      <c r="I85">
        <f t="shared" si="1"/>
        <v>2</v>
      </c>
      <c r="J85">
        <v>1</v>
      </c>
    </row>
    <row r="86" spans="1:10">
      <c r="A86" t="s">
        <v>83</v>
      </c>
      <c r="B86" t="s">
        <v>443</v>
      </c>
      <c r="C86" t="s">
        <v>295</v>
      </c>
      <c r="D86" t="s">
        <v>357</v>
      </c>
      <c r="E86">
        <v>798</v>
      </c>
      <c r="F86" t="s">
        <v>350</v>
      </c>
      <c r="G86">
        <v>4</v>
      </c>
      <c r="H86">
        <v>41</v>
      </c>
      <c r="I86">
        <f t="shared" si="1"/>
        <v>2</v>
      </c>
      <c r="J86">
        <v>1</v>
      </c>
    </row>
    <row r="87" spans="1:10">
      <c r="A87" t="s">
        <v>107</v>
      </c>
      <c r="B87" t="s">
        <v>443</v>
      </c>
      <c r="C87" t="s">
        <v>260</v>
      </c>
      <c r="D87" t="s">
        <v>357</v>
      </c>
      <c r="E87">
        <v>772</v>
      </c>
      <c r="F87" t="s">
        <v>350</v>
      </c>
      <c r="G87">
        <v>4</v>
      </c>
      <c r="H87">
        <v>41</v>
      </c>
      <c r="I87">
        <f t="shared" si="1"/>
        <v>2</v>
      </c>
      <c r="J87">
        <v>1</v>
      </c>
    </row>
    <row r="88" spans="1:10">
      <c r="A88" t="s">
        <v>78</v>
      </c>
      <c r="B88" t="s">
        <v>443</v>
      </c>
      <c r="C88" t="s">
        <v>298</v>
      </c>
      <c r="D88" t="s">
        <v>357</v>
      </c>
      <c r="E88">
        <v>711</v>
      </c>
      <c r="F88" t="s">
        <v>350</v>
      </c>
      <c r="G88">
        <v>4</v>
      </c>
      <c r="H88">
        <v>41</v>
      </c>
      <c r="I88">
        <f t="shared" si="1"/>
        <v>2</v>
      </c>
      <c r="J88">
        <v>1</v>
      </c>
    </row>
    <row r="89" spans="1:10">
      <c r="A89" t="s">
        <v>108</v>
      </c>
      <c r="B89" t="s">
        <v>443</v>
      </c>
      <c r="C89" t="s">
        <v>341</v>
      </c>
      <c r="D89" t="s">
        <v>357</v>
      </c>
      <c r="E89">
        <v>808</v>
      </c>
      <c r="F89" t="s">
        <v>350</v>
      </c>
      <c r="G89">
        <v>4</v>
      </c>
      <c r="H89">
        <v>41</v>
      </c>
      <c r="I89">
        <f t="shared" si="1"/>
        <v>2</v>
      </c>
      <c r="J89">
        <v>1</v>
      </c>
    </row>
    <row r="90" spans="1:10">
      <c r="A90" t="s">
        <v>109</v>
      </c>
      <c r="B90" t="s">
        <v>443</v>
      </c>
      <c r="C90" t="s">
        <v>243</v>
      </c>
      <c r="D90" t="s">
        <v>357</v>
      </c>
      <c r="E90">
        <v>663</v>
      </c>
      <c r="F90" t="s">
        <v>350</v>
      </c>
      <c r="G90">
        <v>4</v>
      </c>
      <c r="H90">
        <v>41</v>
      </c>
      <c r="I90">
        <f t="shared" si="1"/>
        <v>2</v>
      </c>
      <c r="J90">
        <v>1</v>
      </c>
    </row>
    <row r="91" spans="1:10">
      <c r="A91" t="s">
        <v>110</v>
      </c>
      <c r="B91" t="s">
        <v>443</v>
      </c>
      <c r="C91" t="s">
        <v>266</v>
      </c>
      <c r="D91" t="s">
        <v>357</v>
      </c>
      <c r="E91">
        <v>736</v>
      </c>
      <c r="F91" t="s">
        <v>350</v>
      </c>
      <c r="G91">
        <v>4</v>
      </c>
      <c r="H91">
        <v>41</v>
      </c>
      <c r="I91">
        <f t="shared" si="1"/>
        <v>2</v>
      </c>
      <c r="J91">
        <v>1</v>
      </c>
    </row>
    <row r="92" spans="1:10">
      <c r="A92" t="s">
        <v>68</v>
      </c>
      <c r="B92" t="s">
        <v>443</v>
      </c>
      <c r="C92" t="s">
        <v>296</v>
      </c>
      <c r="D92" t="s">
        <v>357</v>
      </c>
      <c r="E92">
        <v>728</v>
      </c>
      <c r="F92" t="s">
        <v>350</v>
      </c>
      <c r="G92">
        <v>4</v>
      </c>
      <c r="H92">
        <v>41</v>
      </c>
      <c r="I92">
        <f t="shared" si="1"/>
        <v>2</v>
      </c>
      <c r="J92">
        <v>1</v>
      </c>
    </row>
    <row r="93" spans="1:10">
      <c r="A93" t="s">
        <v>111</v>
      </c>
      <c r="B93" t="s">
        <v>443</v>
      </c>
      <c r="C93" t="s">
        <v>293</v>
      </c>
      <c r="D93" t="s">
        <v>357</v>
      </c>
      <c r="E93">
        <v>800</v>
      </c>
      <c r="F93" t="s">
        <v>350</v>
      </c>
      <c r="G93">
        <v>4</v>
      </c>
      <c r="H93">
        <v>41</v>
      </c>
      <c r="I93">
        <f t="shared" si="1"/>
        <v>2</v>
      </c>
      <c r="J93">
        <v>1</v>
      </c>
    </row>
    <row r="94" spans="1:10">
      <c r="A94" t="s">
        <v>112</v>
      </c>
      <c r="B94" t="s">
        <v>443</v>
      </c>
      <c r="C94" t="s">
        <v>248</v>
      </c>
      <c r="D94" t="s">
        <v>357</v>
      </c>
      <c r="E94">
        <v>759</v>
      </c>
      <c r="F94" t="s">
        <v>350</v>
      </c>
      <c r="G94">
        <v>4</v>
      </c>
      <c r="H94">
        <v>41</v>
      </c>
      <c r="I94">
        <f t="shared" si="1"/>
        <v>2</v>
      </c>
      <c r="J94">
        <v>1</v>
      </c>
    </row>
    <row r="95" spans="1:10">
      <c r="A95" t="s">
        <v>113</v>
      </c>
      <c r="B95" t="s">
        <v>443</v>
      </c>
      <c r="C95" t="s">
        <v>261</v>
      </c>
      <c r="D95" t="s">
        <v>357</v>
      </c>
      <c r="E95">
        <v>595</v>
      </c>
      <c r="F95" t="s">
        <v>350</v>
      </c>
      <c r="G95">
        <v>4</v>
      </c>
      <c r="H95">
        <v>41</v>
      </c>
      <c r="I95">
        <f t="shared" si="1"/>
        <v>2</v>
      </c>
      <c r="J95">
        <v>1</v>
      </c>
    </row>
    <row r="96" spans="1:10">
      <c r="A96" t="s">
        <v>114</v>
      </c>
      <c r="B96" t="s">
        <v>443</v>
      </c>
      <c r="C96" t="s">
        <v>285</v>
      </c>
      <c r="D96" t="s">
        <v>357</v>
      </c>
      <c r="E96">
        <v>765</v>
      </c>
      <c r="F96" t="s">
        <v>350</v>
      </c>
      <c r="G96">
        <v>4</v>
      </c>
      <c r="H96">
        <v>41</v>
      </c>
      <c r="I96">
        <f t="shared" si="1"/>
        <v>2</v>
      </c>
      <c r="J96">
        <v>1</v>
      </c>
    </row>
    <row r="97" spans="1:10">
      <c r="A97" t="s">
        <v>65</v>
      </c>
      <c r="B97" t="s">
        <v>443</v>
      </c>
      <c r="C97" t="s">
        <v>280</v>
      </c>
      <c r="D97" t="s">
        <v>357</v>
      </c>
      <c r="E97">
        <v>785</v>
      </c>
      <c r="F97" t="s">
        <v>350</v>
      </c>
      <c r="G97">
        <v>4</v>
      </c>
      <c r="H97">
        <v>41</v>
      </c>
      <c r="I97">
        <f t="shared" si="1"/>
        <v>2</v>
      </c>
      <c r="J97">
        <v>1</v>
      </c>
    </row>
    <row r="98" spans="1:10">
      <c r="A98" t="s">
        <v>368</v>
      </c>
      <c r="B98" t="s">
        <v>349</v>
      </c>
      <c r="C98" s="28" t="s">
        <v>392</v>
      </c>
      <c r="D98" t="s">
        <v>358</v>
      </c>
      <c r="F98" t="s">
        <v>350</v>
      </c>
      <c r="G98">
        <v>8</v>
      </c>
      <c r="H98">
        <v>41</v>
      </c>
      <c r="I98">
        <v>8</v>
      </c>
      <c r="J98">
        <v>0</v>
      </c>
    </row>
    <row r="99" spans="1:10">
      <c r="A99" t="s">
        <v>0</v>
      </c>
      <c r="B99" t="s">
        <v>359</v>
      </c>
      <c r="C99" t="s">
        <v>330</v>
      </c>
      <c r="D99" t="s">
        <v>92</v>
      </c>
      <c r="F99" t="s">
        <v>350</v>
      </c>
      <c r="G99">
        <v>1</v>
      </c>
      <c r="H99">
        <v>41</v>
      </c>
      <c r="I99">
        <v>1</v>
      </c>
      <c r="J99">
        <v>0</v>
      </c>
    </row>
    <row r="100" spans="1:10">
      <c r="A100" t="s">
        <v>52</v>
      </c>
      <c r="B100" t="s">
        <v>359</v>
      </c>
      <c r="C100" t="s">
        <v>279</v>
      </c>
      <c r="D100" t="s">
        <v>92</v>
      </c>
      <c r="F100" t="s">
        <v>350</v>
      </c>
      <c r="G100">
        <v>1</v>
      </c>
      <c r="H100">
        <v>41</v>
      </c>
      <c r="I100">
        <v>1</v>
      </c>
      <c r="J100">
        <v>0</v>
      </c>
    </row>
    <row r="101" spans="1:10">
      <c r="A101" t="s">
        <v>53</v>
      </c>
      <c r="B101" t="s">
        <v>359</v>
      </c>
      <c r="C101" t="s">
        <v>304</v>
      </c>
      <c r="D101" t="s">
        <v>92</v>
      </c>
      <c r="F101" t="s">
        <v>366</v>
      </c>
      <c r="G101">
        <v>1</v>
      </c>
      <c r="H101">
        <v>41</v>
      </c>
      <c r="I101">
        <v>1</v>
      </c>
      <c r="J101">
        <v>0</v>
      </c>
    </row>
    <row r="102" spans="1:10">
      <c r="A102" t="s">
        <v>55</v>
      </c>
      <c r="B102" t="s">
        <v>359</v>
      </c>
      <c r="C102" t="s">
        <v>332</v>
      </c>
      <c r="D102" t="s">
        <v>92</v>
      </c>
      <c r="F102" t="s">
        <v>367</v>
      </c>
      <c r="G102">
        <v>1</v>
      </c>
      <c r="H102">
        <v>41</v>
      </c>
      <c r="I102">
        <v>1</v>
      </c>
      <c r="J102">
        <v>0</v>
      </c>
    </row>
    <row r="103" spans="1:10">
      <c r="A103" t="s">
        <v>369</v>
      </c>
      <c r="B103" t="s">
        <v>349</v>
      </c>
      <c r="C103" s="28" t="s">
        <v>392</v>
      </c>
      <c r="D103" t="s">
        <v>92</v>
      </c>
      <c r="F103" t="s">
        <v>350</v>
      </c>
      <c r="G103">
        <v>4</v>
      </c>
      <c r="H103">
        <v>4</v>
      </c>
      <c r="I103">
        <v>4</v>
      </c>
      <c r="J103">
        <v>0</v>
      </c>
    </row>
    <row r="104" spans="1:10">
      <c r="A104" t="s">
        <v>0</v>
      </c>
      <c r="B104" t="s">
        <v>349</v>
      </c>
      <c r="C104" t="s">
        <v>330</v>
      </c>
      <c r="D104" t="s">
        <v>92</v>
      </c>
      <c r="F104" t="s">
        <v>350</v>
      </c>
      <c r="G104">
        <v>4</v>
      </c>
      <c r="H104">
        <v>41</v>
      </c>
      <c r="I104">
        <v>4</v>
      </c>
      <c r="J104">
        <v>0</v>
      </c>
    </row>
    <row r="105" spans="1:10">
      <c r="A105" t="s">
        <v>52</v>
      </c>
      <c r="B105" t="s">
        <v>349</v>
      </c>
      <c r="C105" t="s">
        <v>279</v>
      </c>
      <c r="D105" t="s">
        <v>92</v>
      </c>
      <c r="F105" t="s">
        <v>350</v>
      </c>
      <c r="G105">
        <v>4</v>
      </c>
      <c r="H105">
        <v>41</v>
      </c>
      <c r="I105">
        <v>4</v>
      </c>
      <c r="J105">
        <v>0</v>
      </c>
    </row>
    <row r="106" spans="1:10">
      <c r="A106" t="s">
        <v>53</v>
      </c>
      <c r="B106" t="s">
        <v>349</v>
      </c>
      <c r="C106" t="s">
        <v>304</v>
      </c>
      <c r="D106" t="s">
        <v>92</v>
      </c>
      <c r="F106" t="s">
        <v>350</v>
      </c>
      <c r="G106">
        <v>4</v>
      </c>
      <c r="H106">
        <v>41</v>
      </c>
      <c r="I106">
        <v>4</v>
      </c>
      <c r="J106">
        <v>0</v>
      </c>
    </row>
    <row r="107" spans="1:10">
      <c r="A107" t="s">
        <v>55</v>
      </c>
      <c r="B107" t="s">
        <v>349</v>
      </c>
      <c r="C107" t="s">
        <v>332</v>
      </c>
      <c r="D107" t="s">
        <v>92</v>
      </c>
      <c r="F107" t="s">
        <v>350</v>
      </c>
      <c r="G107">
        <v>4</v>
      </c>
      <c r="H107">
        <v>41</v>
      </c>
      <c r="I107">
        <v>4</v>
      </c>
      <c r="J107">
        <v>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9DFA6-61D3-4EBD-BA09-FE38C18794A3}">
  <dimension ref="A1:I33"/>
  <sheetViews>
    <sheetView workbookViewId="0">
      <selection activeCell="D36" sqref="D36"/>
    </sheetView>
  </sheetViews>
  <sheetFormatPr defaultRowHeight="15"/>
  <cols>
    <col min="1" max="1" width="38.28515625" bestFit="1" customWidth="1"/>
    <col min="2" max="2" width="21.85546875" customWidth="1"/>
    <col min="3" max="3" width="14.7109375" bestFit="1" customWidth="1"/>
    <col min="4" max="4" width="10" customWidth="1"/>
    <col min="5" max="5" width="12.42578125" customWidth="1"/>
    <col min="6" max="6" width="31.5703125" bestFit="1" customWidth="1"/>
    <col min="7" max="7" width="26.7109375" bestFit="1" customWidth="1"/>
    <col min="8" max="8" width="9.5703125" customWidth="1"/>
    <col min="9" max="9" width="11.28515625" customWidth="1"/>
  </cols>
  <sheetData>
    <row r="1" spans="1:9" ht="22.5">
      <c r="A1" s="11" t="s">
        <v>124</v>
      </c>
      <c r="B1" s="11" t="s">
        <v>125</v>
      </c>
      <c r="C1" s="11" t="s">
        <v>126</v>
      </c>
      <c r="D1" s="11" t="s">
        <v>127</v>
      </c>
      <c r="E1" s="11" t="s">
        <v>128</v>
      </c>
      <c r="F1" s="11" t="s">
        <v>129</v>
      </c>
      <c r="G1" s="11" t="s">
        <v>130</v>
      </c>
      <c r="H1" s="11" t="s">
        <v>131</v>
      </c>
      <c r="I1" s="11" t="s">
        <v>132</v>
      </c>
    </row>
    <row r="2" spans="1:9">
      <c r="A2" t="s">
        <v>171</v>
      </c>
      <c r="B2" t="s">
        <v>45</v>
      </c>
      <c r="C2" t="s">
        <v>139</v>
      </c>
      <c r="E2">
        <v>250</v>
      </c>
      <c r="F2" t="s">
        <v>134</v>
      </c>
      <c r="G2" t="s">
        <v>166</v>
      </c>
    </row>
    <row r="3" spans="1:9">
      <c r="A3" t="s">
        <v>172</v>
      </c>
      <c r="B3" t="s">
        <v>46</v>
      </c>
      <c r="C3" t="s">
        <v>139</v>
      </c>
      <c r="E3">
        <v>250</v>
      </c>
      <c r="F3" t="s">
        <v>135</v>
      </c>
      <c r="G3" t="s">
        <v>166</v>
      </c>
    </row>
    <row r="4" spans="1:9">
      <c r="A4" t="s">
        <v>173</v>
      </c>
      <c r="B4" t="s">
        <v>47</v>
      </c>
      <c r="C4" t="s">
        <v>139</v>
      </c>
      <c r="E4">
        <v>250</v>
      </c>
      <c r="F4" t="s">
        <v>136</v>
      </c>
      <c r="G4" t="s">
        <v>166</v>
      </c>
    </row>
    <row r="5" spans="1:9">
      <c r="A5" t="s">
        <v>174</v>
      </c>
      <c r="B5" t="s">
        <v>48</v>
      </c>
      <c r="C5" t="s">
        <v>139</v>
      </c>
      <c r="E5">
        <v>250</v>
      </c>
      <c r="F5" t="s">
        <v>137</v>
      </c>
      <c r="G5" t="s">
        <v>166</v>
      </c>
    </row>
    <row r="6" spans="1:9">
      <c r="A6" t="s">
        <v>175</v>
      </c>
      <c r="B6" t="s">
        <v>49</v>
      </c>
      <c r="C6" t="s">
        <v>139</v>
      </c>
      <c r="E6">
        <v>250</v>
      </c>
      <c r="F6" t="s">
        <v>138</v>
      </c>
      <c r="G6" t="s">
        <v>166</v>
      </c>
    </row>
    <row r="7" spans="1:9">
      <c r="A7" t="s">
        <v>176</v>
      </c>
      <c r="B7" t="s">
        <v>14</v>
      </c>
      <c r="C7" t="s">
        <v>139</v>
      </c>
      <c r="E7">
        <v>250</v>
      </c>
      <c r="F7" t="s">
        <v>165</v>
      </c>
      <c r="G7" t="s">
        <v>164</v>
      </c>
    </row>
    <row r="8" spans="1:9">
      <c r="A8" t="s">
        <v>177</v>
      </c>
      <c r="B8" t="s">
        <v>15</v>
      </c>
      <c r="C8" t="s">
        <v>139</v>
      </c>
      <c r="E8">
        <v>250</v>
      </c>
      <c r="F8" t="s">
        <v>165</v>
      </c>
      <c r="G8" t="s">
        <v>164</v>
      </c>
    </row>
    <row r="9" spans="1:9">
      <c r="A9" t="s">
        <v>178</v>
      </c>
      <c r="B9" t="s">
        <v>16</v>
      </c>
      <c r="C9" t="s">
        <v>139</v>
      </c>
      <c r="E9">
        <v>250</v>
      </c>
      <c r="F9" t="s">
        <v>165</v>
      </c>
      <c r="G9" t="s">
        <v>164</v>
      </c>
    </row>
    <row r="10" spans="1:9">
      <c r="A10" t="s">
        <v>179</v>
      </c>
      <c r="B10" t="s">
        <v>100</v>
      </c>
      <c r="C10" t="s">
        <v>139</v>
      </c>
      <c r="E10">
        <v>250</v>
      </c>
      <c r="F10" t="s">
        <v>165</v>
      </c>
      <c r="G10" t="s">
        <v>164</v>
      </c>
    </row>
    <row r="11" spans="1:9">
      <c r="A11" t="s">
        <v>202</v>
      </c>
      <c r="B11" t="s">
        <v>66</v>
      </c>
      <c r="C11" t="s">
        <v>139</v>
      </c>
      <c r="E11">
        <v>250</v>
      </c>
      <c r="F11" t="s">
        <v>165</v>
      </c>
      <c r="G11" t="s">
        <v>164</v>
      </c>
    </row>
    <row r="12" spans="1:9">
      <c r="A12" t="s">
        <v>180</v>
      </c>
      <c r="B12" t="s">
        <v>17</v>
      </c>
      <c r="C12" t="s">
        <v>139</v>
      </c>
      <c r="E12">
        <v>250</v>
      </c>
      <c r="F12" t="s">
        <v>165</v>
      </c>
      <c r="G12" t="s">
        <v>164</v>
      </c>
    </row>
    <row r="13" spans="1:9">
      <c r="A13" t="s">
        <v>181</v>
      </c>
      <c r="B13" t="s">
        <v>18</v>
      </c>
      <c r="C13" t="s">
        <v>139</v>
      </c>
      <c r="E13">
        <v>250</v>
      </c>
      <c r="F13" t="s">
        <v>165</v>
      </c>
      <c r="G13" t="s">
        <v>164</v>
      </c>
    </row>
    <row r="14" spans="1:9">
      <c r="A14" t="s">
        <v>182</v>
      </c>
      <c r="B14" t="s">
        <v>19</v>
      </c>
      <c r="C14" t="s">
        <v>139</v>
      </c>
      <c r="E14">
        <v>250</v>
      </c>
      <c r="F14" t="s">
        <v>165</v>
      </c>
      <c r="G14" t="s">
        <v>164</v>
      </c>
    </row>
    <row r="15" spans="1:9">
      <c r="A15" t="s">
        <v>183</v>
      </c>
      <c r="B15" t="s">
        <v>20</v>
      </c>
      <c r="C15" t="s">
        <v>139</v>
      </c>
      <c r="E15">
        <v>250</v>
      </c>
      <c r="F15" t="s">
        <v>165</v>
      </c>
      <c r="G15" t="s">
        <v>164</v>
      </c>
    </row>
    <row r="16" spans="1:9">
      <c r="A16" t="s">
        <v>184</v>
      </c>
      <c r="B16" t="s">
        <v>21</v>
      </c>
      <c r="C16" t="s">
        <v>139</v>
      </c>
      <c r="E16">
        <v>250</v>
      </c>
      <c r="F16" t="s">
        <v>165</v>
      </c>
      <c r="G16" t="s">
        <v>164</v>
      </c>
    </row>
    <row r="17" spans="1:7">
      <c r="A17" t="s">
        <v>185</v>
      </c>
      <c r="B17" t="s">
        <v>22</v>
      </c>
      <c r="C17" t="s">
        <v>139</v>
      </c>
      <c r="E17">
        <v>250</v>
      </c>
      <c r="F17" t="s">
        <v>165</v>
      </c>
      <c r="G17" t="s">
        <v>164</v>
      </c>
    </row>
    <row r="18" spans="1:7">
      <c r="A18" t="s">
        <v>186</v>
      </c>
      <c r="B18" t="s">
        <v>23</v>
      </c>
      <c r="C18" t="s">
        <v>139</v>
      </c>
      <c r="E18">
        <v>250</v>
      </c>
      <c r="F18" t="s">
        <v>165</v>
      </c>
      <c r="G18" t="s">
        <v>164</v>
      </c>
    </row>
    <row r="19" spans="1:7">
      <c r="A19" t="s">
        <v>187</v>
      </c>
      <c r="B19" t="s">
        <v>24</v>
      </c>
      <c r="C19" t="s">
        <v>139</v>
      </c>
      <c r="E19">
        <v>250</v>
      </c>
      <c r="F19" t="s">
        <v>165</v>
      </c>
      <c r="G19" t="s">
        <v>164</v>
      </c>
    </row>
    <row r="20" spans="1:7">
      <c r="A20" t="s">
        <v>188</v>
      </c>
      <c r="B20" t="s">
        <v>25</v>
      </c>
      <c r="C20" t="s">
        <v>139</v>
      </c>
      <c r="E20">
        <v>250</v>
      </c>
      <c r="F20" t="s">
        <v>165</v>
      </c>
      <c r="G20" t="s">
        <v>164</v>
      </c>
    </row>
    <row r="21" spans="1:7">
      <c r="A21" t="s">
        <v>189</v>
      </c>
      <c r="B21" t="s">
        <v>26</v>
      </c>
      <c r="C21" t="s">
        <v>139</v>
      </c>
      <c r="E21">
        <v>250</v>
      </c>
      <c r="F21" t="s">
        <v>165</v>
      </c>
      <c r="G21" t="s">
        <v>164</v>
      </c>
    </row>
    <row r="22" spans="1:7">
      <c r="A22" t="s">
        <v>190</v>
      </c>
      <c r="B22" t="s">
        <v>27</v>
      </c>
      <c r="C22" t="s">
        <v>139</v>
      </c>
      <c r="E22">
        <v>250</v>
      </c>
      <c r="F22" t="s">
        <v>165</v>
      </c>
      <c r="G22" t="s">
        <v>164</v>
      </c>
    </row>
    <row r="23" spans="1:7">
      <c r="A23" t="s">
        <v>191</v>
      </c>
      <c r="B23" t="s">
        <v>28</v>
      </c>
      <c r="C23" t="s">
        <v>139</v>
      </c>
      <c r="E23">
        <v>250</v>
      </c>
      <c r="F23" t="s">
        <v>165</v>
      </c>
      <c r="G23" t="s">
        <v>164</v>
      </c>
    </row>
    <row r="24" spans="1:7">
      <c r="A24" t="s">
        <v>192</v>
      </c>
      <c r="B24" t="s">
        <v>29</v>
      </c>
      <c r="C24" t="s">
        <v>139</v>
      </c>
      <c r="E24">
        <v>250</v>
      </c>
      <c r="F24" t="s">
        <v>165</v>
      </c>
      <c r="G24" t="s">
        <v>164</v>
      </c>
    </row>
    <row r="25" spans="1:7">
      <c r="A25" t="s">
        <v>193</v>
      </c>
      <c r="B25" t="s">
        <v>30</v>
      </c>
      <c r="C25" t="s">
        <v>139</v>
      </c>
      <c r="E25">
        <v>250</v>
      </c>
      <c r="F25" t="s">
        <v>165</v>
      </c>
      <c r="G25" t="s">
        <v>164</v>
      </c>
    </row>
    <row r="26" spans="1:7">
      <c r="A26" t="s">
        <v>194</v>
      </c>
      <c r="B26" t="s">
        <v>31</v>
      </c>
      <c r="C26" t="s">
        <v>139</v>
      </c>
      <c r="E26">
        <v>250</v>
      </c>
      <c r="F26" t="s">
        <v>165</v>
      </c>
      <c r="G26" t="s">
        <v>164</v>
      </c>
    </row>
    <row r="27" spans="1:7">
      <c r="A27" t="s">
        <v>195</v>
      </c>
      <c r="B27" t="s">
        <v>32</v>
      </c>
      <c r="C27" t="s">
        <v>139</v>
      </c>
      <c r="E27">
        <v>250</v>
      </c>
      <c r="F27" t="s">
        <v>165</v>
      </c>
      <c r="G27" t="s">
        <v>164</v>
      </c>
    </row>
    <row r="28" spans="1:7">
      <c r="A28" t="s">
        <v>196</v>
      </c>
      <c r="B28" t="s">
        <v>33</v>
      </c>
      <c r="C28" t="s">
        <v>139</v>
      </c>
      <c r="E28">
        <v>250</v>
      </c>
      <c r="F28" t="s">
        <v>165</v>
      </c>
      <c r="G28" t="s">
        <v>164</v>
      </c>
    </row>
    <row r="29" spans="1:7">
      <c r="A29" t="s">
        <v>197</v>
      </c>
      <c r="B29" t="s">
        <v>34</v>
      </c>
      <c r="C29" t="s">
        <v>139</v>
      </c>
      <c r="E29">
        <v>250</v>
      </c>
      <c r="F29" t="s">
        <v>165</v>
      </c>
      <c r="G29" t="s">
        <v>164</v>
      </c>
    </row>
    <row r="30" spans="1:7">
      <c r="A30" t="s">
        <v>198</v>
      </c>
      <c r="B30" t="s">
        <v>35</v>
      </c>
      <c r="C30" t="s">
        <v>139</v>
      </c>
      <c r="E30">
        <v>250</v>
      </c>
      <c r="F30" t="s">
        <v>165</v>
      </c>
      <c r="G30" t="s">
        <v>164</v>
      </c>
    </row>
    <row r="31" spans="1:7">
      <c r="A31" t="s">
        <v>199</v>
      </c>
      <c r="B31" t="s">
        <v>36</v>
      </c>
      <c r="C31" t="s">
        <v>139</v>
      </c>
      <c r="E31">
        <v>250</v>
      </c>
      <c r="F31" t="s">
        <v>165</v>
      </c>
      <c r="G31" t="s">
        <v>164</v>
      </c>
    </row>
    <row r="32" spans="1:7">
      <c r="A32" t="s">
        <v>200</v>
      </c>
      <c r="B32" t="s">
        <v>37</v>
      </c>
      <c r="C32" t="s">
        <v>139</v>
      </c>
      <c r="E32">
        <v>250</v>
      </c>
      <c r="F32" t="s">
        <v>165</v>
      </c>
      <c r="G32" t="s">
        <v>164</v>
      </c>
    </row>
    <row r="33" spans="1:7">
      <c r="A33" t="s">
        <v>201</v>
      </c>
      <c r="B33" t="s">
        <v>38</v>
      </c>
      <c r="C33" t="s">
        <v>139</v>
      </c>
      <c r="E33">
        <v>250</v>
      </c>
      <c r="F33" t="s">
        <v>165</v>
      </c>
      <c r="G33" t="s">
        <v>164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63D13-CE3A-4481-8677-352AF268B45E}">
  <dimension ref="A1:D22"/>
  <sheetViews>
    <sheetView workbookViewId="0">
      <selection activeCell="C26" sqref="C26"/>
    </sheetView>
  </sheetViews>
  <sheetFormatPr defaultRowHeight="15"/>
  <cols>
    <col min="1" max="1" width="18.85546875" bestFit="1" customWidth="1"/>
    <col min="2" max="2" width="17.7109375" bestFit="1" customWidth="1"/>
    <col min="3" max="3" width="64.28515625" bestFit="1" customWidth="1"/>
    <col min="4" max="4" width="32.7109375" customWidth="1"/>
    <col min="7" max="7" width="23.5703125" bestFit="1" customWidth="1"/>
    <col min="8" max="8" width="37.28515625" customWidth="1"/>
  </cols>
  <sheetData>
    <row r="1" spans="1:4">
      <c r="A1" t="s">
        <v>125</v>
      </c>
      <c r="B1" t="s">
        <v>167</v>
      </c>
      <c r="C1" t="s">
        <v>129</v>
      </c>
      <c r="D1" t="s">
        <v>168</v>
      </c>
    </row>
    <row r="2" spans="1:4">
      <c r="A2" t="s">
        <v>48</v>
      </c>
      <c r="B2" t="s">
        <v>169</v>
      </c>
      <c r="C2" t="s">
        <v>170</v>
      </c>
      <c r="D2" t="s">
        <v>133</v>
      </c>
    </row>
    <row r="3" spans="1:4">
      <c r="A3" t="s">
        <v>49</v>
      </c>
      <c r="B3" t="s">
        <v>169</v>
      </c>
      <c r="C3" t="s">
        <v>170</v>
      </c>
      <c r="D3" t="s">
        <v>133</v>
      </c>
    </row>
    <row r="4" spans="1:4">
      <c r="A4" t="s">
        <v>19</v>
      </c>
      <c r="B4" t="s">
        <v>169</v>
      </c>
      <c r="C4" s="6"/>
      <c r="D4" s="15" t="s">
        <v>203</v>
      </c>
    </row>
    <row r="5" spans="1:4">
      <c r="A5" t="s">
        <v>20</v>
      </c>
      <c r="B5" t="s">
        <v>169</v>
      </c>
      <c r="C5" s="6"/>
      <c r="D5" s="15" t="s">
        <v>204</v>
      </c>
    </row>
    <row r="6" spans="1:4">
      <c r="A6" t="s">
        <v>22</v>
      </c>
      <c r="B6" t="s">
        <v>169</v>
      </c>
      <c r="C6" s="4"/>
      <c r="D6" s="16" t="s">
        <v>205</v>
      </c>
    </row>
    <row r="7" spans="1:4">
      <c r="A7" t="s">
        <v>23</v>
      </c>
      <c r="B7" t="s">
        <v>169</v>
      </c>
      <c r="C7" s="4"/>
      <c r="D7" s="16" t="s">
        <v>205</v>
      </c>
    </row>
    <row r="8" spans="1:4">
      <c r="A8" t="s">
        <v>24</v>
      </c>
      <c r="B8" t="s">
        <v>169</v>
      </c>
      <c r="C8" s="4"/>
      <c r="D8" s="16" t="s">
        <v>206</v>
      </c>
    </row>
    <row r="9" spans="1:4">
      <c r="A9" t="s">
        <v>25</v>
      </c>
      <c r="B9" t="s">
        <v>169</v>
      </c>
      <c r="C9" s="4"/>
      <c r="D9" s="17" t="s">
        <v>207</v>
      </c>
    </row>
    <row r="10" spans="1:4">
      <c r="A10" t="s">
        <v>26</v>
      </c>
      <c r="B10" t="s">
        <v>169</v>
      </c>
      <c r="C10" s="4"/>
      <c r="D10" s="17" t="s">
        <v>208</v>
      </c>
    </row>
    <row r="11" spans="1:4">
      <c r="A11" t="s">
        <v>27</v>
      </c>
      <c r="B11" t="s">
        <v>169</v>
      </c>
      <c r="C11" s="4"/>
      <c r="D11" s="17" t="s">
        <v>209</v>
      </c>
    </row>
    <row r="12" spans="1:4">
      <c r="A12" t="s">
        <v>28</v>
      </c>
      <c r="B12" t="s">
        <v>169</v>
      </c>
      <c r="C12" s="4"/>
      <c r="D12" s="18" t="s">
        <v>210</v>
      </c>
    </row>
    <row r="13" spans="1:4">
      <c r="A13" t="s">
        <v>29</v>
      </c>
      <c r="B13" t="s">
        <v>169</v>
      </c>
      <c r="C13" s="6"/>
      <c r="D13" s="19" t="s">
        <v>211</v>
      </c>
    </row>
    <row r="14" spans="1:4">
      <c r="A14" t="s">
        <v>30</v>
      </c>
      <c r="B14" t="s">
        <v>169</v>
      </c>
      <c r="C14" s="6"/>
      <c r="D14" s="20" t="s">
        <v>212</v>
      </c>
    </row>
    <row r="15" spans="1:4">
      <c r="A15" t="s">
        <v>31</v>
      </c>
      <c r="B15" t="s">
        <v>169</v>
      </c>
      <c r="C15" s="6"/>
      <c r="D15" s="20" t="s">
        <v>213</v>
      </c>
    </row>
    <row r="16" spans="1:4">
      <c r="A16" t="s">
        <v>32</v>
      </c>
      <c r="B16" t="s">
        <v>169</v>
      </c>
      <c r="C16" s="6"/>
      <c r="D16" s="20" t="s">
        <v>214</v>
      </c>
    </row>
    <row r="17" spans="1:4">
      <c r="A17" t="s">
        <v>33</v>
      </c>
      <c r="B17" t="s">
        <v>169</v>
      </c>
      <c r="C17" s="6"/>
      <c r="D17" s="21" t="s">
        <v>214</v>
      </c>
    </row>
    <row r="18" spans="1:4">
      <c r="A18" t="s">
        <v>34</v>
      </c>
      <c r="B18" t="s">
        <v>169</v>
      </c>
      <c r="C18" s="7"/>
      <c r="D18" s="22" t="s">
        <v>215</v>
      </c>
    </row>
    <row r="19" spans="1:4">
      <c r="A19" t="s">
        <v>35</v>
      </c>
      <c r="B19" t="s">
        <v>169</v>
      </c>
      <c r="C19" s="7"/>
      <c r="D19" s="22" t="s">
        <v>216</v>
      </c>
    </row>
    <row r="20" spans="1:4">
      <c r="A20" t="s">
        <v>36</v>
      </c>
      <c r="B20" t="s">
        <v>169</v>
      </c>
      <c r="C20" s="4"/>
      <c r="D20" s="23" t="s">
        <v>217</v>
      </c>
    </row>
    <row r="21" spans="1:4">
      <c r="A21" t="s">
        <v>37</v>
      </c>
      <c r="B21" t="s">
        <v>169</v>
      </c>
      <c r="C21" s="4"/>
      <c r="D21" s="23" t="s">
        <v>218</v>
      </c>
    </row>
    <row r="22" spans="1:4" ht="15.75" thickBot="1">
      <c r="A22" t="s">
        <v>38</v>
      </c>
      <c r="B22" t="s">
        <v>169</v>
      </c>
      <c r="C22" s="8"/>
      <c r="D22" s="24" t="s">
        <v>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C158E-42FC-41C7-84FA-CCFEFDB5B032}">
  <dimension ref="A1:Q55"/>
  <sheetViews>
    <sheetView workbookViewId="0">
      <selection activeCell="I26" sqref="I26"/>
    </sheetView>
  </sheetViews>
  <sheetFormatPr defaultRowHeight="15"/>
  <cols>
    <col min="1" max="1" width="10.7109375" bestFit="1" customWidth="1"/>
    <col min="2" max="2" width="9.28515625" bestFit="1" customWidth="1"/>
    <col min="3" max="3" width="12.140625" bestFit="1" customWidth="1"/>
    <col min="4" max="4" width="7.28515625" bestFit="1" customWidth="1"/>
    <col min="5" max="5" width="24.42578125" bestFit="1" customWidth="1"/>
    <col min="6" max="6" width="11.28515625" bestFit="1" customWidth="1"/>
    <col min="7" max="7" width="14.28515625" bestFit="1" customWidth="1"/>
    <col min="8" max="8" width="12.7109375" bestFit="1" customWidth="1"/>
    <col min="9" max="9" width="8" bestFit="1" customWidth="1"/>
    <col min="10" max="10" width="20.140625" bestFit="1" customWidth="1"/>
    <col min="11" max="11" width="11.5703125" bestFit="1" customWidth="1"/>
    <col min="12" max="12" width="12.85546875" bestFit="1" customWidth="1"/>
    <col min="13" max="13" width="18.42578125" bestFit="1" customWidth="1"/>
    <col min="14" max="14" width="5.28515625" bestFit="1" customWidth="1"/>
    <col min="15" max="15" width="9.5703125" bestFit="1" customWidth="1"/>
    <col min="16" max="16" width="5.28515625" bestFit="1" customWidth="1"/>
    <col min="17" max="17" width="5.140625" bestFit="1" customWidth="1"/>
  </cols>
  <sheetData>
    <row r="1" spans="1:17">
      <c r="A1" t="s">
        <v>140</v>
      </c>
      <c r="B1" t="s">
        <v>141</v>
      </c>
      <c r="C1" t="s">
        <v>142</v>
      </c>
      <c r="D1" t="s">
        <v>143</v>
      </c>
      <c r="E1" t="s">
        <v>144</v>
      </c>
      <c r="F1" t="s">
        <v>145</v>
      </c>
      <c r="G1" t="s">
        <v>146</v>
      </c>
      <c r="H1" t="s">
        <v>147</v>
      </c>
      <c r="I1" t="s">
        <v>148</v>
      </c>
      <c r="J1" t="s">
        <v>149</v>
      </c>
      <c r="K1" t="s">
        <v>150</v>
      </c>
      <c r="L1" t="s">
        <v>151</v>
      </c>
      <c r="M1" t="s">
        <v>152</v>
      </c>
      <c r="N1" t="s">
        <v>44</v>
      </c>
      <c r="O1" t="s">
        <v>153</v>
      </c>
      <c r="P1" t="s">
        <v>44</v>
      </c>
      <c r="Q1" t="s">
        <v>154</v>
      </c>
    </row>
    <row r="2" spans="1:17">
      <c r="A2" t="s">
        <v>155</v>
      </c>
      <c r="B2" s="12" t="s">
        <v>156</v>
      </c>
      <c r="C2">
        <v>14</v>
      </c>
      <c r="D2" t="s">
        <v>156</v>
      </c>
      <c r="E2">
        <f>AVERAGE(A8:A11)</f>
        <v>21.0425</v>
      </c>
      <c r="F2">
        <f t="shared" ref="F2:F3" si="0">E2/100</f>
        <v>0.210425</v>
      </c>
      <c r="G2">
        <v>0.96</v>
      </c>
      <c r="H2">
        <v>6</v>
      </c>
      <c r="I2" t="s">
        <v>157</v>
      </c>
      <c r="J2" s="13">
        <v>60</v>
      </c>
      <c r="K2">
        <f>H2/G2</f>
        <v>6.25</v>
      </c>
      <c r="L2">
        <f>K2*J2</f>
        <v>375</v>
      </c>
      <c r="M2">
        <f>L2*F2</f>
        <v>78.909374999999997</v>
      </c>
      <c r="N2">
        <v>6</v>
      </c>
      <c r="O2" s="14">
        <f>M2*N2</f>
        <v>473.45624999999995</v>
      </c>
      <c r="P2">
        <f>SUM(A16:A18)</f>
        <v>206</v>
      </c>
      <c r="Q2">
        <f>P2/N2</f>
        <v>34.333333333333336</v>
      </c>
    </row>
    <row r="3" spans="1:17">
      <c r="B3" t="s">
        <v>440</v>
      </c>
      <c r="D3" t="s">
        <v>440</v>
      </c>
      <c r="E3">
        <f>AVERAGE(B8:B11)</f>
        <v>17.075000000000003</v>
      </c>
      <c r="F3">
        <f t="shared" si="0"/>
        <v>0.17075000000000004</v>
      </c>
      <c r="G3">
        <v>0.7</v>
      </c>
      <c r="H3">
        <v>6</v>
      </c>
      <c r="I3" t="s">
        <v>157</v>
      </c>
      <c r="J3" s="13">
        <v>60</v>
      </c>
      <c r="K3">
        <f>H3/G3</f>
        <v>8.5714285714285712</v>
      </c>
      <c r="L3">
        <f>K3*J3</f>
        <v>514.28571428571422</v>
      </c>
      <c r="M3">
        <f>L3*F3</f>
        <v>87.814285714285731</v>
      </c>
      <c r="N3">
        <v>6</v>
      </c>
      <c r="O3" s="14">
        <f>M3*N3</f>
        <v>526.88571428571436</v>
      </c>
      <c r="P3">
        <v>6</v>
      </c>
      <c r="Q3">
        <f>P3/N3</f>
        <v>1</v>
      </c>
    </row>
    <row r="7" spans="1:17">
      <c r="A7" t="s">
        <v>442</v>
      </c>
      <c r="B7" t="s">
        <v>441</v>
      </c>
    </row>
    <row r="8" spans="1:17">
      <c r="A8">
        <v>21.25</v>
      </c>
      <c r="B8">
        <v>17</v>
      </c>
    </row>
    <row r="9" spans="1:17">
      <c r="A9">
        <v>20.86</v>
      </c>
      <c r="B9">
        <v>16.399999999999999</v>
      </c>
    </row>
    <row r="10" spans="1:17">
      <c r="A10">
        <v>21.61</v>
      </c>
      <c r="B10">
        <v>17.8</v>
      </c>
    </row>
    <row r="11" spans="1:17">
      <c r="A11">
        <v>20.45</v>
      </c>
      <c r="B11">
        <v>17.100000000000001</v>
      </c>
    </row>
    <row r="15" spans="1:17">
      <c r="A15" t="s">
        <v>44</v>
      </c>
    </row>
    <row r="16" spans="1:17">
      <c r="A16">
        <v>178</v>
      </c>
      <c r="B16" t="s">
        <v>158</v>
      </c>
    </row>
    <row r="17" spans="1:5">
      <c r="A17">
        <v>8</v>
      </c>
      <c r="B17" t="s">
        <v>160</v>
      </c>
    </row>
    <row r="18" spans="1:5">
      <c r="A18">
        <v>20</v>
      </c>
      <c r="B18" t="s">
        <v>159</v>
      </c>
    </row>
    <row r="23" spans="1:5">
      <c r="A23" t="s">
        <v>161</v>
      </c>
      <c r="B23" t="s">
        <v>148</v>
      </c>
      <c r="C23" t="s">
        <v>44</v>
      </c>
      <c r="D23" t="s">
        <v>162</v>
      </c>
      <c r="E23" t="s">
        <v>163</v>
      </c>
    </row>
    <row r="24" spans="1:5">
      <c r="A24" t="s">
        <v>156</v>
      </c>
      <c r="B24" t="s">
        <v>157</v>
      </c>
      <c r="C24">
        <v>6</v>
      </c>
      <c r="D24">
        <v>473</v>
      </c>
      <c r="E24" t="str">
        <f>_xlfn.CONCAT(D24, " grams ", A24, " for ",C24, " plots ")</f>
        <v xml:space="preserve">473 grams Blaze for 6 plots </v>
      </c>
    </row>
    <row r="25" spans="1:5">
      <c r="A25" t="s">
        <v>156</v>
      </c>
      <c r="B25" t="s">
        <v>157</v>
      </c>
      <c r="C25">
        <v>6</v>
      </c>
      <c r="D25">
        <v>473</v>
      </c>
      <c r="E25" t="str">
        <f t="shared" ref="E25:E55" si="1">_xlfn.CONCAT(D25, " grams ", A25, " for ",C25, " plots ")</f>
        <v xml:space="preserve">473 grams Blaze for 6 plots </v>
      </c>
    </row>
    <row r="26" spans="1:5">
      <c r="A26" t="s">
        <v>156</v>
      </c>
      <c r="B26" t="s">
        <v>157</v>
      </c>
      <c r="C26">
        <v>6</v>
      </c>
      <c r="D26">
        <v>473</v>
      </c>
      <c r="E26" t="str">
        <f t="shared" si="1"/>
        <v xml:space="preserve">473 grams Blaze for 6 plots </v>
      </c>
    </row>
    <row r="27" spans="1:5">
      <c r="A27" t="s">
        <v>156</v>
      </c>
      <c r="B27" t="s">
        <v>157</v>
      </c>
      <c r="C27">
        <v>6</v>
      </c>
      <c r="D27">
        <v>473</v>
      </c>
      <c r="E27" t="str">
        <f t="shared" si="1"/>
        <v xml:space="preserve">473 grams Blaze for 6 plots </v>
      </c>
    </row>
    <row r="28" spans="1:5">
      <c r="A28" t="s">
        <v>156</v>
      </c>
      <c r="B28" t="s">
        <v>157</v>
      </c>
      <c r="C28">
        <v>6</v>
      </c>
      <c r="D28">
        <v>473</v>
      </c>
      <c r="E28" t="str">
        <f t="shared" si="1"/>
        <v xml:space="preserve">473 grams Blaze for 6 plots </v>
      </c>
    </row>
    <row r="29" spans="1:5">
      <c r="A29" t="s">
        <v>156</v>
      </c>
      <c r="B29" t="s">
        <v>157</v>
      </c>
      <c r="C29">
        <v>6</v>
      </c>
      <c r="D29">
        <v>473</v>
      </c>
      <c r="E29" t="str">
        <f t="shared" si="1"/>
        <v xml:space="preserve">473 grams Blaze for 6 plots </v>
      </c>
    </row>
    <row r="30" spans="1:5">
      <c r="A30" t="s">
        <v>156</v>
      </c>
      <c r="B30" t="s">
        <v>157</v>
      </c>
      <c r="C30">
        <v>6</v>
      </c>
      <c r="D30">
        <v>473</v>
      </c>
      <c r="E30" t="str">
        <f t="shared" si="1"/>
        <v xml:space="preserve">473 grams Blaze for 6 plots </v>
      </c>
    </row>
    <row r="31" spans="1:5">
      <c r="A31" t="s">
        <v>156</v>
      </c>
      <c r="B31" t="s">
        <v>157</v>
      </c>
      <c r="C31">
        <v>6</v>
      </c>
      <c r="D31">
        <v>473</v>
      </c>
      <c r="E31" t="str">
        <f t="shared" si="1"/>
        <v xml:space="preserve">473 grams Blaze for 6 plots </v>
      </c>
    </row>
    <row r="32" spans="1:5">
      <c r="A32" t="s">
        <v>156</v>
      </c>
      <c r="B32" t="s">
        <v>157</v>
      </c>
      <c r="C32">
        <v>6</v>
      </c>
      <c r="D32">
        <v>473</v>
      </c>
      <c r="E32" t="str">
        <f t="shared" si="1"/>
        <v xml:space="preserve">473 grams Blaze for 6 plots </v>
      </c>
    </row>
    <row r="33" spans="1:5">
      <c r="A33" t="s">
        <v>156</v>
      </c>
      <c r="B33" t="s">
        <v>157</v>
      </c>
      <c r="C33">
        <v>6</v>
      </c>
      <c r="D33">
        <v>473</v>
      </c>
      <c r="E33" t="str">
        <f t="shared" si="1"/>
        <v xml:space="preserve">473 grams Blaze for 6 plots </v>
      </c>
    </row>
    <row r="34" spans="1:5">
      <c r="A34" t="s">
        <v>156</v>
      </c>
      <c r="B34" t="s">
        <v>157</v>
      </c>
      <c r="C34">
        <v>6</v>
      </c>
      <c r="D34">
        <v>473</v>
      </c>
      <c r="E34" t="str">
        <f t="shared" si="1"/>
        <v xml:space="preserve">473 grams Blaze for 6 plots </v>
      </c>
    </row>
    <row r="35" spans="1:5">
      <c r="A35" t="s">
        <v>156</v>
      </c>
      <c r="B35" t="s">
        <v>157</v>
      </c>
      <c r="C35">
        <v>6</v>
      </c>
      <c r="D35">
        <v>473</v>
      </c>
      <c r="E35" t="str">
        <f t="shared" si="1"/>
        <v xml:space="preserve">473 grams Blaze for 6 plots </v>
      </c>
    </row>
    <row r="36" spans="1:5">
      <c r="A36" t="s">
        <v>156</v>
      </c>
      <c r="B36" t="s">
        <v>157</v>
      </c>
      <c r="C36">
        <v>6</v>
      </c>
      <c r="D36">
        <v>473</v>
      </c>
      <c r="E36" t="str">
        <f t="shared" si="1"/>
        <v xml:space="preserve">473 grams Blaze for 6 plots </v>
      </c>
    </row>
    <row r="37" spans="1:5">
      <c r="A37" t="s">
        <v>156</v>
      </c>
      <c r="B37" t="s">
        <v>157</v>
      </c>
      <c r="C37">
        <v>6</v>
      </c>
      <c r="D37">
        <v>473</v>
      </c>
      <c r="E37" t="str">
        <f t="shared" si="1"/>
        <v xml:space="preserve">473 grams Blaze for 6 plots </v>
      </c>
    </row>
    <row r="38" spans="1:5">
      <c r="A38" t="s">
        <v>156</v>
      </c>
      <c r="B38" t="s">
        <v>157</v>
      </c>
      <c r="C38">
        <v>6</v>
      </c>
      <c r="D38">
        <v>473</v>
      </c>
      <c r="E38" t="str">
        <f t="shared" si="1"/>
        <v xml:space="preserve">473 grams Blaze for 6 plots </v>
      </c>
    </row>
    <row r="39" spans="1:5">
      <c r="A39" t="s">
        <v>156</v>
      </c>
      <c r="B39" t="s">
        <v>157</v>
      </c>
      <c r="C39">
        <v>6</v>
      </c>
      <c r="D39">
        <v>473</v>
      </c>
      <c r="E39" t="str">
        <f t="shared" si="1"/>
        <v xml:space="preserve">473 grams Blaze for 6 plots </v>
      </c>
    </row>
    <row r="40" spans="1:5">
      <c r="A40" t="s">
        <v>156</v>
      </c>
      <c r="B40" t="s">
        <v>157</v>
      </c>
      <c r="C40">
        <v>6</v>
      </c>
      <c r="D40">
        <v>473</v>
      </c>
      <c r="E40" t="str">
        <f t="shared" si="1"/>
        <v xml:space="preserve">473 grams Blaze for 6 plots </v>
      </c>
    </row>
    <row r="41" spans="1:5">
      <c r="A41" t="s">
        <v>156</v>
      </c>
      <c r="B41" t="s">
        <v>157</v>
      </c>
      <c r="C41">
        <v>6</v>
      </c>
      <c r="D41">
        <v>473</v>
      </c>
      <c r="E41" t="str">
        <f t="shared" si="1"/>
        <v xml:space="preserve">473 grams Blaze for 6 plots </v>
      </c>
    </row>
    <row r="42" spans="1:5">
      <c r="A42" t="s">
        <v>156</v>
      </c>
      <c r="B42" t="s">
        <v>157</v>
      </c>
      <c r="C42">
        <v>6</v>
      </c>
      <c r="D42">
        <v>473</v>
      </c>
      <c r="E42" t="str">
        <f t="shared" si="1"/>
        <v xml:space="preserve">473 grams Blaze for 6 plots </v>
      </c>
    </row>
    <row r="43" spans="1:5">
      <c r="A43" t="s">
        <v>156</v>
      </c>
      <c r="B43" t="s">
        <v>157</v>
      </c>
      <c r="C43">
        <v>6</v>
      </c>
      <c r="D43">
        <v>473</v>
      </c>
      <c r="E43" t="str">
        <f t="shared" si="1"/>
        <v xml:space="preserve">473 grams Blaze for 6 plots </v>
      </c>
    </row>
    <row r="44" spans="1:5">
      <c r="A44" t="s">
        <v>156</v>
      </c>
      <c r="B44" t="s">
        <v>157</v>
      </c>
      <c r="C44">
        <v>6</v>
      </c>
      <c r="D44">
        <v>473</v>
      </c>
      <c r="E44" t="str">
        <f t="shared" si="1"/>
        <v xml:space="preserve">473 grams Blaze for 6 plots </v>
      </c>
    </row>
    <row r="45" spans="1:5">
      <c r="A45" t="s">
        <v>156</v>
      </c>
      <c r="B45" t="s">
        <v>157</v>
      </c>
      <c r="C45">
        <v>6</v>
      </c>
      <c r="D45">
        <v>473</v>
      </c>
      <c r="E45" t="str">
        <f t="shared" si="1"/>
        <v xml:space="preserve">473 grams Blaze for 6 plots </v>
      </c>
    </row>
    <row r="46" spans="1:5">
      <c r="A46" t="s">
        <v>156</v>
      </c>
      <c r="B46" t="s">
        <v>157</v>
      </c>
      <c r="C46">
        <v>6</v>
      </c>
      <c r="D46">
        <v>473</v>
      </c>
      <c r="E46" t="str">
        <f t="shared" si="1"/>
        <v xml:space="preserve">473 grams Blaze for 6 plots </v>
      </c>
    </row>
    <row r="47" spans="1:5">
      <c r="A47" t="s">
        <v>156</v>
      </c>
      <c r="B47" t="s">
        <v>157</v>
      </c>
      <c r="C47">
        <v>6</v>
      </c>
      <c r="D47">
        <v>473</v>
      </c>
      <c r="E47" t="str">
        <f t="shared" si="1"/>
        <v xml:space="preserve">473 grams Blaze for 6 plots </v>
      </c>
    </row>
    <row r="48" spans="1:5">
      <c r="A48" t="s">
        <v>156</v>
      </c>
      <c r="B48" t="s">
        <v>157</v>
      </c>
      <c r="C48">
        <v>6</v>
      </c>
      <c r="D48">
        <v>473</v>
      </c>
      <c r="E48" t="str">
        <f t="shared" si="1"/>
        <v xml:space="preserve">473 grams Blaze for 6 plots </v>
      </c>
    </row>
    <row r="49" spans="1:5">
      <c r="A49" t="s">
        <v>156</v>
      </c>
      <c r="B49" t="s">
        <v>157</v>
      </c>
      <c r="C49">
        <v>6</v>
      </c>
      <c r="D49">
        <v>473</v>
      </c>
      <c r="E49" t="str">
        <f t="shared" si="1"/>
        <v xml:space="preserve">473 grams Blaze for 6 plots </v>
      </c>
    </row>
    <row r="50" spans="1:5">
      <c r="A50" t="s">
        <v>156</v>
      </c>
      <c r="B50" t="s">
        <v>157</v>
      </c>
      <c r="C50">
        <v>6</v>
      </c>
      <c r="D50">
        <v>473</v>
      </c>
      <c r="E50" t="str">
        <f t="shared" si="1"/>
        <v xml:space="preserve">473 grams Blaze for 6 plots </v>
      </c>
    </row>
    <row r="51" spans="1:5">
      <c r="A51" t="s">
        <v>156</v>
      </c>
      <c r="B51" t="s">
        <v>157</v>
      </c>
      <c r="C51">
        <v>6</v>
      </c>
      <c r="D51">
        <v>473</v>
      </c>
      <c r="E51" t="str">
        <f t="shared" si="1"/>
        <v xml:space="preserve">473 grams Blaze for 6 plots </v>
      </c>
    </row>
    <row r="52" spans="1:5">
      <c r="A52" t="s">
        <v>156</v>
      </c>
      <c r="B52" t="s">
        <v>157</v>
      </c>
      <c r="C52">
        <v>6</v>
      </c>
      <c r="D52">
        <v>473</v>
      </c>
      <c r="E52" t="str">
        <f t="shared" si="1"/>
        <v xml:space="preserve">473 grams Blaze for 6 plots </v>
      </c>
    </row>
    <row r="53" spans="1:5">
      <c r="A53" t="s">
        <v>156</v>
      </c>
      <c r="B53" t="s">
        <v>157</v>
      </c>
      <c r="C53">
        <v>6</v>
      </c>
      <c r="D53">
        <v>473</v>
      </c>
      <c r="E53" t="str">
        <f t="shared" si="1"/>
        <v xml:space="preserve">473 grams Blaze for 6 plots </v>
      </c>
    </row>
    <row r="54" spans="1:5">
      <c r="A54" t="s">
        <v>156</v>
      </c>
      <c r="B54" t="s">
        <v>157</v>
      </c>
      <c r="C54">
        <v>6</v>
      </c>
      <c r="D54">
        <v>473</v>
      </c>
      <c r="E54" t="str">
        <f t="shared" si="1"/>
        <v xml:space="preserve">473 grams Blaze for 6 plots </v>
      </c>
    </row>
    <row r="55" spans="1:5">
      <c r="A55" t="s">
        <v>156</v>
      </c>
      <c r="B55" t="s">
        <v>157</v>
      </c>
      <c r="C55">
        <v>6</v>
      </c>
      <c r="D55">
        <v>473</v>
      </c>
      <c r="E55" t="str">
        <f t="shared" si="1"/>
        <v xml:space="preserve">473 grams Blaze for 6 plots 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CBBB3-5A64-4398-BCCC-1888563B544D}">
  <sheetPr>
    <pageSetUpPr fitToPage="1"/>
  </sheetPr>
  <dimension ref="A1:V29"/>
  <sheetViews>
    <sheetView workbookViewId="0">
      <selection activeCell="R20" sqref="R20"/>
    </sheetView>
  </sheetViews>
  <sheetFormatPr defaultRowHeight="15"/>
  <sheetData>
    <row r="1" spans="1:22" ht="25.5">
      <c r="A1" s="29" t="s">
        <v>435</v>
      </c>
    </row>
    <row r="3" spans="1:22" ht="26.25">
      <c r="A3" s="30"/>
      <c r="B3" s="31">
        <v>2</v>
      </c>
      <c r="C3" s="31"/>
      <c r="D3" s="31">
        <v>4</v>
      </c>
      <c r="E3" s="31"/>
      <c r="F3" s="31">
        <v>6</v>
      </c>
      <c r="G3" s="31"/>
      <c r="H3" s="31">
        <v>8</v>
      </c>
      <c r="I3" s="31"/>
      <c r="J3" s="31">
        <v>10</v>
      </c>
      <c r="K3" s="31"/>
      <c r="L3" s="31">
        <v>12</v>
      </c>
      <c r="M3" s="31"/>
      <c r="N3" s="32">
        <v>14</v>
      </c>
      <c r="O3" s="32"/>
      <c r="P3" s="32">
        <v>16</v>
      </c>
      <c r="Q3" s="32"/>
      <c r="R3" s="32">
        <v>18</v>
      </c>
      <c r="S3" s="32"/>
      <c r="T3" s="32">
        <v>20</v>
      </c>
      <c r="U3" s="32"/>
      <c r="V3" s="32">
        <v>22</v>
      </c>
    </row>
    <row r="4" spans="1:22" ht="26.25">
      <c r="A4" s="30"/>
      <c r="B4" s="33" t="s">
        <v>393</v>
      </c>
      <c r="C4" s="31"/>
      <c r="D4" s="33" t="s">
        <v>393</v>
      </c>
      <c r="E4" s="31"/>
      <c r="F4" s="33" t="s">
        <v>393</v>
      </c>
      <c r="G4" s="31"/>
      <c r="H4" s="33" t="s">
        <v>393</v>
      </c>
      <c r="I4" s="31"/>
      <c r="J4" s="33" t="s">
        <v>393</v>
      </c>
      <c r="K4" s="31"/>
      <c r="L4" s="33" t="s">
        <v>393</v>
      </c>
      <c r="M4" s="31"/>
      <c r="N4" s="34" t="s">
        <v>393</v>
      </c>
      <c r="O4" s="32"/>
      <c r="P4" s="34" t="s">
        <v>393</v>
      </c>
      <c r="Q4" s="32"/>
      <c r="R4" s="34" t="s">
        <v>393</v>
      </c>
      <c r="S4" s="32"/>
      <c r="T4" s="34" t="s">
        <v>393</v>
      </c>
      <c r="U4" s="34"/>
      <c r="V4" s="34" t="s">
        <v>393</v>
      </c>
    </row>
    <row r="5" spans="1:22" ht="26.25">
      <c r="A5" s="30"/>
      <c r="B5" s="33"/>
      <c r="C5" s="31"/>
      <c r="D5" s="33"/>
      <c r="E5" s="31"/>
      <c r="F5" s="33"/>
      <c r="G5" s="31"/>
      <c r="H5" s="33"/>
      <c r="I5" s="31"/>
      <c r="J5" s="33"/>
      <c r="K5" s="31"/>
      <c r="L5" s="33"/>
      <c r="M5" s="31"/>
      <c r="N5" s="34"/>
      <c r="O5" s="32"/>
      <c r="P5" s="34"/>
      <c r="Q5" s="32"/>
      <c r="R5" s="34"/>
      <c r="S5" s="32"/>
      <c r="T5" s="34"/>
      <c r="U5" s="34"/>
    </row>
    <row r="6" spans="1:22" ht="21">
      <c r="A6" s="35" t="s">
        <v>411</v>
      </c>
      <c r="B6" s="36">
        <f t="shared" ref="B6:T6" si="0">B8+40</f>
        <v>400</v>
      </c>
      <c r="C6" s="36">
        <f t="shared" si="0"/>
        <v>399</v>
      </c>
      <c r="D6" s="36">
        <f t="shared" si="0"/>
        <v>398</v>
      </c>
      <c r="E6" s="36">
        <f t="shared" si="0"/>
        <v>397</v>
      </c>
      <c r="F6" s="36">
        <f t="shared" si="0"/>
        <v>396</v>
      </c>
      <c r="G6" s="36">
        <f t="shared" si="0"/>
        <v>395</v>
      </c>
      <c r="H6" s="36">
        <f t="shared" si="0"/>
        <v>394</v>
      </c>
      <c r="I6" s="36">
        <f t="shared" si="0"/>
        <v>393</v>
      </c>
      <c r="J6" s="36">
        <f t="shared" si="0"/>
        <v>392</v>
      </c>
      <c r="K6" s="36">
        <f t="shared" si="0"/>
        <v>391</v>
      </c>
      <c r="L6" s="36">
        <f t="shared" si="0"/>
        <v>390</v>
      </c>
      <c r="M6" s="36">
        <f t="shared" si="0"/>
        <v>389</v>
      </c>
      <c r="N6" s="36">
        <f t="shared" si="0"/>
        <v>388</v>
      </c>
      <c r="O6" s="36">
        <f t="shared" si="0"/>
        <v>387</v>
      </c>
      <c r="P6" s="36">
        <f t="shared" si="0"/>
        <v>386</v>
      </c>
      <c r="Q6" s="36">
        <f t="shared" si="0"/>
        <v>385</v>
      </c>
      <c r="R6" s="36">
        <f t="shared" si="0"/>
        <v>384</v>
      </c>
      <c r="S6" s="36">
        <f t="shared" si="0"/>
        <v>383</v>
      </c>
      <c r="T6" s="36">
        <f t="shared" si="0"/>
        <v>382</v>
      </c>
      <c r="U6" s="36">
        <f>U8+40</f>
        <v>381</v>
      </c>
      <c r="V6" s="35" t="s">
        <v>409</v>
      </c>
    </row>
    <row r="7" spans="1:22" ht="21">
      <c r="A7" s="35" t="s">
        <v>413</v>
      </c>
      <c r="B7" s="36">
        <f>B9+40</f>
        <v>361</v>
      </c>
      <c r="C7" s="36">
        <f t="shared" ref="C7:U7" si="1">C9+40</f>
        <v>362</v>
      </c>
      <c r="D7" s="36">
        <f t="shared" si="1"/>
        <v>363</v>
      </c>
      <c r="E7" s="36">
        <f t="shared" si="1"/>
        <v>364</v>
      </c>
      <c r="F7" s="36">
        <f t="shared" si="1"/>
        <v>365</v>
      </c>
      <c r="G7" s="36">
        <f t="shared" si="1"/>
        <v>366</v>
      </c>
      <c r="H7" s="36">
        <f t="shared" si="1"/>
        <v>367</v>
      </c>
      <c r="I7" s="36">
        <f t="shared" si="1"/>
        <v>368</v>
      </c>
      <c r="J7" s="36">
        <f t="shared" si="1"/>
        <v>369</v>
      </c>
      <c r="K7" s="36">
        <f t="shared" si="1"/>
        <v>370</v>
      </c>
      <c r="L7" s="36">
        <f t="shared" si="1"/>
        <v>371</v>
      </c>
      <c r="M7" s="36">
        <f t="shared" si="1"/>
        <v>372</v>
      </c>
      <c r="N7" s="36">
        <f t="shared" si="1"/>
        <v>373</v>
      </c>
      <c r="O7" s="36">
        <f t="shared" si="1"/>
        <v>374</v>
      </c>
      <c r="P7" s="36">
        <f t="shared" si="1"/>
        <v>375</v>
      </c>
      <c r="Q7" s="36">
        <f t="shared" si="1"/>
        <v>376</v>
      </c>
      <c r="R7" s="36">
        <f t="shared" si="1"/>
        <v>377</v>
      </c>
      <c r="S7" s="36">
        <f t="shared" si="1"/>
        <v>378</v>
      </c>
      <c r="T7" s="36">
        <f t="shared" si="1"/>
        <v>379</v>
      </c>
      <c r="U7" s="36">
        <f t="shared" si="1"/>
        <v>380</v>
      </c>
      <c r="V7" s="35" t="s">
        <v>407</v>
      </c>
    </row>
    <row r="8" spans="1:22" ht="21">
      <c r="A8" s="35" t="s">
        <v>415</v>
      </c>
      <c r="B8" s="36">
        <f t="shared" ref="B8:T8" si="2">B10+40</f>
        <v>360</v>
      </c>
      <c r="C8" s="36">
        <f t="shared" si="2"/>
        <v>359</v>
      </c>
      <c r="D8" s="36">
        <f t="shared" si="2"/>
        <v>358</v>
      </c>
      <c r="E8" s="36">
        <f t="shared" si="2"/>
        <v>357</v>
      </c>
      <c r="F8" s="36">
        <f t="shared" si="2"/>
        <v>356</v>
      </c>
      <c r="G8" s="36">
        <f t="shared" si="2"/>
        <v>355</v>
      </c>
      <c r="H8" s="36">
        <f t="shared" si="2"/>
        <v>354</v>
      </c>
      <c r="I8" s="36">
        <f t="shared" si="2"/>
        <v>353</v>
      </c>
      <c r="J8" s="36">
        <f t="shared" si="2"/>
        <v>352</v>
      </c>
      <c r="K8" s="36">
        <f t="shared" si="2"/>
        <v>351</v>
      </c>
      <c r="L8" s="36">
        <f t="shared" si="2"/>
        <v>350</v>
      </c>
      <c r="M8" s="36">
        <f t="shared" si="2"/>
        <v>349</v>
      </c>
      <c r="N8" s="36">
        <f t="shared" si="2"/>
        <v>348</v>
      </c>
      <c r="O8" s="36">
        <f t="shared" si="2"/>
        <v>347</v>
      </c>
      <c r="P8" s="36">
        <f t="shared" si="2"/>
        <v>346</v>
      </c>
      <c r="Q8" s="36">
        <f t="shared" si="2"/>
        <v>345</v>
      </c>
      <c r="R8" s="36">
        <f t="shared" si="2"/>
        <v>344</v>
      </c>
      <c r="S8" s="36">
        <f t="shared" si="2"/>
        <v>343</v>
      </c>
      <c r="T8" s="36">
        <f t="shared" si="2"/>
        <v>342</v>
      </c>
      <c r="U8" s="36">
        <f>U10+40</f>
        <v>341</v>
      </c>
      <c r="V8" s="35" t="s">
        <v>405</v>
      </c>
    </row>
    <row r="9" spans="1:22" ht="21">
      <c r="A9" s="35" t="s">
        <v>417</v>
      </c>
      <c r="B9" s="36">
        <f>B11+40</f>
        <v>321</v>
      </c>
      <c r="C9" s="36">
        <f t="shared" ref="C9:U9" si="3">C11+40</f>
        <v>322</v>
      </c>
      <c r="D9" s="36">
        <f t="shared" si="3"/>
        <v>323</v>
      </c>
      <c r="E9" s="36">
        <f t="shared" si="3"/>
        <v>324</v>
      </c>
      <c r="F9" s="36">
        <f t="shared" si="3"/>
        <v>325</v>
      </c>
      <c r="G9" s="36">
        <f t="shared" si="3"/>
        <v>326</v>
      </c>
      <c r="H9" s="36">
        <f t="shared" si="3"/>
        <v>327</v>
      </c>
      <c r="I9" s="36">
        <f t="shared" si="3"/>
        <v>328</v>
      </c>
      <c r="J9" s="36">
        <f t="shared" si="3"/>
        <v>329</v>
      </c>
      <c r="K9" s="36">
        <f t="shared" si="3"/>
        <v>330</v>
      </c>
      <c r="L9" s="36">
        <f t="shared" si="3"/>
        <v>331</v>
      </c>
      <c r="M9" s="36">
        <f t="shared" si="3"/>
        <v>332</v>
      </c>
      <c r="N9" s="36">
        <f t="shared" si="3"/>
        <v>333</v>
      </c>
      <c r="O9" s="36">
        <f t="shared" si="3"/>
        <v>334</v>
      </c>
      <c r="P9" s="36">
        <f t="shared" si="3"/>
        <v>335</v>
      </c>
      <c r="Q9" s="36">
        <f t="shared" si="3"/>
        <v>336</v>
      </c>
      <c r="R9" s="36">
        <f t="shared" si="3"/>
        <v>337</v>
      </c>
      <c r="S9" s="36">
        <f t="shared" si="3"/>
        <v>338</v>
      </c>
      <c r="T9" s="36">
        <f t="shared" si="3"/>
        <v>339</v>
      </c>
      <c r="U9" s="36">
        <f t="shared" si="3"/>
        <v>340</v>
      </c>
      <c r="V9" s="35" t="s">
        <v>403</v>
      </c>
    </row>
    <row r="10" spans="1:22" ht="21">
      <c r="A10" s="35" t="s">
        <v>419</v>
      </c>
      <c r="B10" s="36">
        <f t="shared" ref="B10:T10" si="4">B12+40</f>
        <v>320</v>
      </c>
      <c r="C10" s="36">
        <f t="shared" si="4"/>
        <v>319</v>
      </c>
      <c r="D10" s="36">
        <f t="shared" si="4"/>
        <v>318</v>
      </c>
      <c r="E10" s="36">
        <f t="shared" si="4"/>
        <v>317</v>
      </c>
      <c r="F10" s="36">
        <f t="shared" si="4"/>
        <v>316</v>
      </c>
      <c r="G10" s="36">
        <f t="shared" si="4"/>
        <v>315</v>
      </c>
      <c r="H10" s="36">
        <f t="shared" si="4"/>
        <v>314</v>
      </c>
      <c r="I10" s="36">
        <f t="shared" si="4"/>
        <v>313</v>
      </c>
      <c r="J10" s="36">
        <f t="shared" si="4"/>
        <v>312</v>
      </c>
      <c r="K10" s="36">
        <f t="shared" si="4"/>
        <v>311</v>
      </c>
      <c r="L10" s="36">
        <f t="shared" si="4"/>
        <v>310</v>
      </c>
      <c r="M10" s="36">
        <f t="shared" si="4"/>
        <v>309</v>
      </c>
      <c r="N10" s="36">
        <f t="shared" si="4"/>
        <v>308</v>
      </c>
      <c r="O10" s="36">
        <f t="shared" si="4"/>
        <v>307</v>
      </c>
      <c r="P10" s="36">
        <f t="shared" si="4"/>
        <v>306</v>
      </c>
      <c r="Q10" s="36">
        <f t="shared" si="4"/>
        <v>305</v>
      </c>
      <c r="R10" s="36">
        <f t="shared" si="4"/>
        <v>304</v>
      </c>
      <c r="S10" s="36">
        <f t="shared" si="4"/>
        <v>303</v>
      </c>
      <c r="T10" s="36">
        <f t="shared" si="4"/>
        <v>302</v>
      </c>
      <c r="U10" s="36">
        <f>U12+40</f>
        <v>301</v>
      </c>
      <c r="V10" s="35" t="s">
        <v>401</v>
      </c>
    </row>
    <row r="11" spans="1:22" ht="21">
      <c r="A11" s="35" t="s">
        <v>421</v>
      </c>
      <c r="B11" s="36">
        <f>B13+40</f>
        <v>281</v>
      </c>
      <c r="C11" s="36">
        <f t="shared" ref="C11:U11" si="5">C13+40</f>
        <v>282</v>
      </c>
      <c r="D11" s="36">
        <f t="shared" si="5"/>
        <v>283</v>
      </c>
      <c r="E11" s="36">
        <f t="shared" si="5"/>
        <v>284</v>
      </c>
      <c r="F11" s="36">
        <f t="shared" si="5"/>
        <v>285</v>
      </c>
      <c r="G11" s="36">
        <f t="shared" si="5"/>
        <v>286</v>
      </c>
      <c r="H11" s="36">
        <f t="shared" si="5"/>
        <v>287</v>
      </c>
      <c r="I11" s="36">
        <f t="shared" si="5"/>
        <v>288</v>
      </c>
      <c r="J11" s="36">
        <f t="shared" si="5"/>
        <v>289</v>
      </c>
      <c r="K11" s="36">
        <f t="shared" si="5"/>
        <v>290</v>
      </c>
      <c r="L11" s="36">
        <f t="shared" si="5"/>
        <v>291</v>
      </c>
      <c r="M11" s="36">
        <f t="shared" si="5"/>
        <v>292</v>
      </c>
      <c r="N11" s="36">
        <f t="shared" si="5"/>
        <v>293</v>
      </c>
      <c r="O11" s="36">
        <f t="shared" si="5"/>
        <v>294</v>
      </c>
      <c r="P11" s="36">
        <f t="shared" si="5"/>
        <v>295</v>
      </c>
      <c r="Q11" s="36">
        <f t="shared" si="5"/>
        <v>296</v>
      </c>
      <c r="R11" s="36">
        <f t="shared" si="5"/>
        <v>297</v>
      </c>
      <c r="S11" s="36">
        <f t="shared" si="5"/>
        <v>298</v>
      </c>
      <c r="T11" s="36">
        <f t="shared" si="5"/>
        <v>299</v>
      </c>
      <c r="U11" s="36">
        <f t="shared" si="5"/>
        <v>300</v>
      </c>
      <c r="V11" s="35" t="s">
        <v>399</v>
      </c>
    </row>
    <row r="12" spans="1:22" ht="21">
      <c r="A12" s="35" t="s">
        <v>394</v>
      </c>
      <c r="B12" s="36">
        <f t="shared" ref="B12:T12" si="6">B14+40</f>
        <v>280</v>
      </c>
      <c r="C12" s="36">
        <f t="shared" si="6"/>
        <v>279</v>
      </c>
      <c r="D12" s="36">
        <f t="shared" si="6"/>
        <v>278</v>
      </c>
      <c r="E12" s="36">
        <f t="shared" si="6"/>
        <v>277</v>
      </c>
      <c r="F12" s="36">
        <f t="shared" si="6"/>
        <v>276</v>
      </c>
      <c r="G12" s="36">
        <f t="shared" si="6"/>
        <v>275</v>
      </c>
      <c r="H12" s="36">
        <f t="shared" si="6"/>
        <v>274</v>
      </c>
      <c r="I12" s="36">
        <f t="shared" si="6"/>
        <v>273</v>
      </c>
      <c r="J12" s="36">
        <f t="shared" si="6"/>
        <v>272</v>
      </c>
      <c r="K12" s="36">
        <f t="shared" si="6"/>
        <v>271</v>
      </c>
      <c r="L12" s="36">
        <f t="shared" si="6"/>
        <v>270</v>
      </c>
      <c r="M12" s="36">
        <f t="shared" si="6"/>
        <v>269</v>
      </c>
      <c r="N12" s="36">
        <f t="shared" si="6"/>
        <v>268</v>
      </c>
      <c r="O12" s="36">
        <f t="shared" si="6"/>
        <v>267</v>
      </c>
      <c r="P12" s="36">
        <f t="shared" si="6"/>
        <v>266</v>
      </c>
      <c r="Q12" s="36">
        <f t="shared" si="6"/>
        <v>265</v>
      </c>
      <c r="R12" s="36">
        <f t="shared" si="6"/>
        <v>264</v>
      </c>
      <c r="S12" s="36">
        <f t="shared" si="6"/>
        <v>263</v>
      </c>
      <c r="T12" s="36">
        <f t="shared" si="6"/>
        <v>262</v>
      </c>
      <c r="U12" s="36">
        <f>U14+40</f>
        <v>261</v>
      </c>
      <c r="V12" s="35" t="s">
        <v>397</v>
      </c>
    </row>
    <row r="13" spans="1:22" ht="21">
      <c r="A13" s="35" t="s">
        <v>396</v>
      </c>
      <c r="B13" s="36">
        <f>B15+40</f>
        <v>241</v>
      </c>
      <c r="C13" s="36">
        <f t="shared" ref="C13:U13" si="7">C15+40</f>
        <v>242</v>
      </c>
      <c r="D13" s="36">
        <f t="shared" si="7"/>
        <v>243</v>
      </c>
      <c r="E13" s="36">
        <f t="shared" si="7"/>
        <v>244</v>
      </c>
      <c r="F13" s="36">
        <f t="shared" si="7"/>
        <v>245</v>
      </c>
      <c r="G13" s="36">
        <f t="shared" si="7"/>
        <v>246</v>
      </c>
      <c r="H13" s="36">
        <f t="shared" si="7"/>
        <v>247</v>
      </c>
      <c r="I13" s="36">
        <f t="shared" si="7"/>
        <v>248</v>
      </c>
      <c r="J13" s="36">
        <f t="shared" si="7"/>
        <v>249</v>
      </c>
      <c r="K13" s="36">
        <f t="shared" si="7"/>
        <v>250</v>
      </c>
      <c r="L13" s="36">
        <f t="shared" si="7"/>
        <v>251</v>
      </c>
      <c r="M13" s="36">
        <f t="shared" si="7"/>
        <v>252</v>
      </c>
      <c r="N13" s="36">
        <f t="shared" si="7"/>
        <v>253</v>
      </c>
      <c r="O13" s="36">
        <f t="shared" si="7"/>
        <v>254</v>
      </c>
      <c r="P13" s="36">
        <f t="shared" si="7"/>
        <v>255</v>
      </c>
      <c r="Q13" s="36">
        <f t="shared" si="7"/>
        <v>256</v>
      </c>
      <c r="R13" s="36">
        <f t="shared" si="7"/>
        <v>257</v>
      </c>
      <c r="S13" s="36">
        <f t="shared" si="7"/>
        <v>258</v>
      </c>
      <c r="T13" s="36">
        <f t="shared" si="7"/>
        <v>259</v>
      </c>
      <c r="U13" s="36">
        <f t="shared" si="7"/>
        <v>260</v>
      </c>
      <c r="V13" s="35" t="s">
        <v>395</v>
      </c>
    </row>
    <row r="14" spans="1:22" ht="21">
      <c r="A14" s="35" t="s">
        <v>398</v>
      </c>
      <c r="B14" s="36">
        <f t="shared" ref="B14:T14" si="8">B16+40</f>
        <v>240</v>
      </c>
      <c r="C14" s="36">
        <f t="shared" si="8"/>
        <v>239</v>
      </c>
      <c r="D14" s="36">
        <f t="shared" si="8"/>
        <v>238</v>
      </c>
      <c r="E14" s="36">
        <f t="shared" si="8"/>
        <v>237</v>
      </c>
      <c r="F14" s="36">
        <f t="shared" si="8"/>
        <v>236</v>
      </c>
      <c r="G14" s="36">
        <f t="shared" si="8"/>
        <v>235</v>
      </c>
      <c r="H14" s="36">
        <f t="shared" si="8"/>
        <v>234</v>
      </c>
      <c r="I14" s="36">
        <f t="shared" si="8"/>
        <v>233</v>
      </c>
      <c r="J14" s="36">
        <f t="shared" si="8"/>
        <v>232</v>
      </c>
      <c r="K14" s="36">
        <f t="shared" si="8"/>
        <v>231</v>
      </c>
      <c r="L14" s="36">
        <f t="shared" si="8"/>
        <v>230</v>
      </c>
      <c r="M14" s="36">
        <f t="shared" si="8"/>
        <v>229</v>
      </c>
      <c r="N14" s="36">
        <f t="shared" si="8"/>
        <v>228</v>
      </c>
      <c r="O14" s="36">
        <f t="shared" si="8"/>
        <v>227</v>
      </c>
      <c r="P14" s="36">
        <f t="shared" si="8"/>
        <v>226</v>
      </c>
      <c r="Q14" s="36">
        <f t="shared" si="8"/>
        <v>225</v>
      </c>
      <c r="R14" s="36">
        <f t="shared" si="8"/>
        <v>224</v>
      </c>
      <c r="S14" s="36">
        <f t="shared" si="8"/>
        <v>223</v>
      </c>
      <c r="T14" s="36">
        <f t="shared" si="8"/>
        <v>222</v>
      </c>
      <c r="U14" s="36">
        <f>U16+40</f>
        <v>221</v>
      </c>
      <c r="V14" s="35" t="s">
        <v>434</v>
      </c>
    </row>
    <row r="15" spans="1:22" ht="21">
      <c r="A15" s="35" t="s">
        <v>400</v>
      </c>
      <c r="B15" s="36">
        <f>B17+40</f>
        <v>201</v>
      </c>
      <c r="C15" s="36">
        <f t="shared" ref="C15:U15" si="9">C17+40</f>
        <v>202</v>
      </c>
      <c r="D15" s="36">
        <f t="shared" si="9"/>
        <v>203</v>
      </c>
      <c r="E15" s="36">
        <f t="shared" si="9"/>
        <v>204</v>
      </c>
      <c r="F15" s="36">
        <f t="shared" si="9"/>
        <v>205</v>
      </c>
      <c r="G15" s="36">
        <f t="shared" si="9"/>
        <v>206</v>
      </c>
      <c r="H15" s="36">
        <f t="shared" si="9"/>
        <v>207</v>
      </c>
      <c r="I15" s="36">
        <f t="shared" si="9"/>
        <v>208</v>
      </c>
      <c r="J15" s="36">
        <f t="shared" si="9"/>
        <v>209</v>
      </c>
      <c r="K15" s="36">
        <f t="shared" si="9"/>
        <v>210</v>
      </c>
      <c r="L15" s="36">
        <f t="shared" si="9"/>
        <v>211</v>
      </c>
      <c r="M15" s="36">
        <f t="shared" si="9"/>
        <v>212</v>
      </c>
      <c r="N15" s="36">
        <f t="shared" si="9"/>
        <v>213</v>
      </c>
      <c r="O15" s="36">
        <f t="shared" si="9"/>
        <v>214</v>
      </c>
      <c r="P15" s="36">
        <f t="shared" si="9"/>
        <v>215</v>
      </c>
      <c r="Q15" s="36">
        <f t="shared" si="9"/>
        <v>216</v>
      </c>
      <c r="R15" s="36">
        <f t="shared" si="9"/>
        <v>217</v>
      </c>
      <c r="S15" s="36">
        <f t="shared" si="9"/>
        <v>218</v>
      </c>
      <c r="T15" s="36">
        <f t="shared" si="9"/>
        <v>219</v>
      </c>
      <c r="U15" s="36">
        <f t="shared" si="9"/>
        <v>220</v>
      </c>
      <c r="V15" s="35" t="s">
        <v>433</v>
      </c>
    </row>
    <row r="16" spans="1:22" ht="21">
      <c r="A16" s="35" t="s">
        <v>402</v>
      </c>
      <c r="B16" s="36">
        <f t="shared" ref="B16:T16" si="10">B18+40</f>
        <v>200</v>
      </c>
      <c r="C16" s="36">
        <f t="shared" si="10"/>
        <v>199</v>
      </c>
      <c r="D16" s="36">
        <f t="shared" si="10"/>
        <v>198</v>
      </c>
      <c r="E16" s="36">
        <f t="shared" si="10"/>
        <v>197</v>
      </c>
      <c r="F16" s="36">
        <f t="shared" si="10"/>
        <v>196</v>
      </c>
      <c r="G16" s="36">
        <f t="shared" si="10"/>
        <v>195</v>
      </c>
      <c r="H16" s="36">
        <f t="shared" si="10"/>
        <v>194</v>
      </c>
      <c r="I16" s="36">
        <f t="shared" si="10"/>
        <v>193</v>
      </c>
      <c r="J16" s="36">
        <f t="shared" si="10"/>
        <v>192</v>
      </c>
      <c r="K16" s="36">
        <f t="shared" si="10"/>
        <v>191</v>
      </c>
      <c r="L16" s="36">
        <f t="shared" si="10"/>
        <v>190</v>
      </c>
      <c r="M16" s="36">
        <f t="shared" si="10"/>
        <v>189</v>
      </c>
      <c r="N16" s="36">
        <f t="shared" si="10"/>
        <v>188</v>
      </c>
      <c r="O16" s="36">
        <f t="shared" si="10"/>
        <v>187</v>
      </c>
      <c r="P16" s="36">
        <f t="shared" si="10"/>
        <v>186</v>
      </c>
      <c r="Q16" s="36">
        <f t="shared" si="10"/>
        <v>185</v>
      </c>
      <c r="R16" s="36">
        <f t="shared" si="10"/>
        <v>184</v>
      </c>
      <c r="S16" s="36">
        <f t="shared" si="10"/>
        <v>183</v>
      </c>
      <c r="T16" s="36">
        <f t="shared" si="10"/>
        <v>182</v>
      </c>
      <c r="U16" s="36">
        <f>U18+40</f>
        <v>181</v>
      </c>
      <c r="V16" s="35" t="s">
        <v>432</v>
      </c>
    </row>
    <row r="17" spans="1:22" ht="21">
      <c r="A17" s="35" t="s">
        <v>404</v>
      </c>
      <c r="B17" s="36">
        <f>B19+40</f>
        <v>161</v>
      </c>
      <c r="C17" s="36">
        <f t="shared" ref="C17:U17" si="11">C19+40</f>
        <v>162</v>
      </c>
      <c r="D17" s="36">
        <f t="shared" si="11"/>
        <v>163</v>
      </c>
      <c r="E17" s="36">
        <f t="shared" si="11"/>
        <v>164</v>
      </c>
      <c r="F17" s="36">
        <f t="shared" si="11"/>
        <v>165</v>
      </c>
      <c r="G17" s="36">
        <f t="shared" si="11"/>
        <v>166</v>
      </c>
      <c r="H17" s="36">
        <f t="shared" si="11"/>
        <v>167</v>
      </c>
      <c r="I17" s="36">
        <f t="shared" si="11"/>
        <v>168</v>
      </c>
      <c r="J17" s="36">
        <f t="shared" si="11"/>
        <v>169</v>
      </c>
      <c r="K17" s="36">
        <f t="shared" si="11"/>
        <v>170</v>
      </c>
      <c r="L17" s="36">
        <f t="shared" si="11"/>
        <v>171</v>
      </c>
      <c r="M17" s="36">
        <f t="shared" si="11"/>
        <v>172</v>
      </c>
      <c r="N17" s="36">
        <f t="shared" si="11"/>
        <v>173</v>
      </c>
      <c r="O17" s="36">
        <f t="shared" si="11"/>
        <v>174</v>
      </c>
      <c r="P17" s="36">
        <f t="shared" si="11"/>
        <v>175</v>
      </c>
      <c r="Q17" s="36">
        <f t="shared" si="11"/>
        <v>176</v>
      </c>
      <c r="R17" s="36">
        <f t="shared" si="11"/>
        <v>177</v>
      </c>
      <c r="S17" s="36">
        <f t="shared" si="11"/>
        <v>178</v>
      </c>
      <c r="T17" s="36">
        <f t="shared" si="11"/>
        <v>179</v>
      </c>
      <c r="U17" s="36">
        <f t="shared" si="11"/>
        <v>180</v>
      </c>
      <c r="V17" s="35" t="s">
        <v>431</v>
      </c>
    </row>
    <row r="18" spans="1:22" ht="21">
      <c r="A18" s="35" t="s">
        <v>406</v>
      </c>
      <c r="B18" s="36">
        <f t="shared" ref="B18:T18" si="12">B20+40</f>
        <v>160</v>
      </c>
      <c r="C18" s="36">
        <f t="shared" si="12"/>
        <v>159</v>
      </c>
      <c r="D18" s="36">
        <f t="shared" si="12"/>
        <v>158</v>
      </c>
      <c r="E18" s="36">
        <f t="shared" si="12"/>
        <v>157</v>
      </c>
      <c r="F18" s="36">
        <f t="shared" si="12"/>
        <v>156</v>
      </c>
      <c r="G18" s="36">
        <f t="shared" si="12"/>
        <v>155</v>
      </c>
      <c r="H18" s="36">
        <f t="shared" si="12"/>
        <v>154</v>
      </c>
      <c r="I18" s="36">
        <f t="shared" si="12"/>
        <v>153</v>
      </c>
      <c r="J18" s="36">
        <f t="shared" si="12"/>
        <v>152</v>
      </c>
      <c r="K18" s="36">
        <f t="shared" si="12"/>
        <v>151</v>
      </c>
      <c r="L18" s="36">
        <f t="shared" si="12"/>
        <v>150</v>
      </c>
      <c r="M18" s="36">
        <f t="shared" si="12"/>
        <v>149</v>
      </c>
      <c r="N18" s="36">
        <f t="shared" si="12"/>
        <v>148</v>
      </c>
      <c r="O18" s="36">
        <f t="shared" si="12"/>
        <v>147</v>
      </c>
      <c r="P18" s="36">
        <f t="shared" si="12"/>
        <v>146</v>
      </c>
      <c r="Q18" s="36">
        <f t="shared" si="12"/>
        <v>145</v>
      </c>
      <c r="R18" s="36">
        <f t="shared" si="12"/>
        <v>144</v>
      </c>
      <c r="S18" s="36">
        <f t="shared" si="12"/>
        <v>143</v>
      </c>
      <c r="T18" s="36">
        <f t="shared" si="12"/>
        <v>142</v>
      </c>
      <c r="U18" s="36">
        <f>U20+40</f>
        <v>141</v>
      </c>
      <c r="V18" s="35" t="s">
        <v>423</v>
      </c>
    </row>
    <row r="19" spans="1:22" ht="21">
      <c r="A19" s="35" t="s">
        <v>408</v>
      </c>
      <c r="B19" s="36">
        <f>B21+40</f>
        <v>121</v>
      </c>
      <c r="C19" s="36">
        <f t="shared" ref="C19:U19" si="13">C21+40</f>
        <v>122</v>
      </c>
      <c r="D19" s="36">
        <f t="shared" si="13"/>
        <v>123</v>
      </c>
      <c r="E19" s="36">
        <f t="shared" si="13"/>
        <v>124</v>
      </c>
      <c r="F19" s="36">
        <f t="shared" si="13"/>
        <v>125</v>
      </c>
      <c r="G19" s="36">
        <f t="shared" si="13"/>
        <v>126</v>
      </c>
      <c r="H19" s="36">
        <f t="shared" si="13"/>
        <v>127</v>
      </c>
      <c r="I19" s="36">
        <f t="shared" si="13"/>
        <v>128</v>
      </c>
      <c r="J19" s="36">
        <f t="shared" si="13"/>
        <v>129</v>
      </c>
      <c r="K19" s="36">
        <f t="shared" si="13"/>
        <v>130</v>
      </c>
      <c r="L19" s="36">
        <f t="shared" si="13"/>
        <v>131</v>
      </c>
      <c r="M19" s="36">
        <f t="shared" si="13"/>
        <v>132</v>
      </c>
      <c r="N19" s="36">
        <f t="shared" si="13"/>
        <v>133</v>
      </c>
      <c r="O19" s="36">
        <f t="shared" si="13"/>
        <v>134</v>
      </c>
      <c r="P19" s="36">
        <f t="shared" si="13"/>
        <v>135</v>
      </c>
      <c r="Q19" s="36">
        <f t="shared" si="13"/>
        <v>136</v>
      </c>
      <c r="R19" s="36">
        <f t="shared" si="13"/>
        <v>137</v>
      </c>
      <c r="S19" s="36">
        <f t="shared" si="13"/>
        <v>138</v>
      </c>
      <c r="T19" s="36">
        <f t="shared" si="13"/>
        <v>139</v>
      </c>
      <c r="U19" s="36">
        <f t="shared" si="13"/>
        <v>140</v>
      </c>
      <c r="V19" s="35" t="s">
        <v>430</v>
      </c>
    </row>
    <row r="20" spans="1:22" ht="21">
      <c r="A20" s="35" t="s">
        <v>410</v>
      </c>
      <c r="B20" s="36">
        <f t="shared" ref="B20:T20" si="14">B22+40</f>
        <v>120</v>
      </c>
      <c r="C20" s="36">
        <f t="shared" si="14"/>
        <v>119</v>
      </c>
      <c r="D20" s="36">
        <f t="shared" si="14"/>
        <v>118</v>
      </c>
      <c r="E20" s="36">
        <f t="shared" si="14"/>
        <v>117</v>
      </c>
      <c r="F20" s="36">
        <f t="shared" si="14"/>
        <v>116</v>
      </c>
      <c r="G20" s="36">
        <f t="shared" si="14"/>
        <v>115</v>
      </c>
      <c r="H20" s="36">
        <f t="shared" si="14"/>
        <v>114</v>
      </c>
      <c r="I20" s="36">
        <f t="shared" si="14"/>
        <v>113</v>
      </c>
      <c r="J20" s="36">
        <f t="shared" si="14"/>
        <v>112</v>
      </c>
      <c r="K20" s="36">
        <f t="shared" si="14"/>
        <v>111</v>
      </c>
      <c r="L20" s="36">
        <f t="shared" si="14"/>
        <v>110</v>
      </c>
      <c r="M20" s="36">
        <f t="shared" si="14"/>
        <v>109</v>
      </c>
      <c r="N20" s="36">
        <f t="shared" si="14"/>
        <v>108</v>
      </c>
      <c r="O20" s="36">
        <f t="shared" si="14"/>
        <v>107</v>
      </c>
      <c r="P20" s="36">
        <f t="shared" si="14"/>
        <v>106</v>
      </c>
      <c r="Q20" s="36">
        <f t="shared" si="14"/>
        <v>105</v>
      </c>
      <c r="R20" s="36">
        <f t="shared" si="14"/>
        <v>104</v>
      </c>
      <c r="S20" s="36">
        <f t="shared" si="14"/>
        <v>103</v>
      </c>
      <c r="T20" s="36">
        <f t="shared" si="14"/>
        <v>102</v>
      </c>
      <c r="U20" s="36">
        <f>U22+40</f>
        <v>101</v>
      </c>
      <c r="V20" s="35" t="s">
        <v>429</v>
      </c>
    </row>
    <row r="21" spans="1:22" ht="21">
      <c r="A21" s="35" t="s">
        <v>412</v>
      </c>
      <c r="B21" s="36">
        <f>B23+40</f>
        <v>81</v>
      </c>
      <c r="C21" s="36">
        <f t="shared" ref="C21:U21" si="15">C23+40</f>
        <v>82</v>
      </c>
      <c r="D21" s="36">
        <f t="shared" si="15"/>
        <v>83</v>
      </c>
      <c r="E21" s="36">
        <f t="shared" si="15"/>
        <v>84</v>
      </c>
      <c r="F21" s="36">
        <f t="shared" si="15"/>
        <v>85</v>
      </c>
      <c r="G21" s="36">
        <f t="shared" si="15"/>
        <v>86</v>
      </c>
      <c r="H21" s="36">
        <f t="shared" si="15"/>
        <v>87</v>
      </c>
      <c r="I21" s="36">
        <f t="shared" si="15"/>
        <v>88</v>
      </c>
      <c r="J21" s="36">
        <f t="shared" si="15"/>
        <v>89</v>
      </c>
      <c r="K21" s="36">
        <f t="shared" si="15"/>
        <v>90</v>
      </c>
      <c r="L21" s="36">
        <f t="shared" si="15"/>
        <v>91</v>
      </c>
      <c r="M21" s="36">
        <f t="shared" si="15"/>
        <v>92</v>
      </c>
      <c r="N21" s="36">
        <f t="shared" si="15"/>
        <v>93</v>
      </c>
      <c r="O21" s="36">
        <f t="shared" si="15"/>
        <v>94</v>
      </c>
      <c r="P21" s="36">
        <f t="shared" si="15"/>
        <v>95</v>
      </c>
      <c r="Q21" s="36">
        <f t="shared" si="15"/>
        <v>96</v>
      </c>
      <c r="R21" s="36">
        <f t="shared" si="15"/>
        <v>97</v>
      </c>
      <c r="S21" s="36">
        <f t="shared" si="15"/>
        <v>98</v>
      </c>
      <c r="T21" s="36">
        <f t="shared" si="15"/>
        <v>99</v>
      </c>
      <c r="U21" s="36">
        <f t="shared" si="15"/>
        <v>100</v>
      </c>
      <c r="V21" s="35" t="s">
        <v>428</v>
      </c>
    </row>
    <row r="22" spans="1:22" ht="21">
      <c r="A22" s="35" t="s">
        <v>414</v>
      </c>
      <c r="B22" s="36">
        <f t="shared" ref="B22:T22" si="16">B24+40</f>
        <v>80</v>
      </c>
      <c r="C22" s="36">
        <f t="shared" si="16"/>
        <v>79</v>
      </c>
      <c r="D22" s="36">
        <f t="shared" si="16"/>
        <v>78</v>
      </c>
      <c r="E22" s="36">
        <f t="shared" si="16"/>
        <v>77</v>
      </c>
      <c r="F22" s="36">
        <f t="shared" si="16"/>
        <v>76</v>
      </c>
      <c r="G22" s="36">
        <f t="shared" si="16"/>
        <v>75</v>
      </c>
      <c r="H22" s="36">
        <f t="shared" si="16"/>
        <v>74</v>
      </c>
      <c r="I22" s="36">
        <f t="shared" si="16"/>
        <v>73</v>
      </c>
      <c r="J22" s="36">
        <f t="shared" si="16"/>
        <v>72</v>
      </c>
      <c r="K22" s="36">
        <f t="shared" si="16"/>
        <v>71</v>
      </c>
      <c r="L22" s="36">
        <f t="shared" si="16"/>
        <v>70</v>
      </c>
      <c r="M22" s="36">
        <f t="shared" si="16"/>
        <v>69</v>
      </c>
      <c r="N22" s="36">
        <f t="shared" si="16"/>
        <v>68</v>
      </c>
      <c r="O22" s="36">
        <f t="shared" si="16"/>
        <v>67</v>
      </c>
      <c r="P22" s="36">
        <f t="shared" si="16"/>
        <v>66</v>
      </c>
      <c r="Q22" s="36">
        <f t="shared" si="16"/>
        <v>65</v>
      </c>
      <c r="R22" s="36">
        <f t="shared" si="16"/>
        <v>64</v>
      </c>
      <c r="S22" s="36">
        <f t="shared" si="16"/>
        <v>63</v>
      </c>
      <c r="T22" s="36">
        <f t="shared" si="16"/>
        <v>62</v>
      </c>
      <c r="U22" s="36">
        <f>U24+40</f>
        <v>61</v>
      </c>
      <c r="V22" s="35" t="s">
        <v>427</v>
      </c>
    </row>
    <row r="23" spans="1:22" ht="21">
      <c r="A23" s="35" t="s">
        <v>416</v>
      </c>
      <c r="B23" s="36">
        <f>B25+40</f>
        <v>41</v>
      </c>
      <c r="C23" s="36">
        <f t="shared" ref="C23:U23" si="17">C25+40</f>
        <v>42</v>
      </c>
      <c r="D23" s="36">
        <f t="shared" si="17"/>
        <v>43</v>
      </c>
      <c r="E23" s="36">
        <f t="shared" si="17"/>
        <v>44</v>
      </c>
      <c r="F23" s="36">
        <f t="shared" si="17"/>
        <v>45</v>
      </c>
      <c r="G23" s="36">
        <f t="shared" si="17"/>
        <v>46</v>
      </c>
      <c r="H23" s="36">
        <f t="shared" si="17"/>
        <v>47</v>
      </c>
      <c r="I23" s="36">
        <f t="shared" si="17"/>
        <v>48</v>
      </c>
      <c r="J23" s="36">
        <f t="shared" si="17"/>
        <v>49</v>
      </c>
      <c r="K23" s="36">
        <f t="shared" si="17"/>
        <v>50</v>
      </c>
      <c r="L23" s="36">
        <f t="shared" si="17"/>
        <v>51</v>
      </c>
      <c r="M23" s="36">
        <f t="shared" si="17"/>
        <v>52</v>
      </c>
      <c r="N23" s="36">
        <f t="shared" si="17"/>
        <v>53</v>
      </c>
      <c r="O23" s="36">
        <f t="shared" si="17"/>
        <v>54</v>
      </c>
      <c r="P23" s="36">
        <f t="shared" si="17"/>
        <v>55</v>
      </c>
      <c r="Q23" s="36">
        <f t="shared" si="17"/>
        <v>56</v>
      </c>
      <c r="R23" s="36">
        <f t="shared" si="17"/>
        <v>57</v>
      </c>
      <c r="S23" s="36">
        <f t="shared" si="17"/>
        <v>58</v>
      </c>
      <c r="T23" s="36">
        <f t="shared" si="17"/>
        <v>59</v>
      </c>
      <c r="U23" s="36">
        <f t="shared" si="17"/>
        <v>60</v>
      </c>
      <c r="V23" s="35" t="s">
        <v>426</v>
      </c>
    </row>
    <row r="24" spans="1:22" ht="21">
      <c r="A24" s="35" t="s">
        <v>418</v>
      </c>
      <c r="B24" s="36">
        <v>40</v>
      </c>
      <c r="C24" s="36">
        <v>39</v>
      </c>
      <c r="D24" s="36">
        <v>38</v>
      </c>
      <c r="E24" s="36">
        <v>37</v>
      </c>
      <c r="F24" s="36">
        <v>36</v>
      </c>
      <c r="G24" s="36">
        <v>35</v>
      </c>
      <c r="H24" s="36">
        <v>34</v>
      </c>
      <c r="I24" s="36">
        <v>33</v>
      </c>
      <c r="J24" s="36">
        <v>32</v>
      </c>
      <c r="K24" s="36">
        <v>31</v>
      </c>
      <c r="L24" s="36">
        <v>30</v>
      </c>
      <c r="M24" s="36">
        <v>29</v>
      </c>
      <c r="N24" s="36">
        <v>28</v>
      </c>
      <c r="O24" s="36">
        <v>27</v>
      </c>
      <c r="P24" s="36">
        <v>26</v>
      </c>
      <c r="Q24" s="36">
        <v>25</v>
      </c>
      <c r="R24" s="36">
        <v>24</v>
      </c>
      <c r="S24" s="36">
        <v>23</v>
      </c>
      <c r="T24" s="36">
        <v>22</v>
      </c>
      <c r="U24" s="36">
        <v>21</v>
      </c>
      <c r="V24" s="35" t="s">
        <v>425</v>
      </c>
    </row>
    <row r="25" spans="1:22" ht="21">
      <c r="A25" s="35" t="s">
        <v>420</v>
      </c>
      <c r="B25" s="36">
        <v>1</v>
      </c>
      <c r="C25" s="36">
        <v>2</v>
      </c>
      <c r="D25" s="36">
        <v>3</v>
      </c>
      <c r="E25" s="36">
        <v>4</v>
      </c>
      <c r="F25" s="36">
        <v>5</v>
      </c>
      <c r="G25" s="36">
        <v>6</v>
      </c>
      <c r="H25" s="36">
        <v>7</v>
      </c>
      <c r="I25" s="36">
        <v>8</v>
      </c>
      <c r="J25" s="36">
        <v>9</v>
      </c>
      <c r="K25" s="36">
        <v>10</v>
      </c>
      <c r="L25" s="36">
        <v>11</v>
      </c>
      <c r="M25" s="36">
        <v>12</v>
      </c>
      <c r="N25" s="36">
        <v>13</v>
      </c>
      <c r="O25" s="36">
        <v>14</v>
      </c>
      <c r="P25" s="36">
        <v>15</v>
      </c>
      <c r="Q25" s="36">
        <v>16</v>
      </c>
      <c r="R25" s="36">
        <v>17</v>
      </c>
      <c r="S25" s="36">
        <v>18</v>
      </c>
      <c r="T25" s="36">
        <v>19</v>
      </c>
      <c r="U25" s="36">
        <v>20</v>
      </c>
      <c r="V25" s="35" t="s">
        <v>424</v>
      </c>
    </row>
    <row r="28" spans="1:22" ht="26.25">
      <c r="A28" s="33" t="s">
        <v>422</v>
      </c>
      <c r="B28" s="31"/>
      <c r="C28" s="33" t="s">
        <v>422</v>
      </c>
      <c r="D28" s="31"/>
      <c r="E28" s="33" t="s">
        <v>422</v>
      </c>
      <c r="F28" s="31"/>
      <c r="G28" s="33" t="s">
        <v>422</v>
      </c>
      <c r="H28" s="31"/>
      <c r="I28" s="33" t="s">
        <v>422</v>
      </c>
      <c r="J28" s="31"/>
      <c r="K28" s="33" t="s">
        <v>422</v>
      </c>
      <c r="L28" s="31"/>
      <c r="M28" s="33" t="s">
        <v>422</v>
      </c>
      <c r="N28" s="32"/>
      <c r="O28" s="34" t="s">
        <v>422</v>
      </c>
      <c r="P28" s="32"/>
      <c r="Q28" s="34" t="s">
        <v>422</v>
      </c>
      <c r="R28" s="32"/>
      <c r="S28" s="34" t="s">
        <v>422</v>
      </c>
      <c r="T28" s="32"/>
      <c r="U28" s="34" t="s">
        <v>422</v>
      </c>
    </row>
    <row r="29" spans="1:22" ht="26.25">
      <c r="A29" s="31">
        <v>1</v>
      </c>
      <c r="B29" s="31"/>
      <c r="C29" s="31">
        <v>3</v>
      </c>
      <c r="D29" s="31"/>
      <c r="E29" s="31">
        <v>5</v>
      </c>
      <c r="F29" s="31"/>
      <c r="G29" s="31">
        <v>7</v>
      </c>
      <c r="H29" s="31"/>
      <c r="I29" s="31">
        <v>9</v>
      </c>
      <c r="J29" s="31"/>
      <c r="K29" s="31">
        <v>11</v>
      </c>
      <c r="L29" s="31"/>
      <c r="M29" s="31">
        <v>13</v>
      </c>
      <c r="N29" s="32"/>
      <c r="O29" s="32">
        <v>15</v>
      </c>
      <c r="P29" s="32"/>
      <c r="Q29" s="32">
        <v>17</v>
      </c>
      <c r="R29" s="32"/>
      <c r="S29" s="32">
        <v>19</v>
      </c>
      <c r="T29" s="32"/>
      <c r="U29" s="32">
        <v>21</v>
      </c>
    </row>
  </sheetData>
  <phoneticPr fontId="2" type="noConversion"/>
  <pageMargins left="0.7" right="0.7" top="0.75" bottom="0.75" header="0.3" footer="0.3"/>
  <pageSetup scale="58" orientation="landscape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D9A21-1C5C-415A-83A3-22029583C032}">
  <dimension ref="A1:U21"/>
  <sheetViews>
    <sheetView workbookViewId="0">
      <selection activeCell="K26" sqref="K26"/>
    </sheetView>
  </sheetViews>
  <sheetFormatPr defaultRowHeight="15"/>
  <sheetData>
    <row r="1" spans="1:21">
      <c r="A1" t="s">
        <v>436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ht="21">
      <c r="A2">
        <v>20</v>
      </c>
      <c r="B2" s="36">
        <f t="shared" ref="B2:T3" si="0">B4+40</f>
        <v>400</v>
      </c>
      <c r="C2" s="36">
        <f t="shared" si="0"/>
        <v>399</v>
      </c>
      <c r="D2" s="36">
        <f t="shared" si="0"/>
        <v>398</v>
      </c>
      <c r="E2" s="36">
        <f t="shared" si="0"/>
        <v>397</v>
      </c>
      <c r="F2" s="36">
        <f t="shared" si="0"/>
        <v>396</v>
      </c>
      <c r="G2" s="36">
        <f t="shared" si="0"/>
        <v>395</v>
      </c>
      <c r="H2" s="36">
        <f t="shared" si="0"/>
        <v>394</v>
      </c>
      <c r="I2" s="36">
        <f t="shared" si="0"/>
        <v>393</v>
      </c>
      <c r="J2" s="36">
        <f t="shared" si="0"/>
        <v>392</v>
      </c>
      <c r="K2" s="36">
        <f t="shared" si="0"/>
        <v>391</v>
      </c>
      <c r="L2" s="36">
        <f t="shared" si="0"/>
        <v>390</v>
      </c>
      <c r="M2" s="36">
        <f t="shared" si="0"/>
        <v>389</v>
      </c>
      <c r="N2" s="36">
        <f t="shared" si="0"/>
        <v>388</v>
      </c>
      <c r="O2" s="36">
        <f t="shared" si="0"/>
        <v>387</v>
      </c>
      <c r="P2" s="36">
        <f t="shared" si="0"/>
        <v>386</v>
      </c>
      <c r="Q2" s="36">
        <f t="shared" si="0"/>
        <v>385</v>
      </c>
      <c r="R2" s="36">
        <f t="shared" si="0"/>
        <v>384</v>
      </c>
      <c r="S2" s="36">
        <f t="shared" si="0"/>
        <v>383</v>
      </c>
      <c r="T2" s="36">
        <f t="shared" si="0"/>
        <v>382</v>
      </c>
      <c r="U2" s="36">
        <f>U4+40</f>
        <v>381</v>
      </c>
    </row>
    <row r="3" spans="1:21" ht="21">
      <c r="A3">
        <v>19</v>
      </c>
      <c r="B3" s="36">
        <f>B5+40</f>
        <v>361</v>
      </c>
      <c r="C3" s="36">
        <f t="shared" si="0"/>
        <v>362</v>
      </c>
      <c r="D3" s="36">
        <f t="shared" si="0"/>
        <v>363</v>
      </c>
      <c r="E3" s="36">
        <f t="shared" si="0"/>
        <v>364</v>
      </c>
      <c r="F3" s="36">
        <f t="shared" si="0"/>
        <v>365</v>
      </c>
      <c r="G3" s="36">
        <f t="shared" si="0"/>
        <v>366</v>
      </c>
      <c r="H3" s="36">
        <f t="shared" si="0"/>
        <v>367</v>
      </c>
      <c r="I3" s="36">
        <f t="shared" si="0"/>
        <v>368</v>
      </c>
      <c r="J3" s="36">
        <f t="shared" si="0"/>
        <v>369</v>
      </c>
      <c r="K3" s="36">
        <f t="shared" si="0"/>
        <v>370</v>
      </c>
      <c r="L3" s="36">
        <f t="shared" si="0"/>
        <v>371</v>
      </c>
      <c r="M3" s="36">
        <f t="shared" si="0"/>
        <v>372</v>
      </c>
      <c r="N3" s="36">
        <f t="shared" si="0"/>
        <v>373</v>
      </c>
      <c r="O3" s="36">
        <f t="shared" si="0"/>
        <v>374</v>
      </c>
      <c r="P3" s="36">
        <f t="shared" si="0"/>
        <v>375</v>
      </c>
      <c r="Q3" s="36">
        <f t="shared" si="0"/>
        <v>376</v>
      </c>
      <c r="R3" s="36">
        <f t="shared" si="0"/>
        <v>377</v>
      </c>
      <c r="S3" s="36">
        <f t="shared" si="0"/>
        <v>378</v>
      </c>
      <c r="T3" s="36">
        <f t="shared" si="0"/>
        <v>379</v>
      </c>
      <c r="U3" s="36">
        <f t="shared" ref="U3" si="1">U5+40</f>
        <v>380</v>
      </c>
    </row>
    <row r="4" spans="1:21" ht="21">
      <c r="A4">
        <v>18</v>
      </c>
      <c r="B4" s="36">
        <f t="shared" ref="B4:T5" si="2">B6+40</f>
        <v>360</v>
      </c>
      <c r="C4" s="36">
        <f t="shared" si="2"/>
        <v>359</v>
      </c>
      <c r="D4" s="36">
        <f t="shared" si="2"/>
        <v>358</v>
      </c>
      <c r="E4" s="36">
        <f t="shared" si="2"/>
        <v>357</v>
      </c>
      <c r="F4" s="36">
        <f t="shared" si="2"/>
        <v>356</v>
      </c>
      <c r="G4" s="36">
        <f t="shared" si="2"/>
        <v>355</v>
      </c>
      <c r="H4" s="36">
        <f t="shared" si="2"/>
        <v>354</v>
      </c>
      <c r="I4" s="36">
        <f t="shared" si="2"/>
        <v>353</v>
      </c>
      <c r="J4" s="36">
        <f t="shared" si="2"/>
        <v>352</v>
      </c>
      <c r="K4" s="36">
        <f t="shared" si="2"/>
        <v>351</v>
      </c>
      <c r="L4" s="36">
        <f t="shared" si="2"/>
        <v>350</v>
      </c>
      <c r="M4" s="36">
        <f t="shared" si="2"/>
        <v>349</v>
      </c>
      <c r="N4" s="36">
        <f t="shared" si="2"/>
        <v>348</v>
      </c>
      <c r="O4" s="36">
        <f t="shared" si="2"/>
        <v>347</v>
      </c>
      <c r="P4" s="36">
        <f t="shared" si="2"/>
        <v>346</v>
      </c>
      <c r="Q4" s="36">
        <f t="shared" si="2"/>
        <v>345</v>
      </c>
      <c r="R4" s="36">
        <f t="shared" si="2"/>
        <v>344</v>
      </c>
      <c r="S4" s="36">
        <f t="shared" si="2"/>
        <v>343</v>
      </c>
      <c r="T4" s="36">
        <f t="shared" si="2"/>
        <v>342</v>
      </c>
      <c r="U4" s="36">
        <f>U6+40</f>
        <v>341</v>
      </c>
    </row>
    <row r="5" spans="1:21" ht="21">
      <c r="A5">
        <v>17</v>
      </c>
      <c r="B5" s="36">
        <f>B7+40</f>
        <v>321</v>
      </c>
      <c r="C5" s="36">
        <f t="shared" si="2"/>
        <v>322</v>
      </c>
      <c r="D5" s="36">
        <f t="shared" si="2"/>
        <v>323</v>
      </c>
      <c r="E5" s="36">
        <f t="shared" si="2"/>
        <v>324</v>
      </c>
      <c r="F5" s="36">
        <f t="shared" si="2"/>
        <v>325</v>
      </c>
      <c r="G5" s="36">
        <f t="shared" si="2"/>
        <v>326</v>
      </c>
      <c r="H5" s="36">
        <f t="shared" si="2"/>
        <v>327</v>
      </c>
      <c r="I5" s="36">
        <f t="shared" si="2"/>
        <v>328</v>
      </c>
      <c r="J5" s="36">
        <f t="shared" si="2"/>
        <v>329</v>
      </c>
      <c r="K5" s="36">
        <f t="shared" si="2"/>
        <v>330</v>
      </c>
      <c r="L5" s="36">
        <f t="shared" si="2"/>
        <v>331</v>
      </c>
      <c r="M5" s="36">
        <f t="shared" si="2"/>
        <v>332</v>
      </c>
      <c r="N5" s="36">
        <f t="shared" si="2"/>
        <v>333</v>
      </c>
      <c r="O5" s="36">
        <f t="shared" si="2"/>
        <v>334</v>
      </c>
      <c r="P5" s="36">
        <f t="shared" si="2"/>
        <v>335</v>
      </c>
      <c r="Q5" s="36">
        <f t="shared" si="2"/>
        <v>336</v>
      </c>
      <c r="R5" s="36">
        <f t="shared" si="2"/>
        <v>337</v>
      </c>
      <c r="S5" s="36">
        <f t="shared" si="2"/>
        <v>338</v>
      </c>
      <c r="T5" s="36">
        <f t="shared" si="2"/>
        <v>339</v>
      </c>
      <c r="U5" s="36">
        <f t="shared" ref="U5" si="3">U7+40</f>
        <v>340</v>
      </c>
    </row>
    <row r="6" spans="1:21" ht="21">
      <c r="A6">
        <v>16</v>
      </c>
      <c r="B6" s="36">
        <f t="shared" ref="B6:T7" si="4">B8+40</f>
        <v>320</v>
      </c>
      <c r="C6" s="36">
        <f t="shared" si="4"/>
        <v>319</v>
      </c>
      <c r="D6" s="36">
        <f t="shared" si="4"/>
        <v>318</v>
      </c>
      <c r="E6" s="36">
        <f t="shared" si="4"/>
        <v>317</v>
      </c>
      <c r="F6" s="36">
        <f t="shared" si="4"/>
        <v>316</v>
      </c>
      <c r="G6" s="36">
        <f t="shared" si="4"/>
        <v>315</v>
      </c>
      <c r="H6" s="36">
        <f t="shared" si="4"/>
        <v>314</v>
      </c>
      <c r="I6" s="36">
        <f t="shared" si="4"/>
        <v>313</v>
      </c>
      <c r="J6" s="36">
        <f t="shared" si="4"/>
        <v>312</v>
      </c>
      <c r="K6" s="36">
        <f t="shared" si="4"/>
        <v>311</v>
      </c>
      <c r="L6" s="36">
        <f t="shared" si="4"/>
        <v>310</v>
      </c>
      <c r="M6" s="36">
        <f t="shared" si="4"/>
        <v>309</v>
      </c>
      <c r="N6" s="36">
        <f t="shared" si="4"/>
        <v>308</v>
      </c>
      <c r="O6" s="36">
        <f t="shared" si="4"/>
        <v>307</v>
      </c>
      <c r="P6" s="36">
        <f t="shared" si="4"/>
        <v>306</v>
      </c>
      <c r="Q6" s="36">
        <f t="shared" si="4"/>
        <v>305</v>
      </c>
      <c r="R6" s="36">
        <f t="shared" si="4"/>
        <v>304</v>
      </c>
      <c r="S6" s="36">
        <f t="shared" si="4"/>
        <v>303</v>
      </c>
      <c r="T6" s="36">
        <f t="shared" si="4"/>
        <v>302</v>
      </c>
      <c r="U6" s="36">
        <f>U8+40</f>
        <v>301</v>
      </c>
    </row>
    <row r="7" spans="1:21" ht="21">
      <c r="A7">
        <v>15</v>
      </c>
      <c r="B7" s="36">
        <f>B9+40</f>
        <v>281</v>
      </c>
      <c r="C7" s="36">
        <f t="shared" si="4"/>
        <v>282</v>
      </c>
      <c r="D7" s="36">
        <f t="shared" si="4"/>
        <v>283</v>
      </c>
      <c r="E7" s="36">
        <f t="shared" si="4"/>
        <v>284</v>
      </c>
      <c r="F7" s="36">
        <f t="shared" si="4"/>
        <v>285</v>
      </c>
      <c r="G7" s="36">
        <f t="shared" si="4"/>
        <v>286</v>
      </c>
      <c r="H7" s="36">
        <f t="shared" si="4"/>
        <v>287</v>
      </c>
      <c r="I7" s="36">
        <f t="shared" si="4"/>
        <v>288</v>
      </c>
      <c r="J7" s="36">
        <f t="shared" si="4"/>
        <v>289</v>
      </c>
      <c r="K7" s="36">
        <f t="shared" si="4"/>
        <v>290</v>
      </c>
      <c r="L7" s="36">
        <f t="shared" si="4"/>
        <v>291</v>
      </c>
      <c r="M7" s="36">
        <f t="shared" si="4"/>
        <v>292</v>
      </c>
      <c r="N7" s="36">
        <f t="shared" si="4"/>
        <v>293</v>
      </c>
      <c r="O7" s="36">
        <f t="shared" si="4"/>
        <v>294</v>
      </c>
      <c r="P7" s="36">
        <f t="shared" si="4"/>
        <v>295</v>
      </c>
      <c r="Q7" s="36">
        <f t="shared" si="4"/>
        <v>296</v>
      </c>
      <c r="R7" s="36">
        <f t="shared" si="4"/>
        <v>297</v>
      </c>
      <c r="S7" s="36">
        <f t="shared" si="4"/>
        <v>298</v>
      </c>
      <c r="T7" s="36">
        <f t="shared" si="4"/>
        <v>299</v>
      </c>
      <c r="U7" s="36">
        <f t="shared" ref="U7" si="5">U9+40</f>
        <v>300</v>
      </c>
    </row>
    <row r="8" spans="1:21" ht="21">
      <c r="A8">
        <v>14</v>
      </c>
      <c r="B8" s="36">
        <f t="shared" ref="B8:T9" si="6">B10+40</f>
        <v>280</v>
      </c>
      <c r="C8" s="36">
        <f t="shared" si="6"/>
        <v>279</v>
      </c>
      <c r="D8" s="36">
        <f t="shared" si="6"/>
        <v>278</v>
      </c>
      <c r="E8" s="36">
        <f t="shared" si="6"/>
        <v>277</v>
      </c>
      <c r="F8" s="36">
        <f t="shared" si="6"/>
        <v>276</v>
      </c>
      <c r="G8" s="36">
        <f t="shared" si="6"/>
        <v>275</v>
      </c>
      <c r="H8" s="36">
        <f t="shared" si="6"/>
        <v>274</v>
      </c>
      <c r="I8" s="36">
        <f t="shared" si="6"/>
        <v>273</v>
      </c>
      <c r="J8" s="36">
        <f t="shared" si="6"/>
        <v>272</v>
      </c>
      <c r="K8" s="36">
        <f t="shared" si="6"/>
        <v>271</v>
      </c>
      <c r="L8" s="36">
        <f t="shared" si="6"/>
        <v>270</v>
      </c>
      <c r="M8" s="36">
        <f t="shared" si="6"/>
        <v>269</v>
      </c>
      <c r="N8" s="36">
        <f t="shared" si="6"/>
        <v>268</v>
      </c>
      <c r="O8" s="36">
        <f t="shared" si="6"/>
        <v>267</v>
      </c>
      <c r="P8" s="36">
        <f t="shared" si="6"/>
        <v>266</v>
      </c>
      <c r="Q8" s="36">
        <f t="shared" si="6"/>
        <v>265</v>
      </c>
      <c r="R8" s="36">
        <f t="shared" si="6"/>
        <v>264</v>
      </c>
      <c r="S8" s="36">
        <f t="shared" si="6"/>
        <v>263</v>
      </c>
      <c r="T8" s="36">
        <f t="shared" si="6"/>
        <v>262</v>
      </c>
      <c r="U8" s="36">
        <f>U10+40</f>
        <v>261</v>
      </c>
    </row>
    <row r="9" spans="1:21" ht="21">
      <c r="A9">
        <v>13</v>
      </c>
      <c r="B9" s="36">
        <f>B11+40</f>
        <v>241</v>
      </c>
      <c r="C9" s="36">
        <f t="shared" si="6"/>
        <v>242</v>
      </c>
      <c r="D9" s="36">
        <f t="shared" si="6"/>
        <v>243</v>
      </c>
      <c r="E9" s="36">
        <f t="shared" si="6"/>
        <v>244</v>
      </c>
      <c r="F9" s="36">
        <f t="shared" si="6"/>
        <v>245</v>
      </c>
      <c r="G9" s="36">
        <f t="shared" si="6"/>
        <v>246</v>
      </c>
      <c r="H9" s="36">
        <f t="shared" si="6"/>
        <v>247</v>
      </c>
      <c r="I9" s="36">
        <f t="shared" si="6"/>
        <v>248</v>
      </c>
      <c r="J9" s="36">
        <f t="shared" si="6"/>
        <v>249</v>
      </c>
      <c r="K9" s="36">
        <f t="shared" si="6"/>
        <v>250</v>
      </c>
      <c r="L9" s="36">
        <f t="shared" si="6"/>
        <v>251</v>
      </c>
      <c r="M9" s="36">
        <f t="shared" si="6"/>
        <v>252</v>
      </c>
      <c r="N9" s="36">
        <f t="shared" si="6"/>
        <v>253</v>
      </c>
      <c r="O9" s="36">
        <f t="shared" si="6"/>
        <v>254</v>
      </c>
      <c r="P9" s="36">
        <f t="shared" si="6"/>
        <v>255</v>
      </c>
      <c r="Q9" s="36">
        <f t="shared" si="6"/>
        <v>256</v>
      </c>
      <c r="R9" s="36">
        <f t="shared" si="6"/>
        <v>257</v>
      </c>
      <c r="S9" s="36">
        <f t="shared" si="6"/>
        <v>258</v>
      </c>
      <c r="T9" s="36">
        <f t="shared" si="6"/>
        <v>259</v>
      </c>
      <c r="U9" s="36">
        <f t="shared" ref="U9" si="7">U11+40</f>
        <v>260</v>
      </c>
    </row>
    <row r="10" spans="1:21" ht="21">
      <c r="A10">
        <v>12</v>
      </c>
      <c r="B10" s="36">
        <f t="shared" ref="B10:T11" si="8">B12+40</f>
        <v>240</v>
      </c>
      <c r="C10" s="36">
        <f t="shared" si="8"/>
        <v>239</v>
      </c>
      <c r="D10" s="36">
        <f t="shared" si="8"/>
        <v>238</v>
      </c>
      <c r="E10" s="36">
        <f t="shared" si="8"/>
        <v>237</v>
      </c>
      <c r="F10" s="36">
        <f t="shared" si="8"/>
        <v>236</v>
      </c>
      <c r="G10" s="36">
        <f t="shared" si="8"/>
        <v>235</v>
      </c>
      <c r="H10" s="36">
        <f t="shared" si="8"/>
        <v>234</v>
      </c>
      <c r="I10" s="36">
        <f t="shared" si="8"/>
        <v>233</v>
      </c>
      <c r="J10" s="36">
        <f t="shared" si="8"/>
        <v>232</v>
      </c>
      <c r="K10" s="36">
        <f t="shared" si="8"/>
        <v>231</v>
      </c>
      <c r="L10" s="36">
        <f t="shared" si="8"/>
        <v>230</v>
      </c>
      <c r="M10" s="36">
        <f t="shared" si="8"/>
        <v>229</v>
      </c>
      <c r="N10" s="36">
        <f t="shared" si="8"/>
        <v>228</v>
      </c>
      <c r="O10" s="36">
        <f t="shared" si="8"/>
        <v>227</v>
      </c>
      <c r="P10" s="36">
        <f t="shared" si="8"/>
        <v>226</v>
      </c>
      <c r="Q10" s="36">
        <f t="shared" si="8"/>
        <v>225</v>
      </c>
      <c r="R10" s="36">
        <f t="shared" si="8"/>
        <v>224</v>
      </c>
      <c r="S10" s="36">
        <f t="shared" si="8"/>
        <v>223</v>
      </c>
      <c r="T10" s="36">
        <f t="shared" si="8"/>
        <v>222</v>
      </c>
      <c r="U10" s="36">
        <f>U12+40</f>
        <v>221</v>
      </c>
    </row>
    <row r="11" spans="1:21" ht="21">
      <c r="A11">
        <v>11</v>
      </c>
      <c r="B11" s="36">
        <f>B13+40</f>
        <v>201</v>
      </c>
      <c r="C11" s="36">
        <f t="shared" si="8"/>
        <v>202</v>
      </c>
      <c r="D11" s="36">
        <f t="shared" si="8"/>
        <v>203</v>
      </c>
      <c r="E11" s="36">
        <f t="shared" si="8"/>
        <v>204</v>
      </c>
      <c r="F11" s="36">
        <f t="shared" si="8"/>
        <v>205</v>
      </c>
      <c r="G11" s="36">
        <f t="shared" si="8"/>
        <v>206</v>
      </c>
      <c r="H11" s="36">
        <f t="shared" si="8"/>
        <v>207</v>
      </c>
      <c r="I11" s="36">
        <f t="shared" si="8"/>
        <v>208</v>
      </c>
      <c r="J11" s="36">
        <f t="shared" si="8"/>
        <v>209</v>
      </c>
      <c r="K11" s="36">
        <f t="shared" si="8"/>
        <v>210</v>
      </c>
      <c r="L11" s="36">
        <f t="shared" si="8"/>
        <v>211</v>
      </c>
      <c r="M11" s="36">
        <f t="shared" si="8"/>
        <v>212</v>
      </c>
      <c r="N11" s="36">
        <f t="shared" si="8"/>
        <v>213</v>
      </c>
      <c r="O11" s="36">
        <f t="shared" si="8"/>
        <v>214</v>
      </c>
      <c r="P11" s="36">
        <f t="shared" si="8"/>
        <v>215</v>
      </c>
      <c r="Q11" s="36">
        <f t="shared" si="8"/>
        <v>216</v>
      </c>
      <c r="R11" s="36">
        <f t="shared" si="8"/>
        <v>217</v>
      </c>
      <c r="S11" s="36">
        <f t="shared" si="8"/>
        <v>218</v>
      </c>
      <c r="T11" s="36">
        <f t="shared" si="8"/>
        <v>219</v>
      </c>
      <c r="U11" s="36">
        <f t="shared" ref="U11" si="9">U13+40</f>
        <v>220</v>
      </c>
    </row>
    <row r="12" spans="1:21" ht="21">
      <c r="A12">
        <v>10</v>
      </c>
      <c r="B12" s="36">
        <f t="shared" ref="B12:T13" si="10">B14+40</f>
        <v>200</v>
      </c>
      <c r="C12" s="36">
        <f t="shared" si="10"/>
        <v>199</v>
      </c>
      <c r="D12" s="36">
        <f t="shared" si="10"/>
        <v>198</v>
      </c>
      <c r="E12" s="36">
        <f t="shared" si="10"/>
        <v>197</v>
      </c>
      <c r="F12" s="36">
        <f t="shared" si="10"/>
        <v>196</v>
      </c>
      <c r="G12" s="36">
        <f t="shared" si="10"/>
        <v>195</v>
      </c>
      <c r="H12" s="36">
        <f t="shared" si="10"/>
        <v>194</v>
      </c>
      <c r="I12" s="36">
        <f t="shared" si="10"/>
        <v>193</v>
      </c>
      <c r="J12" s="36">
        <f t="shared" si="10"/>
        <v>192</v>
      </c>
      <c r="K12" s="36">
        <f t="shared" si="10"/>
        <v>191</v>
      </c>
      <c r="L12" s="36">
        <f t="shared" si="10"/>
        <v>190</v>
      </c>
      <c r="M12" s="36">
        <f t="shared" si="10"/>
        <v>189</v>
      </c>
      <c r="N12" s="36">
        <f t="shared" si="10"/>
        <v>188</v>
      </c>
      <c r="O12" s="36">
        <f t="shared" si="10"/>
        <v>187</v>
      </c>
      <c r="P12" s="36">
        <f t="shared" si="10"/>
        <v>186</v>
      </c>
      <c r="Q12" s="36">
        <f t="shared" si="10"/>
        <v>185</v>
      </c>
      <c r="R12" s="36">
        <f t="shared" si="10"/>
        <v>184</v>
      </c>
      <c r="S12" s="36">
        <f t="shared" si="10"/>
        <v>183</v>
      </c>
      <c r="T12" s="36">
        <f t="shared" si="10"/>
        <v>182</v>
      </c>
      <c r="U12" s="36">
        <f>U14+40</f>
        <v>181</v>
      </c>
    </row>
    <row r="13" spans="1:21" ht="21">
      <c r="A13">
        <v>9</v>
      </c>
      <c r="B13" s="36">
        <f>B15+40</f>
        <v>161</v>
      </c>
      <c r="C13" s="36">
        <f t="shared" si="10"/>
        <v>162</v>
      </c>
      <c r="D13" s="36">
        <f t="shared" si="10"/>
        <v>163</v>
      </c>
      <c r="E13" s="36">
        <f t="shared" si="10"/>
        <v>164</v>
      </c>
      <c r="F13" s="36">
        <f t="shared" si="10"/>
        <v>165</v>
      </c>
      <c r="G13" s="36">
        <f t="shared" si="10"/>
        <v>166</v>
      </c>
      <c r="H13" s="36">
        <f t="shared" si="10"/>
        <v>167</v>
      </c>
      <c r="I13" s="36">
        <f t="shared" si="10"/>
        <v>168</v>
      </c>
      <c r="J13" s="36">
        <f t="shared" si="10"/>
        <v>169</v>
      </c>
      <c r="K13" s="36">
        <f t="shared" si="10"/>
        <v>170</v>
      </c>
      <c r="L13" s="36">
        <f t="shared" si="10"/>
        <v>171</v>
      </c>
      <c r="M13" s="36">
        <f t="shared" si="10"/>
        <v>172</v>
      </c>
      <c r="N13" s="36">
        <f t="shared" si="10"/>
        <v>173</v>
      </c>
      <c r="O13" s="36">
        <f t="shared" si="10"/>
        <v>174</v>
      </c>
      <c r="P13" s="36">
        <f t="shared" si="10"/>
        <v>175</v>
      </c>
      <c r="Q13" s="36">
        <f t="shared" si="10"/>
        <v>176</v>
      </c>
      <c r="R13" s="36">
        <f t="shared" si="10"/>
        <v>177</v>
      </c>
      <c r="S13" s="36">
        <f t="shared" si="10"/>
        <v>178</v>
      </c>
      <c r="T13" s="36">
        <f t="shared" si="10"/>
        <v>179</v>
      </c>
      <c r="U13" s="36">
        <f t="shared" ref="U13" si="11">U15+40</f>
        <v>180</v>
      </c>
    </row>
    <row r="14" spans="1:21" ht="21">
      <c r="A14">
        <v>8</v>
      </c>
      <c r="B14" s="36">
        <f t="shared" ref="B14:T15" si="12">B16+40</f>
        <v>160</v>
      </c>
      <c r="C14" s="36">
        <f t="shared" si="12"/>
        <v>159</v>
      </c>
      <c r="D14" s="36">
        <f t="shared" si="12"/>
        <v>158</v>
      </c>
      <c r="E14" s="36">
        <f t="shared" si="12"/>
        <v>157</v>
      </c>
      <c r="F14" s="36">
        <f t="shared" si="12"/>
        <v>156</v>
      </c>
      <c r="G14" s="36">
        <f t="shared" si="12"/>
        <v>155</v>
      </c>
      <c r="H14" s="36">
        <f t="shared" si="12"/>
        <v>154</v>
      </c>
      <c r="I14" s="36">
        <f t="shared" si="12"/>
        <v>153</v>
      </c>
      <c r="J14" s="36">
        <f t="shared" si="12"/>
        <v>152</v>
      </c>
      <c r="K14" s="36">
        <f t="shared" si="12"/>
        <v>151</v>
      </c>
      <c r="L14" s="36">
        <f t="shared" si="12"/>
        <v>150</v>
      </c>
      <c r="M14" s="36">
        <f t="shared" si="12"/>
        <v>149</v>
      </c>
      <c r="N14" s="36">
        <f t="shared" si="12"/>
        <v>148</v>
      </c>
      <c r="O14" s="36">
        <f t="shared" si="12"/>
        <v>147</v>
      </c>
      <c r="P14" s="36">
        <f t="shared" si="12"/>
        <v>146</v>
      </c>
      <c r="Q14" s="36">
        <f t="shared" si="12"/>
        <v>145</v>
      </c>
      <c r="R14" s="36">
        <f t="shared" si="12"/>
        <v>144</v>
      </c>
      <c r="S14" s="36">
        <f t="shared" si="12"/>
        <v>143</v>
      </c>
      <c r="T14" s="36">
        <f t="shared" si="12"/>
        <v>142</v>
      </c>
      <c r="U14" s="36">
        <f>U16+40</f>
        <v>141</v>
      </c>
    </row>
    <row r="15" spans="1:21" ht="21">
      <c r="A15">
        <v>7</v>
      </c>
      <c r="B15" s="36">
        <f>B17+40</f>
        <v>121</v>
      </c>
      <c r="C15" s="36">
        <f t="shared" si="12"/>
        <v>122</v>
      </c>
      <c r="D15" s="36">
        <f t="shared" si="12"/>
        <v>123</v>
      </c>
      <c r="E15" s="36">
        <f t="shared" si="12"/>
        <v>124</v>
      </c>
      <c r="F15" s="36">
        <f t="shared" si="12"/>
        <v>125</v>
      </c>
      <c r="G15" s="36">
        <f t="shared" si="12"/>
        <v>126</v>
      </c>
      <c r="H15" s="36">
        <f t="shared" si="12"/>
        <v>127</v>
      </c>
      <c r="I15" s="36">
        <f t="shared" si="12"/>
        <v>128</v>
      </c>
      <c r="J15" s="36">
        <f t="shared" si="12"/>
        <v>129</v>
      </c>
      <c r="K15" s="36">
        <f t="shared" si="12"/>
        <v>130</v>
      </c>
      <c r="L15" s="36">
        <f t="shared" si="12"/>
        <v>131</v>
      </c>
      <c r="M15" s="36">
        <f t="shared" si="12"/>
        <v>132</v>
      </c>
      <c r="N15" s="36">
        <f t="shared" si="12"/>
        <v>133</v>
      </c>
      <c r="O15" s="36">
        <f t="shared" si="12"/>
        <v>134</v>
      </c>
      <c r="P15" s="36">
        <f t="shared" si="12"/>
        <v>135</v>
      </c>
      <c r="Q15" s="36">
        <f t="shared" si="12"/>
        <v>136</v>
      </c>
      <c r="R15" s="36">
        <f t="shared" si="12"/>
        <v>137</v>
      </c>
      <c r="S15" s="36">
        <f t="shared" si="12"/>
        <v>138</v>
      </c>
      <c r="T15" s="36">
        <f t="shared" si="12"/>
        <v>139</v>
      </c>
      <c r="U15" s="36">
        <f t="shared" ref="U15" si="13">U17+40</f>
        <v>140</v>
      </c>
    </row>
    <row r="16" spans="1:21" ht="21">
      <c r="A16">
        <v>6</v>
      </c>
      <c r="B16" s="36">
        <f t="shared" ref="B16:T17" si="14">B18+40</f>
        <v>120</v>
      </c>
      <c r="C16" s="36">
        <f t="shared" si="14"/>
        <v>119</v>
      </c>
      <c r="D16" s="36">
        <f t="shared" si="14"/>
        <v>118</v>
      </c>
      <c r="E16" s="36">
        <f t="shared" si="14"/>
        <v>117</v>
      </c>
      <c r="F16" s="36">
        <f t="shared" si="14"/>
        <v>116</v>
      </c>
      <c r="G16" s="36">
        <f t="shared" si="14"/>
        <v>115</v>
      </c>
      <c r="H16" s="36">
        <f t="shared" si="14"/>
        <v>114</v>
      </c>
      <c r="I16" s="36">
        <f t="shared" si="14"/>
        <v>113</v>
      </c>
      <c r="J16" s="36">
        <f t="shared" si="14"/>
        <v>112</v>
      </c>
      <c r="K16" s="36">
        <f t="shared" si="14"/>
        <v>111</v>
      </c>
      <c r="L16" s="36">
        <f t="shared" si="14"/>
        <v>110</v>
      </c>
      <c r="M16" s="36">
        <f t="shared" si="14"/>
        <v>109</v>
      </c>
      <c r="N16" s="36">
        <f t="shared" si="14"/>
        <v>108</v>
      </c>
      <c r="O16" s="36">
        <f t="shared" si="14"/>
        <v>107</v>
      </c>
      <c r="P16" s="36">
        <f t="shared" si="14"/>
        <v>106</v>
      </c>
      <c r="Q16" s="36">
        <f t="shared" si="14"/>
        <v>105</v>
      </c>
      <c r="R16" s="36">
        <f t="shared" si="14"/>
        <v>104</v>
      </c>
      <c r="S16" s="36">
        <f t="shared" si="14"/>
        <v>103</v>
      </c>
      <c r="T16" s="36">
        <f t="shared" si="14"/>
        <v>102</v>
      </c>
      <c r="U16" s="36">
        <f>U18+40</f>
        <v>101</v>
      </c>
    </row>
    <row r="17" spans="1:21" ht="21">
      <c r="A17">
        <v>5</v>
      </c>
      <c r="B17" s="36">
        <f>B19+40</f>
        <v>81</v>
      </c>
      <c r="C17" s="36">
        <f t="shared" si="14"/>
        <v>82</v>
      </c>
      <c r="D17" s="36">
        <f t="shared" si="14"/>
        <v>83</v>
      </c>
      <c r="E17" s="36">
        <f t="shared" si="14"/>
        <v>84</v>
      </c>
      <c r="F17" s="36">
        <f t="shared" si="14"/>
        <v>85</v>
      </c>
      <c r="G17" s="36">
        <f t="shared" si="14"/>
        <v>86</v>
      </c>
      <c r="H17" s="36">
        <f t="shared" si="14"/>
        <v>87</v>
      </c>
      <c r="I17" s="36">
        <f t="shared" si="14"/>
        <v>88</v>
      </c>
      <c r="J17" s="36">
        <f t="shared" si="14"/>
        <v>89</v>
      </c>
      <c r="K17" s="36">
        <f t="shared" si="14"/>
        <v>90</v>
      </c>
      <c r="L17" s="36">
        <f t="shared" si="14"/>
        <v>91</v>
      </c>
      <c r="M17" s="36">
        <f t="shared" si="14"/>
        <v>92</v>
      </c>
      <c r="N17" s="36">
        <f t="shared" si="14"/>
        <v>93</v>
      </c>
      <c r="O17" s="36">
        <f t="shared" si="14"/>
        <v>94</v>
      </c>
      <c r="P17" s="36">
        <f t="shared" si="14"/>
        <v>95</v>
      </c>
      <c r="Q17" s="36">
        <f t="shared" si="14"/>
        <v>96</v>
      </c>
      <c r="R17" s="36">
        <f t="shared" si="14"/>
        <v>97</v>
      </c>
      <c r="S17" s="36">
        <f t="shared" si="14"/>
        <v>98</v>
      </c>
      <c r="T17" s="36">
        <f t="shared" si="14"/>
        <v>99</v>
      </c>
      <c r="U17" s="36">
        <f t="shared" ref="U17" si="15">U19+40</f>
        <v>100</v>
      </c>
    </row>
    <row r="18" spans="1:21" ht="21">
      <c r="A18">
        <v>4</v>
      </c>
      <c r="B18" s="36">
        <f t="shared" ref="B18:T19" si="16">B20+40</f>
        <v>80</v>
      </c>
      <c r="C18" s="36">
        <f t="shared" si="16"/>
        <v>79</v>
      </c>
      <c r="D18" s="36">
        <f t="shared" si="16"/>
        <v>78</v>
      </c>
      <c r="E18" s="36">
        <f t="shared" si="16"/>
        <v>77</v>
      </c>
      <c r="F18" s="36">
        <f t="shared" si="16"/>
        <v>76</v>
      </c>
      <c r="G18" s="36">
        <f t="shared" si="16"/>
        <v>75</v>
      </c>
      <c r="H18" s="36">
        <f t="shared" si="16"/>
        <v>74</v>
      </c>
      <c r="I18" s="36">
        <f t="shared" si="16"/>
        <v>73</v>
      </c>
      <c r="J18" s="36">
        <f t="shared" si="16"/>
        <v>72</v>
      </c>
      <c r="K18" s="36">
        <f t="shared" si="16"/>
        <v>71</v>
      </c>
      <c r="L18" s="36">
        <f t="shared" si="16"/>
        <v>70</v>
      </c>
      <c r="M18" s="36">
        <f t="shared" si="16"/>
        <v>69</v>
      </c>
      <c r="N18" s="36">
        <f t="shared" si="16"/>
        <v>68</v>
      </c>
      <c r="O18" s="36">
        <f t="shared" si="16"/>
        <v>67</v>
      </c>
      <c r="P18" s="36">
        <f t="shared" si="16"/>
        <v>66</v>
      </c>
      <c r="Q18" s="36">
        <f t="shared" si="16"/>
        <v>65</v>
      </c>
      <c r="R18" s="36">
        <f t="shared" si="16"/>
        <v>64</v>
      </c>
      <c r="S18" s="36">
        <f t="shared" si="16"/>
        <v>63</v>
      </c>
      <c r="T18" s="36">
        <f t="shared" si="16"/>
        <v>62</v>
      </c>
      <c r="U18" s="36">
        <f>U20+40</f>
        <v>61</v>
      </c>
    </row>
    <row r="19" spans="1:21" ht="21">
      <c r="A19">
        <v>3</v>
      </c>
      <c r="B19" s="36">
        <f>B21+40</f>
        <v>41</v>
      </c>
      <c r="C19" s="36">
        <f t="shared" si="16"/>
        <v>42</v>
      </c>
      <c r="D19" s="36">
        <f t="shared" si="16"/>
        <v>43</v>
      </c>
      <c r="E19" s="36">
        <f t="shared" si="16"/>
        <v>44</v>
      </c>
      <c r="F19" s="36">
        <f t="shared" si="16"/>
        <v>45</v>
      </c>
      <c r="G19" s="36">
        <f t="shared" si="16"/>
        <v>46</v>
      </c>
      <c r="H19" s="36">
        <f t="shared" si="16"/>
        <v>47</v>
      </c>
      <c r="I19" s="36">
        <f t="shared" si="16"/>
        <v>48</v>
      </c>
      <c r="J19" s="36">
        <f t="shared" si="16"/>
        <v>49</v>
      </c>
      <c r="K19" s="36">
        <f t="shared" si="16"/>
        <v>50</v>
      </c>
      <c r="L19" s="36">
        <f t="shared" si="16"/>
        <v>51</v>
      </c>
      <c r="M19" s="36">
        <f t="shared" si="16"/>
        <v>52</v>
      </c>
      <c r="N19" s="36">
        <f t="shared" si="16"/>
        <v>53</v>
      </c>
      <c r="O19" s="36">
        <f t="shared" si="16"/>
        <v>54</v>
      </c>
      <c r="P19" s="36">
        <f t="shared" si="16"/>
        <v>55</v>
      </c>
      <c r="Q19" s="36">
        <f t="shared" si="16"/>
        <v>56</v>
      </c>
      <c r="R19" s="36">
        <f t="shared" si="16"/>
        <v>57</v>
      </c>
      <c r="S19" s="36">
        <f t="shared" si="16"/>
        <v>58</v>
      </c>
      <c r="T19" s="36">
        <f t="shared" si="16"/>
        <v>59</v>
      </c>
      <c r="U19" s="36">
        <f t="shared" ref="U19" si="17">U21+40</f>
        <v>60</v>
      </c>
    </row>
    <row r="20" spans="1:21" ht="21">
      <c r="A20">
        <v>2</v>
      </c>
      <c r="B20" s="36">
        <v>40</v>
      </c>
      <c r="C20" s="36">
        <v>39</v>
      </c>
      <c r="D20" s="36">
        <v>38</v>
      </c>
      <c r="E20" s="36">
        <v>37</v>
      </c>
      <c r="F20" s="36">
        <v>36</v>
      </c>
      <c r="G20" s="36">
        <v>35</v>
      </c>
      <c r="H20" s="36">
        <v>34</v>
      </c>
      <c r="I20" s="36">
        <v>33</v>
      </c>
      <c r="J20" s="36">
        <v>32</v>
      </c>
      <c r="K20" s="36">
        <v>31</v>
      </c>
      <c r="L20" s="36">
        <v>30</v>
      </c>
      <c r="M20" s="36">
        <v>29</v>
      </c>
      <c r="N20" s="36">
        <v>28</v>
      </c>
      <c r="O20" s="36">
        <v>27</v>
      </c>
      <c r="P20" s="36">
        <v>26</v>
      </c>
      <c r="Q20" s="36">
        <v>25</v>
      </c>
      <c r="R20" s="36">
        <v>24</v>
      </c>
      <c r="S20" s="36">
        <v>23</v>
      </c>
      <c r="T20" s="36">
        <v>22</v>
      </c>
      <c r="U20" s="36">
        <v>21</v>
      </c>
    </row>
    <row r="21" spans="1:21" ht="21">
      <c r="A21">
        <v>1</v>
      </c>
      <c r="B21" s="36">
        <v>1</v>
      </c>
      <c r="C21" s="36">
        <v>2</v>
      </c>
      <c r="D21" s="36">
        <v>3</v>
      </c>
      <c r="E21" s="36">
        <v>4</v>
      </c>
      <c r="F21" s="36">
        <v>5</v>
      </c>
      <c r="G21" s="36">
        <v>6</v>
      </c>
      <c r="H21" s="36">
        <v>7</v>
      </c>
      <c r="I21" s="36">
        <v>8</v>
      </c>
      <c r="J21" s="36">
        <v>9</v>
      </c>
      <c r="K21" s="36">
        <v>10</v>
      </c>
      <c r="L21" s="36">
        <v>11</v>
      </c>
      <c r="M21" s="36">
        <v>12</v>
      </c>
      <c r="N21" s="36">
        <v>13</v>
      </c>
      <c r="O21" s="36">
        <v>14</v>
      </c>
      <c r="P21" s="36">
        <v>15</v>
      </c>
      <c r="Q21" s="36">
        <v>16</v>
      </c>
      <c r="R21" s="36">
        <v>17</v>
      </c>
      <c r="S21" s="36">
        <v>18</v>
      </c>
      <c r="T21" s="36">
        <v>19</v>
      </c>
      <c r="U21" s="36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20229-342C-49AB-9E62-1EAB17655EC9}">
  <sheetPr>
    <pageSetUpPr fitToPage="1"/>
  </sheetPr>
  <dimension ref="A1:D41"/>
  <sheetViews>
    <sheetView workbookViewId="0">
      <selection activeCell="F10" sqref="F10"/>
    </sheetView>
  </sheetViews>
  <sheetFormatPr defaultRowHeight="15"/>
  <cols>
    <col min="1" max="1" width="10.85546875" bestFit="1" customWidth="1"/>
    <col min="2" max="2" width="16" bestFit="1" customWidth="1"/>
    <col min="3" max="3" width="69.28515625" customWidth="1"/>
    <col min="4" max="4" width="10.85546875" bestFit="1" customWidth="1"/>
  </cols>
  <sheetData>
    <row r="1" spans="1:4">
      <c r="A1" s="25" t="s">
        <v>436</v>
      </c>
      <c r="B1" s="25" t="s">
        <v>125</v>
      </c>
      <c r="C1" s="25" t="s">
        <v>437</v>
      </c>
      <c r="D1" s="25" t="s">
        <v>439</v>
      </c>
    </row>
    <row r="2" spans="1:4">
      <c r="A2" s="25" t="s">
        <v>420</v>
      </c>
      <c r="B2" s="25" t="s">
        <v>0</v>
      </c>
      <c r="C2" s="25" t="s">
        <v>330</v>
      </c>
      <c r="D2" s="25" t="s">
        <v>438</v>
      </c>
    </row>
    <row r="3" spans="1:4">
      <c r="A3" s="25" t="s">
        <v>418</v>
      </c>
      <c r="B3" s="25" t="s">
        <v>0</v>
      </c>
      <c r="C3" s="25" t="s">
        <v>330</v>
      </c>
      <c r="D3" s="25" t="s">
        <v>438</v>
      </c>
    </row>
    <row r="4" spans="1:4">
      <c r="A4" s="25" t="s">
        <v>416</v>
      </c>
      <c r="B4" s="25" t="s">
        <v>0</v>
      </c>
      <c r="C4" s="25" t="s">
        <v>330</v>
      </c>
      <c r="D4" s="25" t="s">
        <v>438</v>
      </c>
    </row>
    <row r="5" spans="1:4">
      <c r="A5" s="25" t="s">
        <v>414</v>
      </c>
      <c r="B5" s="25" t="s">
        <v>0</v>
      </c>
      <c r="C5" s="25" t="s">
        <v>330</v>
      </c>
      <c r="D5" s="25" t="s">
        <v>438</v>
      </c>
    </row>
    <row r="6" spans="1:4">
      <c r="A6" s="25" t="s">
        <v>412</v>
      </c>
      <c r="B6" s="25" t="s">
        <v>52</v>
      </c>
      <c r="C6" s="25" t="s">
        <v>279</v>
      </c>
      <c r="D6" s="25" t="s">
        <v>438</v>
      </c>
    </row>
    <row r="7" spans="1:4">
      <c r="A7" s="25" t="s">
        <v>410</v>
      </c>
      <c r="B7" s="25" t="s">
        <v>52</v>
      </c>
      <c r="C7" s="25" t="s">
        <v>279</v>
      </c>
      <c r="D7" s="25" t="s">
        <v>438</v>
      </c>
    </row>
    <row r="8" spans="1:4">
      <c r="A8" s="25" t="s">
        <v>408</v>
      </c>
      <c r="B8" s="25" t="s">
        <v>52</v>
      </c>
      <c r="C8" s="25" t="s">
        <v>279</v>
      </c>
      <c r="D8" s="25" t="s">
        <v>438</v>
      </c>
    </row>
    <row r="9" spans="1:4">
      <c r="A9" s="25" t="s">
        <v>406</v>
      </c>
      <c r="B9" s="25" t="s">
        <v>52</v>
      </c>
      <c r="C9" s="25" t="s">
        <v>279</v>
      </c>
      <c r="D9" s="25" t="s">
        <v>438</v>
      </c>
    </row>
    <row r="10" spans="1:4">
      <c r="A10" s="25" t="s">
        <v>404</v>
      </c>
      <c r="B10" s="25" t="s">
        <v>53</v>
      </c>
      <c r="C10" s="25" t="s">
        <v>304</v>
      </c>
      <c r="D10" s="25" t="s">
        <v>438</v>
      </c>
    </row>
    <row r="11" spans="1:4">
      <c r="A11" s="25" t="s">
        <v>402</v>
      </c>
      <c r="B11" s="25" t="s">
        <v>53</v>
      </c>
      <c r="C11" s="25" t="s">
        <v>304</v>
      </c>
      <c r="D11" s="25" t="s">
        <v>438</v>
      </c>
    </row>
    <row r="12" spans="1:4">
      <c r="A12" s="25" t="s">
        <v>400</v>
      </c>
      <c r="B12" s="25" t="s">
        <v>53</v>
      </c>
      <c r="C12" s="25" t="s">
        <v>304</v>
      </c>
      <c r="D12" s="25" t="s">
        <v>438</v>
      </c>
    </row>
    <row r="13" spans="1:4">
      <c r="A13" s="25" t="s">
        <v>398</v>
      </c>
      <c r="B13" s="25" t="s">
        <v>53</v>
      </c>
      <c r="C13" s="25" t="s">
        <v>304</v>
      </c>
      <c r="D13" s="25" t="s">
        <v>438</v>
      </c>
    </row>
    <row r="14" spans="1:4">
      <c r="A14" s="25" t="s">
        <v>396</v>
      </c>
      <c r="B14" s="25" t="s">
        <v>54</v>
      </c>
      <c r="C14" s="25" t="s">
        <v>318</v>
      </c>
      <c r="D14" s="25" t="s">
        <v>438</v>
      </c>
    </row>
    <row r="15" spans="1:4">
      <c r="A15" s="25" t="s">
        <v>394</v>
      </c>
      <c r="B15" s="25" t="s">
        <v>54</v>
      </c>
      <c r="C15" s="25" t="s">
        <v>318</v>
      </c>
      <c r="D15" s="25" t="s">
        <v>438</v>
      </c>
    </row>
    <row r="16" spans="1:4">
      <c r="A16" s="25" t="s">
        <v>421</v>
      </c>
      <c r="B16" s="25" t="s">
        <v>54</v>
      </c>
      <c r="C16" s="25" t="s">
        <v>318</v>
      </c>
      <c r="D16" s="25" t="s">
        <v>438</v>
      </c>
    </row>
    <row r="17" spans="1:4">
      <c r="A17" s="25" t="s">
        <v>419</v>
      </c>
      <c r="B17" s="25" t="s">
        <v>54</v>
      </c>
      <c r="C17" s="25" t="s">
        <v>318</v>
      </c>
      <c r="D17" s="25" t="s">
        <v>438</v>
      </c>
    </row>
    <row r="18" spans="1:4">
      <c r="A18" s="25" t="s">
        <v>417</v>
      </c>
      <c r="B18" s="25" t="s">
        <v>55</v>
      </c>
      <c r="C18" s="25" t="s">
        <v>332</v>
      </c>
      <c r="D18" s="25" t="s">
        <v>438</v>
      </c>
    </row>
    <row r="19" spans="1:4">
      <c r="A19" s="25" t="s">
        <v>415</v>
      </c>
      <c r="B19" s="25" t="s">
        <v>55</v>
      </c>
      <c r="C19" s="25" t="s">
        <v>332</v>
      </c>
      <c r="D19" s="25" t="s">
        <v>438</v>
      </c>
    </row>
    <row r="20" spans="1:4">
      <c r="A20" s="25" t="s">
        <v>413</v>
      </c>
      <c r="B20" s="25" t="s">
        <v>55</v>
      </c>
      <c r="C20" s="25" t="s">
        <v>332</v>
      </c>
      <c r="D20" s="25" t="s">
        <v>438</v>
      </c>
    </row>
    <row r="21" spans="1:4">
      <c r="A21" s="25" t="s">
        <v>411</v>
      </c>
      <c r="B21" s="25" t="s">
        <v>55</v>
      </c>
      <c r="C21" s="25" t="s">
        <v>332</v>
      </c>
      <c r="D21" s="25" t="s">
        <v>438</v>
      </c>
    </row>
    <row r="22" spans="1:4">
      <c r="A22" s="25" t="s">
        <v>409</v>
      </c>
      <c r="B22" s="25" t="s">
        <v>56</v>
      </c>
      <c r="C22" s="25" t="s">
        <v>331</v>
      </c>
      <c r="D22" s="25" t="s">
        <v>438</v>
      </c>
    </row>
    <row r="23" spans="1:4">
      <c r="A23" s="25" t="s">
        <v>407</v>
      </c>
      <c r="B23" s="25" t="s">
        <v>56</v>
      </c>
      <c r="C23" s="25" t="s">
        <v>331</v>
      </c>
      <c r="D23" s="25" t="s">
        <v>438</v>
      </c>
    </row>
    <row r="24" spans="1:4">
      <c r="A24" s="25" t="s">
        <v>405</v>
      </c>
      <c r="B24" s="25" t="s">
        <v>56</v>
      </c>
      <c r="C24" s="25" t="s">
        <v>331</v>
      </c>
      <c r="D24" s="25" t="s">
        <v>438</v>
      </c>
    </row>
    <row r="25" spans="1:4">
      <c r="A25" s="25" t="s">
        <v>403</v>
      </c>
      <c r="B25" s="25" t="s">
        <v>56</v>
      </c>
      <c r="C25" s="25" t="s">
        <v>331</v>
      </c>
      <c r="D25" s="25" t="s">
        <v>438</v>
      </c>
    </row>
    <row r="26" spans="1:4">
      <c r="A26" s="25" t="s">
        <v>401</v>
      </c>
      <c r="B26" s="25" t="s">
        <v>63</v>
      </c>
      <c r="C26" s="25" t="s">
        <v>224</v>
      </c>
      <c r="D26" s="25" t="s">
        <v>438</v>
      </c>
    </row>
    <row r="27" spans="1:4">
      <c r="A27" s="25" t="s">
        <v>399</v>
      </c>
      <c r="B27" s="25" t="s">
        <v>63</v>
      </c>
      <c r="C27" s="25" t="s">
        <v>224</v>
      </c>
      <c r="D27" s="25" t="s">
        <v>438</v>
      </c>
    </row>
    <row r="28" spans="1:4">
      <c r="A28" s="25" t="s">
        <v>397</v>
      </c>
      <c r="B28" s="25" t="s">
        <v>63</v>
      </c>
      <c r="C28" s="25" t="s">
        <v>224</v>
      </c>
      <c r="D28" s="25" t="s">
        <v>438</v>
      </c>
    </row>
    <row r="29" spans="1:4">
      <c r="A29" s="25" t="s">
        <v>395</v>
      </c>
      <c r="B29" s="25" t="s">
        <v>63</v>
      </c>
      <c r="C29" s="25" t="s">
        <v>224</v>
      </c>
      <c r="D29" s="25" t="s">
        <v>438</v>
      </c>
    </row>
    <row r="30" spans="1:4">
      <c r="A30" s="25" t="s">
        <v>434</v>
      </c>
      <c r="B30" s="25" t="s">
        <v>64</v>
      </c>
      <c r="C30" s="25" t="s">
        <v>245</v>
      </c>
      <c r="D30" s="25" t="s">
        <v>438</v>
      </c>
    </row>
    <row r="31" spans="1:4">
      <c r="A31" s="25" t="s">
        <v>433</v>
      </c>
      <c r="B31" s="25" t="s">
        <v>64</v>
      </c>
      <c r="C31" s="25" t="s">
        <v>245</v>
      </c>
      <c r="D31" s="25" t="s">
        <v>438</v>
      </c>
    </row>
    <row r="32" spans="1:4">
      <c r="A32" s="25" t="s">
        <v>432</v>
      </c>
      <c r="B32" s="25" t="s">
        <v>64</v>
      </c>
      <c r="C32" s="25" t="s">
        <v>245</v>
      </c>
      <c r="D32" s="25" t="s">
        <v>438</v>
      </c>
    </row>
    <row r="33" spans="1:4">
      <c r="A33" s="25" t="s">
        <v>431</v>
      </c>
      <c r="B33" s="25" t="s">
        <v>64</v>
      </c>
      <c r="C33" s="25" t="s">
        <v>245</v>
      </c>
      <c r="D33" s="25" t="s">
        <v>438</v>
      </c>
    </row>
    <row r="34" spans="1:4">
      <c r="A34" s="25" t="s">
        <v>423</v>
      </c>
      <c r="B34" s="25" t="s">
        <v>67</v>
      </c>
      <c r="C34" s="25" t="s">
        <v>272</v>
      </c>
      <c r="D34" s="25" t="s">
        <v>438</v>
      </c>
    </row>
    <row r="35" spans="1:4">
      <c r="A35" s="25" t="s">
        <v>430</v>
      </c>
      <c r="B35" s="25" t="s">
        <v>67</v>
      </c>
      <c r="C35" s="25" t="s">
        <v>272</v>
      </c>
      <c r="D35" s="25" t="s">
        <v>438</v>
      </c>
    </row>
    <row r="36" spans="1:4">
      <c r="A36" s="25" t="s">
        <v>429</v>
      </c>
      <c r="B36" s="25" t="s">
        <v>67</v>
      </c>
      <c r="C36" s="25" t="s">
        <v>272</v>
      </c>
      <c r="D36" s="25" t="s">
        <v>438</v>
      </c>
    </row>
    <row r="37" spans="1:4">
      <c r="A37" s="25" t="s">
        <v>428</v>
      </c>
      <c r="B37" s="25" t="s">
        <v>67</v>
      </c>
      <c r="C37" s="25" t="s">
        <v>272</v>
      </c>
      <c r="D37" s="25" t="s">
        <v>438</v>
      </c>
    </row>
    <row r="38" spans="1:4">
      <c r="A38" s="25" t="s">
        <v>427</v>
      </c>
      <c r="B38" s="25" t="s">
        <v>86</v>
      </c>
      <c r="C38" s="25" t="s">
        <v>277</v>
      </c>
      <c r="D38" s="25" t="s">
        <v>438</v>
      </c>
    </row>
    <row r="39" spans="1:4">
      <c r="A39" s="25" t="s">
        <v>426</v>
      </c>
      <c r="B39" s="25" t="s">
        <v>86</v>
      </c>
      <c r="C39" s="25" t="s">
        <v>277</v>
      </c>
      <c r="D39" s="25" t="s">
        <v>438</v>
      </c>
    </row>
    <row r="40" spans="1:4">
      <c r="A40" s="25" t="s">
        <v>425</v>
      </c>
      <c r="B40" s="25" t="s">
        <v>86</v>
      </c>
      <c r="C40" s="25" t="s">
        <v>277</v>
      </c>
      <c r="D40" s="25" t="s">
        <v>438</v>
      </c>
    </row>
    <row r="41" spans="1:4">
      <c r="A41" s="25" t="s">
        <v>424</v>
      </c>
      <c r="B41" s="25" t="s">
        <v>86</v>
      </c>
      <c r="C41" s="25" t="s">
        <v>277</v>
      </c>
      <c r="D41" s="25" t="s">
        <v>438</v>
      </c>
    </row>
  </sheetData>
  <phoneticPr fontId="2" type="noConversion"/>
  <pageMargins left="0.7" right="0.7" top="0.75" bottom="0.75" header="0.3" footer="0.3"/>
  <pageSetup scale="84"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6ACD0-0517-40C9-8E0F-60D71932C3C7}">
  <sheetPr>
    <pageSetUpPr fitToPage="1"/>
  </sheetPr>
  <dimension ref="A1:D47"/>
  <sheetViews>
    <sheetView workbookViewId="0">
      <selection activeCell="A4" sqref="A4:XFD4"/>
    </sheetView>
  </sheetViews>
  <sheetFormatPr defaultColWidth="7.5703125" defaultRowHeight="15"/>
  <cols>
    <col min="1" max="1" width="22.7109375" customWidth="1"/>
    <col min="2" max="2" width="65.140625" bestFit="1" customWidth="1"/>
    <col min="3" max="3" width="10.42578125" customWidth="1"/>
    <col min="4" max="4" width="9.28515625" customWidth="1"/>
  </cols>
  <sheetData>
    <row r="1" spans="1:4">
      <c r="A1" s="25" t="s">
        <v>225</v>
      </c>
      <c r="B1" s="25" t="s">
        <v>346</v>
      </c>
      <c r="C1" s="25" t="s">
        <v>345</v>
      </c>
      <c r="D1" s="25" t="s">
        <v>347</v>
      </c>
    </row>
    <row r="2" spans="1:4">
      <c r="A2" s="25" t="s">
        <v>108</v>
      </c>
      <c r="B2" s="25" t="s">
        <v>341</v>
      </c>
      <c r="C2" s="25">
        <v>808</v>
      </c>
      <c r="D2" s="25">
        <v>10</v>
      </c>
    </row>
    <row r="3" spans="1:4">
      <c r="A3" s="25" t="s">
        <v>94</v>
      </c>
      <c r="B3" s="25" t="s">
        <v>329</v>
      </c>
      <c r="C3" s="25">
        <v>859</v>
      </c>
      <c r="D3" s="25">
        <v>14</v>
      </c>
    </row>
    <row r="4" spans="1:4">
      <c r="A4" s="25" t="s">
        <v>86</v>
      </c>
      <c r="B4" s="25" t="s">
        <v>277</v>
      </c>
      <c r="C4" s="25">
        <v>1027</v>
      </c>
      <c r="D4" s="25">
        <v>16</v>
      </c>
    </row>
    <row r="5" spans="1:4">
      <c r="A5" s="25" t="s">
        <v>63</v>
      </c>
      <c r="B5" s="25" t="s">
        <v>224</v>
      </c>
      <c r="C5" s="25">
        <v>888</v>
      </c>
      <c r="D5" s="25">
        <v>24</v>
      </c>
    </row>
    <row r="6" spans="1:4">
      <c r="A6" s="25" t="s">
        <v>70</v>
      </c>
      <c r="B6" s="25" t="s">
        <v>271</v>
      </c>
      <c r="C6" s="25">
        <v>1055</v>
      </c>
      <c r="D6" s="25">
        <v>32</v>
      </c>
    </row>
    <row r="7" spans="1:4">
      <c r="A7" s="25" t="s">
        <v>104</v>
      </c>
      <c r="B7" s="25" t="s">
        <v>340</v>
      </c>
      <c r="C7" s="25">
        <v>930</v>
      </c>
      <c r="D7" s="25">
        <v>37</v>
      </c>
    </row>
    <row r="8" spans="1:4">
      <c r="A8" s="25" t="s">
        <v>99</v>
      </c>
      <c r="B8" s="25" t="s">
        <v>244</v>
      </c>
      <c r="C8" s="25">
        <v>868</v>
      </c>
      <c r="D8" s="25">
        <v>48</v>
      </c>
    </row>
    <row r="9" spans="1:4">
      <c r="A9" s="25" t="s">
        <v>67</v>
      </c>
      <c r="B9" s="25" t="s">
        <v>272</v>
      </c>
      <c r="C9" s="25">
        <v>815</v>
      </c>
      <c r="D9" s="25">
        <v>50</v>
      </c>
    </row>
    <row r="10" spans="1:4">
      <c r="A10" s="25" t="s">
        <v>55</v>
      </c>
      <c r="B10" s="25" t="s">
        <v>332</v>
      </c>
      <c r="C10" s="25">
        <v>634</v>
      </c>
      <c r="D10" s="25">
        <v>54</v>
      </c>
    </row>
    <row r="11" spans="1:4">
      <c r="A11" s="25" t="s">
        <v>95</v>
      </c>
      <c r="B11" s="25" t="s">
        <v>247</v>
      </c>
      <c r="C11" s="25">
        <v>719</v>
      </c>
      <c r="D11" s="25">
        <v>56</v>
      </c>
    </row>
    <row r="12" spans="1:4">
      <c r="A12" s="25" t="s">
        <v>65</v>
      </c>
      <c r="B12" s="25" t="s">
        <v>280</v>
      </c>
      <c r="C12" s="25">
        <v>785</v>
      </c>
      <c r="D12" s="25">
        <v>65</v>
      </c>
    </row>
    <row r="13" spans="1:4">
      <c r="A13" s="25" t="s">
        <v>93</v>
      </c>
      <c r="B13" s="25" t="s">
        <v>278</v>
      </c>
      <c r="C13" s="25">
        <v>722</v>
      </c>
      <c r="D13" s="25">
        <v>77</v>
      </c>
    </row>
    <row r="14" spans="1:4">
      <c r="A14" s="25" t="s">
        <v>58</v>
      </c>
      <c r="B14" s="25" t="s">
        <v>312</v>
      </c>
      <c r="C14" s="25">
        <v>792</v>
      </c>
      <c r="D14" s="25">
        <v>81</v>
      </c>
    </row>
    <row r="15" spans="1:4">
      <c r="A15" s="25" t="s">
        <v>62</v>
      </c>
      <c r="B15" s="25" t="s">
        <v>307</v>
      </c>
      <c r="C15" s="25">
        <v>501</v>
      </c>
      <c r="D15" s="25">
        <v>83</v>
      </c>
    </row>
    <row r="16" spans="1:4">
      <c r="A16" s="25" t="s">
        <v>80</v>
      </c>
      <c r="B16" s="25" t="s">
        <v>286</v>
      </c>
      <c r="C16" s="25">
        <v>640</v>
      </c>
      <c r="D16" s="25">
        <v>85</v>
      </c>
    </row>
    <row r="17" spans="1:4">
      <c r="A17" s="25" t="s">
        <v>59</v>
      </c>
      <c r="B17" s="25" t="s">
        <v>270</v>
      </c>
      <c r="C17" s="25">
        <v>1151</v>
      </c>
      <c r="D17" s="25">
        <v>98</v>
      </c>
    </row>
    <row r="18" spans="1:4">
      <c r="A18" s="25" t="s">
        <v>60</v>
      </c>
      <c r="B18" s="25" t="s">
        <v>288</v>
      </c>
      <c r="C18" s="25">
        <v>834</v>
      </c>
      <c r="D18" s="25">
        <v>99</v>
      </c>
    </row>
    <row r="19" spans="1:4">
      <c r="A19" s="25" t="s">
        <v>105</v>
      </c>
      <c r="B19" s="25" t="s">
        <v>314</v>
      </c>
      <c r="C19" s="25">
        <v>772</v>
      </c>
      <c r="D19" s="25">
        <v>116</v>
      </c>
    </row>
    <row r="20" spans="1:4">
      <c r="A20" s="25" t="s">
        <v>113</v>
      </c>
      <c r="B20" s="25" t="s">
        <v>261</v>
      </c>
      <c r="C20" s="25">
        <v>595</v>
      </c>
      <c r="D20" s="25">
        <v>118</v>
      </c>
    </row>
    <row r="21" spans="1:4">
      <c r="A21" s="25" t="s">
        <v>52</v>
      </c>
      <c r="B21" s="25" t="s">
        <v>279</v>
      </c>
      <c r="C21" s="25">
        <v>778</v>
      </c>
      <c r="D21" s="25">
        <v>128</v>
      </c>
    </row>
    <row r="22" spans="1:4">
      <c r="A22" s="25" t="s">
        <v>90</v>
      </c>
      <c r="B22" s="25" t="s">
        <v>328</v>
      </c>
      <c r="C22" s="25">
        <v>673</v>
      </c>
      <c r="D22" s="25">
        <v>133</v>
      </c>
    </row>
    <row r="23" spans="1:4">
      <c r="A23" s="25" t="s">
        <v>106</v>
      </c>
      <c r="B23" s="25" t="s">
        <v>269</v>
      </c>
      <c r="C23" s="25">
        <v>739</v>
      </c>
      <c r="D23" s="25">
        <v>142</v>
      </c>
    </row>
    <row r="24" spans="1:4">
      <c r="A24" s="25" t="s">
        <v>81</v>
      </c>
      <c r="B24" s="25" t="s">
        <v>310</v>
      </c>
      <c r="C24" s="25">
        <v>757</v>
      </c>
      <c r="D24" s="25">
        <v>145</v>
      </c>
    </row>
    <row r="25" spans="1:4">
      <c r="A25" s="25" t="s">
        <v>57</v>
      </c>
      <c r="B25" s="25" t="s">
        <v>317</v>
      </c>
      <c r="C25" s="25">
        <v>776</v>
      </c>
      <c r="D25" s="25">
        <v>156</v>
      </c>
    </row>
    <row r="26" spans="1:4">
      <c r="A26" s="25" t="s">
        <v>111</v>
      </c>
      <c r="B26" s="25" t="s">
        <v>293</v>
      </c>
      <c r="C26" s="25">
        <v>800</v>
      </c>
      <c r="D26" s="25">
        <v>160</v>
      </c>
    </row>
    <row r="27" spans="1:4">
      <c r="A27" s="25" t="s">
        <v>78</v>
      </c>
      <c r="B27" s="25" t="s">
        <v>298</v>
      </c>
      <c r="C27" s="25">
        <v>711</v>
      </c>
      <c r="D27" s="25">
        <v>161</v>
      </c>
    </row>
    <row r="28" spans="1:4">
      <c r="A28" s="25" t="s">
        <v>107</v>
      </c>
      <c r="B28" s="25" t="s">
        <v>260</v>
      </c>
      <c r="C28" s="25">
        <v>772</v>
      </c>
      <c r="D28" s="25">
        <v>165</v>
      </c>
    </row>
    <row r="29" spans="1:4">
      <c r="A29" s="25" t="s">
        <v>54</v>
      </c>
      <c r="B29" s="25" t="s">
        <v>318</v>
      </c>
      <c r="C29" s="25">
        <v>664</v>
      </c>
      <c r="D29" s="25">
        <v>169</v>
      </c>
    </row>
    <row r="30" spans="1:4">
      <c r="A30" s="25" t="s">
        <v>96</v>
      </c>
      <c r="B30" s="25" t="s">
        <v>326</v>
      </c>
      <c r="C30" s="25">
        <v>741</v>
      </c>
      <c r="D30" s="25">
        <v>174</v>
      </c>
    </row>
    <row r="31" spans="1:4">
      <c r="A31" s="25" t="s">
        <v>69</v>
      </c>
      <c r="B31" s="25" t="s">
        <v>274</v>
      </c>
      <c r="C31" s="25">
        <v>832</v>
      </c>
      <c r="D31" s="25">
        <v>192</v>
      </c>
    </row>
    <row r="32" spans="1:4">
      <c r="A32" s="25" t="s">
        <v>112</v>
      </c>
      <c r="B32" s="25" t="s">
        <v>248</v>
      </c>
      <c r="C32" s="25">
        <v>759</v>
      </c>
      <c r="D32" s="25">
        <v>199</v>
      </c>
    </row>
    <row r="33" spans="1:4">
      <c r="A33" s="25" t="s">
        <v>56</v>
      </c>
      <c r="B33" s="25" t="s">
        <v>331</v>
      </c>
      <c r="C33" s="25">
        <v>757</v>
      </c>
      <c r="D33" s="25">
        <v>212</v>
      </c>
    </row>
    <row r="34" spans="1:4">
      <c r="A34" s="25" t="s">
        <v>64</v>
      </c>
      <c r="B34" s="25" t="s">
        <v>245</v>
      </c>
      <c r="C34" s="25">
        <v>940</v>
      </c>
      <c r="D34" s="25">
        <v>218</v>
      </c>
    </row>
    <row r="35" spans="1:4">
      <c r="A35" s="25" t="s">
        <v>83</v>
      </c>
      <c r="B35" s="25" t="s">
        <v>295</v>
      </c>
      <c r="C35" s="25">
        <v>798</v>
      </c>
      <c r="D35" s="25">
        <v>228</v>
      </c>
    </row>
    <row r="36" spans="1:4">
      <c r="A36" s="25" t="s">
        <v>53</v>
      </c>
      <c r="B36" s="25" t="s">
        <v>304</v>
      </c>
      <c r="C36" s="25">
        <v>812</v>
      </c>
      <c r="D36" s="25">
        <v>242</v>
      </c>
    </row>
    <row r="37" spans="1:4">
      <c r="A37" s="25" t="s">
        <v>101</v>
      </c>
      <c r="B37" s="25" t="s">
        <v>255</v>
      </c>
      <c r="C37" s="25">
        <v>845</v>
      </c>
      <c r="D37" s="25">
        <v>244</v>
      </c>
    </row>
    <row r="38" spans="1:4">
      <c r="A38" s="25" t="s">
        <v>73</v>
      </c>
      <c r="B38" s="25" t="s">
        <v>246</v>
      </c>
      <c r="C38" s="25">
        <v>1031</v>
      </c>
      <c r="D38" s="25">
        <v>250</v>
      </c>
    </row>
    <row r="39" spans="1:4">
      <c r="A39" s="25" t="s">
        <v>68</v>
      </c>
      <c r="B39" s="25" t="s">
        <v>296</v>
      </c>
      <c r="C39" s="25">
        <v>728</v>
      </c>
      <c r="D39" s="25">
        <v>258</v>
      </c>
    </row>
    <row r="40" spans="1:4">
      <c r="A40" s="25" t="s">
        <v>102</v>
      </c>
      <c r="B40" s="25" t="s">
        <v>268</v>
      </c>
      <c r="C40" s="25">
        <v>865</v>
      </c>
      <c r="D40" s="25">
        <v>261</v>
      </c>
    </row>
    <row r="41" spans="1:4">
      <c r="A41" s="25" t="s">
        <v>110</v>
      </c>
      <c r="B41" s="25" t="s">
        <v>266</v>
      </c>
      <c r="C41" s="25">
        <v>736</v>
      </c>
      <c r="D41" s="25">
        <v>306</v>
      </c>
    </row>
    <row r="42" spans="1:4">
      <c r="A42" s="25" t="s">
        <v>97</v>
      </c>
      <c r="B42" s="25" t="s">
        <v>336</v>
      </c>
      <c r="C42" s="25">
        <v>822</v>
      </c>
      <c r="D42" s="25">
        <v>316</v>
      </c>
    </row>
    <row r="43" spans="1:4">
      <c r="A43" s="25" t="s">
        <v>109</v>
      </c>
      <c r="B43" s="25" t="s">
        <v>243</v>
      </c>
      <c r="C43" s="25">
        <v>663</v>
      </c>
      <c r="D43" s="25">
        <v>339</v>
      </c>
    </row>
    <row r="44" spans="1:4">
      <c r="A44" s="25" t="s">
        <v>103</v>
      </c>
      <c r="B44" s="25" t="s">
        <v>297</v>
      </c>
      <c r="C44" s="25">
        <v>954</v>
      </c>
      <c r="D44" s="25">
        <v>359</v>
      </c>
    </row>
    <row r="45" spans="1:4">
      <c r="A45" s="25" t="s">
        <v>98</v>
      </c>
      <c r="B45" s="25" t="s">
        <v>273</v>
      </c>
      <c r="C45" s="25">
        <v>717</v>
      </c>
      <c r="D45" s="25">
        <v>364</v>
      </c>
    </row>
    <row r="46" spans="1:4">
      <c r="A46" s="25" t="s">
        <v>114</v>
      </c>
      <c r="B46" s="25" t="s">
        <v>285</v>
      </c>
      <c r="C46" s="25">
        <v>765</v>
      </c>
      <c r="D46" s="25">
        <v>367</v>
      </c>
    </row>
    <row r="47" spans="1:4">
      <c r="A47" s="25" t="s">
        <v>61</v>
      </c>
      <c r="B47" s="25" t="s">
        <v>327</v>
      </c>
      <c r="C47" s="25">
        <v>533</v>
      </c>
      <c r="D47" s="25">
        <v>378</v>
      </c>
    </row>
  </sheetData>
  <sortState xmlns:xlrd2="http://schemas.microsoft.com/office/spreadsheetml/2017/richdata2" ref="A2:D48">
    <sortCondition ref="D2:D48"/>
  </sortState>
  <pageMargins left="0.7" right="0.7" top="0.75" bottom="0.75" header="0.3" footer="0.3"/>
  <pageSetup scale="84" fitToHeight="0"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AD89F-899C-470A-8DF1-81D2F8FA5FBB}">
  <dimension ref="A1:H15"/>
  <sheetViews>
    <sheetView workbookViewId="0">
      <selection sqref="A1:B15"/>
    </sheetView>
  </sheetViews>
  <sheetFormatPr defaultRowHeight="15"/>
  <cols>
    <col min="1" max="1" width="47.5703125" bestFit="1" customWidth="1"/>
    <col min="2" max="2" width="18.7109375" bestFit="1" customWidth="1"/>
    <col min="3" max="3" width="12.140625" bestFit="1" customWidth="1"/>
    <col min="4" max="4" width="12.7109375" bestFit="1" customWidth="1"/>
    <col min="5" max="5" width="62" bestFit="1" customWidth="1"/>
    <col min="6" max="6" width="32.140625" bestFit="1" customWidth="1"/>
    <col min="7" max="7" width="13.5703125" bestFit="1" customWidth="1"/>
    <col min="8" max="8" width="14.42578125" bestFit="1" customWidth="1"/>
  </cols>
  <sheetData>
    <row r="1" spans="1:8">
      <c r="A1" t="s">
        <v>221</v>
      </c>
      <c r="B1" t="s">
        <v>222</v>
      </c>
      <c r="C1" t="s">
        <v>370</v>
      </c>
      <c r="D1" t="s">
        <v>371</v>
      </c>
      <c r="E1" t="s">
        <v>372</v>
      </c>
      <c r="F1" t="s">
        <v>373</v>
      </c>
      <c r="G1" t="s">
        <v>374</v>
      </c>
      <c r="H1" t="s">
        <v>223</v>
      </c>
    </row>
    <row r="2" spans="1:8">
      <c r="A2" t="s">
        <v>375</v>
      </c>
      <c r="B2" t="s">
        <v>4</v>
      </c>
      <c r="C2" t="s">
        <v>225</v>
      </c>
      <c r="D2" t="s">
        <v>376</v>
      </c>
      <c r="E2" t="s">
        <v>377</v>
      </c>
      <c r="F2" t="s">
        <v>378</v>
      </c>
      <c r="G2" t="s">
        <v>379</v>
      </c>
      <c r="H2">
        <v>177.98</v>
      </c>
    </row>
    <row r="3" spans="1:8">
      <c r="A3" t="s">
        <v>380</v>
      </c>
      <c r="B3" t="s">
        <v>10</v>
      </c>
      <c r="C3" t="s">
        <v>225</v>
      </c>
      <c r="D3" t="s">
        <v>376</v>
      </c>
      <c r="E3" t="s">
        <v>377</v>
      </c>
      <c r="F3" t="s">
        <v>378</v>
      </c>
      <c r="G3" t="s">
        <v>379</v>
      </c>
      <c r="H3" t="s">
        <v>381</v>
      </c>
    </row>
    <row r="4" spans="1:8">
      <c r="A4" t="s">
        <v>115</v>
      </c>
      <c r="B4" t="s">
        <v>118</v>
      </c>
      <c r="C4" t="s">
        <v>225</v>
      </c>
      <c r="D4" t="s">
        <v>376</v>
      </c>
      <c r="E4" t="s">
        <v>377</v>
      </c>
      <c r="F4" t="s">
        <v>382</v>
      </c>
      <c r="G4" t="s">
        <v>379</v>
      </c>
      <c r="H4">
        <v>92.03</v>
      </c>
    </row>
    <row r="5" spans="1:8">
      <c r="A5" t="s">
        <v>383</v>
      </c>
      <c r="B5" t="s">
        <v>5</v>
      </c>
      <c r="C5" t="s">
        <v>225</v>
      </c>
      <c r="D5" t="s">
        <v>376</v>
      </c>
      <c r="E5" t="s">
        <v>377</v>
      </c>
      <c r="F5" t="s">
        <v>378</v>
      </c>
      <c r="G5" t="s">
        <v>379</v>
      </c>
      <c r="H5">
        <v>189.24</v>
      </c>
    </row>
    <row r="6" spans="1:8">
      <c r="A6" t="s">
        <v>384</v>
      </c>
      <c r="B6" t="s">
        <v>123</v>
      </c>
      <c r="C6" t="s">
        <v>225</v>
      </c>
      <c r="D6" t="s">
        <v>376</v>
      </c>
      <c r="E6" t="s">
        <v>377</v>
      </c>
      <c r="F6" t="s">
        <v>378</v>
      </c>
      <c r="G6" t="s">
        <v>379</v>
      </c>
      <c r="H6">
        <v>103.33</v>
      </c>
    </row>
    <row r="7" spans="1:8">
      <c r="A7" t="s">
        <v>385</v>
      </c>
      <c r="B7" t="s">
        <v>7</v>
      </c>
      <c r="C7" t="s">
        <v>225</v>
      </c>
      <c r="D7" t="s">
        <v>376</v>
      </c>
      <c r="E7" t="s">
        <v>377</v>
      </c>
      <c r="F7" t="s">
        <v>378</v>
      </c>
      <c r="G7" t="s">
        <v>379</v>
      </c>
      <c r="H7">
        <v>147.09</v>
      </c>
    </row>
    <row r="8" spans="1:8">
      <c r="A8" t="s">
        <v>386</v>
      </c>
      <c r="B8" t="s">
        <v>3</v>
      </c>
      <c r="C8" t="s">
        <v>225</v>
      </c>
      <c r="D8" t="s">
        <v>376</v>
      </c>
      <c r="E8" t="s">
        <v>377</v>
      </c>
      <c r="F8" t="s">
        <v>378</v>
      </c>
      <c r="G8" t="s">
        <v>379</v>
      </c>
      <c r="H8">
        <v>182.96</v>
      </c>
    </row>
    <row r="9" spans="1:8">
      <c r="A9" t="s">
        <v>387</v>
      </c>
      <c r="B9" t="s">
        <v>9</v>
      </c>
      <c r="C9" t="s">
        <v>225</v>
      </c>
      <c r="D9" t="s">
        <v>376</v>
      </c>
      <c r="E9" t="s">
        <v>377</v>
      </c>
      <c r="F9" t="s">
        <v>378</v>
      </c>
      <c r="G9" t="s">
        <v>379</v>
      </c>
      <c r="H9">
        <v>147.68</v>
      </c>
    </row>
    <row r="10" spans="1:8">
      <c r="A10" t="s">
        <v>388</v>
      </c>
      <c r="B10" t="s">
        <v>1</v>
      </c>
      <c r="C10" t="s">
        <v>225</v>
      </c>
      <c r="D10" t="s">
        <v>376</v>
      </c>
      <c r="E10" t="s">
        <v>377</v>
      </c>
      <c r="F10" t="s">
        <v>378</v>
      </c>
      <c r="G10" t="s">
        <v>379</v>
      </c>
      <c r="H10">
        <v>255.69</v>
      </c>
    </row>
    <row r="11" spans="1:8">
      <c r="A11" t="s">
        <v>389</v>
      </c>
      <c r="B11" t="s">
        <v>8</v>
      </c>
      <c r="C11" t="s">
        <v>225</v>
      </c>
      <c r="D11" t="s">
        <v>376</v>
      </c>
      <c r="E11" t="s">
        <v>377</v>
      </c>
      <c r="F11" t="s">
        <v>378</v>
      </c>
      <c r="G11" t="s">
        <v>379</v>
      </c>
      <c r="H11">
        <v>178.86</v>
      </c>
    </row>
    <row r="12" spans="1:8">
      <c r="A12" t="s">
        <v>390</v>
      </c>
      <c r="B12" t="s">
        <v>6</v>
      </c>
      <c r="C12" t="s">
        <v>225</v>
      </c>
      <c r="D12" t="s">
        <v>376</v>
      </c>
      <c r="E12" t="s">
        <v>377</v>
      </c>
      <c r="F12" t="s">
        <v>378</v>
      </c>
      <c r="G12" t="s">
        <v>379</v>
      </c>
      <c r="H12">
        <v>124.56</v>
      </c>
    </row>
    <row r="13" spans="1:8">
      <c r="A13" t="s">
        <v>391</v>
      </c>
      <c r="B13" t="s">
        <v>2</v>
      </c>
      <c r="C13" t="s">
        <v>225</v>
      </c>
      <c r="D13" t="s">
        <v>376</v>
      </c>
      <c r="E13" t="s">
        <v>377</v>
      </c>
      <c r="F13" t="s">
        <v>378</v>
      </c>
      <c r="G13" t="s">
        <v>379</v>
      </c>
      <c r="H13">
        <v>232.01</v>
      </c>
    </row>
    <row r="14" spans="1:8">
      <c r="A14" t="s">
        <v>116</v>
      </c>
      <c r="B14" t="s">
        <v>119</v>
      </c>
      <c r="C14" t="s">
        <v>225</v>
      </c>
      <c r="D14" t="s">
        <v>376</v>
      </c>
      <c r="E14" t="s">
        <v>377</v>
      </c>
      <c r="F14" t="s">
        <v>382</v>
      </c>
      <c r="G14" t="s">
        <v>379</v>
      </c>
      <c r="H14">
        <v>109.37</v>
      </c>
    </row>
    <row r="15" spans="1:8">
      <c r="A15" t="s">
        <v>117</v>
      </c>
      <c r="B15" t="s">
        <v>120</v>
      </c>
      <c r="C15" t="s">
        <v>225</v>
      </c>
      <c r="D15" t="s">
        <v>376</v>
      </c>
      <c r="E15" t="s">
        <v>377</v>
      </c>
      <c r="F15" t="s">
        <v>382</v>
      </c>
      <c r="G15" t="s">
        <v>379</v>
      </c>
      <c r="H15">
        <v>94.25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802DF-D8F2-4F26-9838-2BDF89A97E03}">
  <dimension ref="A1:H95"/>
  <sheetViews>
    <sheetView workbookViewId="0">
      <selection activeCell="A13" sqref="A13:B18"/>
    </sheetView>
  </sheetViews>
  <sheetFormatPr defaultRowHeight="15"/>
  <cols>
    <col min="1" max="1" width="35.7109375" customWidth="1"/>
    <col min="2" max="2" width="65.140625" bestFit="1" customWidth="1"/>
    <col min="3" max="3" width="5.140625" bestFit="1" customWidth="1"/>
    <col min="6" max="6" width="18.85546875" bestFit="1" customWidth="1"/>
    <col min="7" max="7" width="67.28515625" bestFit="1" customWidth="1"/>
    <col min="8" max="8" width="14" bestFit="1" customWidth="1"/>
  </cols>
  <sheetData>
    <row r="1" spans="1:8">
      <c r="A1" s="25" t="s">
        <v>225</v>
      </c>
      <c r="B1" s="25" t="s">
        <v>346</v>
      </c>
      <c r="C1" s="25" t="s">
        <v>345</v>
      </c>
      <c r="F1" t="s">
        <v>222</v>
      </c>
      <c r="G1" t="s">
        <v>221</v>
      </c>
      <c r="H1" t="s">
        <v>223</v>
      </c>
    </row>
    <row r="2" spans="1:8">
      <c r="A2" s="25" t="s">
        <v>52</v>
      </c>
      <c r="B2" s="25" t="str">
        <f>VLOOKUP(A2,$F$2:$H$95,2,FALSE)</f>
        <v>NC21-6492-Cornell_WinterOatPeaIntercrop_2024_Ithaca-PLOT_128</v>
      </c>
      <c r="C2" s="25">
        <f>VLOOKUP(A2,$F$2:$H$95,3,FALSE)</f>
        <v>778</v>
      </c>
      <c r="F2" t="s">
        <v>63</v>
      </c>
      <c r="G2" t="s">
        <v>224</v>
      </c>
      <c r="H2">
        <v>888</v>
      </c>
    </row>
    <row r="3" spans="1:8">
      <c r="A3" s="25" t="s">
        <v>53</v>
      </c>
      <c r="B3" s="25" t="str">
        <f t="shared" ref="B3:B47" si="0">VLOOKUP(A3,$F$2:$H$95,2,FALSE)</f>
        <v>NF12AS-73-4_3-Cornell_WinterOatPeaIntercrop_2024_Ithaca-PLOT_242</v>
      </c>
      <c r="C3" s="25">
        <f t="shared" ref="C3:C47" si="1">VLOOKUP(A3,$F$2:$H$95,3,FALSE)</f>
        <v>812</v>
      </c>
      <c r="F3" t="s">
        <v>227</v>
      </c>
      <c r="G3" t="s">
        <v>226</v>
      </c>
      <c r="H3">
        <v>733</v>
      </c>
    </row>
    <row r="4" spans="1:8">
      <c r="A4" s="25" t="s">
        <v>54</v>
      </c>
      <c r="B4" s="25" t="str">
        <f t="shared" si="0"/>
        <v>NF13-4214-4_5-Cornell_WinterOatPeaIntercrop_2024_Ithaca-PLOT_169</v>
      </c>
      <c r="C4" s="25">
        <f t="shared" si="1"/>
        <v>664</v>
      </c>
      <c r="F4" t="s">
        <v>229</v>
      </c>
      <c r="G4" t="s">
        <v>228</v>
      </c>
      <c r="H4">
        <v>585</v>
      </c>
    </row>
    <row r="5" spans="1:8">
      <c r="A5" s="25" t="s">
        <v>55</v>
      </c>
      <c r="B5" s="25" t="str">
        <f t="shared" si="0"/>
        <v>PA7617-3658-Cornell_WinterOatPeaIntercrop_2024_Ithaca-PLOT_54</v>
      </c>
      <c r="C5" s="25">
        <f t="shared" si="1"/>
        <v>634</v>
      </c>
      <c r="F5" t="s">
        <v>231</v>
      </c>
      <c r="G5" t="s">
        <v>230</v>
      </c>
      <c r="H5">
        <v>436</v>
      </c>
    </row>
    <row r="6" spans="1:8">
      <c r="A6" s="25" t="s">
        <v>56</v>
      </c>
      <c r="B6" s="25" t="str">
        <f t="shared" si="0"/>
        <v>PA7617-3460-Cornell_WinterOatPeaIntercrop_2024_Ithaca-PLOT_212</v>
      </c>
      <c r="C6" s="25">
        <f t="shared" si="1"/>
        <v>757</v>
      </c>
      <c r="F6" t="s">
        <v>100</v>
      </c>
      <c r="G6" t="s">
        <v>232</v>
      </c>
      <c r="H6">
        <v>714</v>
      </c>
    </row>
    <row r="7" spans="1:8">
      <c r="A7" s="25" t="s">
        <v>57</v>
      </c>
      <c r="B7" s="25" t="str">
        <f t="shared" si="0"/>
        <v>NF13-4214-4_1-Cornell_WinterOatPeaIntercrop_2024_Ithaca-PLOT_156</v>
      </c>
      <c r="C7" s="25">
        <f t="shared" si="1"/>
        <v>776</v>
      </c>
      <c r="F7" t="s">
        <v>234</v>
      </c>
      <c r="G7" t="s">
        <v>233</v>
      </c>
      <c r="H7">
        <v>640</v>
      </c>
    </row>
    <row r="8" spans="1:8">
      <c r="A8" s="25" t="s">
        <v>58</v>
      </c>
      <c r="B8" s="25" t="str">
        <f t="shared" si="0"/>
        <v>NF13-4157-4_2-Cornell_WinterOatPeaIntercrop_2024_Ithaca-PLOT_81</v>
      </c>
      <c r="C8" s="25">
        <f t="shared" si="1"/>
        <v>792</v>
      </c>
      <c r="F8" t="s">
        <v>236</v>
      </c>
      <c r="G8" t="s">
        <v>235</v>
      </c>
      <c r="H8">
        <v>876</v>
      </c>
    </row>
    <row r="9" spans="1:8">
      <c r="A9" s="25" t="s">
        <v>59</v>
      </c>
      <c r="B9" s="25" t="str">
        <f t="shared" si="0"/>
        <v>NC20-4452-Cornell_WinterOatPeaIntercrop_2024_Ithaca-PLOT_98</v>
      </c>
      <c r="C9" s="25">
        <f t="shared" si="1"/>
        <v>1151</v>
      </c>
      <c r="F9" t="s">
        <v>238</v>
      </c>
      <c r="G9" t="s">
        <v>237</v>
      </c>
      <c r="H9">
        <v>789</v>
      </c>
    </row>
    <row r="10" spans="1:8">
      <c r="A10" s="25" t="s">
        <v>60</v>
      </c>
      <c r="B10" s="25" t="str">
        <f t="shared" si="0"/>
        <v>NC21-6610-Cornell_WinterOatPeaIntercrop_2024_Ithaca-PLOT_99</v>
      </c>
      <c r="C10" s="25">
        <f t="shared" si="1"/>
        <v>834</v>
      </c>
      <c r="F10" t="s">
        <v>240</v>
      </c>
      <c r="G10" t="s">
        <v>239</v>
      </c>
      <c r="H10">
        <v>505</v>
      </c>
    </row>
    <row r="11" spans="1:8">
      <c r="A11" s="25" t="s">
        <v>61</v>
      </c>
      <c r="B11" s="25" t="str">
        <f t="shared" si="0"/>
        <v>NF99414-Cornell_WinterOatPeaIntercrop_2024_Ithaca-PLOT_378</v>
      </c>
      <c r="C11" s="25">
        <f t="shared" si="1"/>
        <v>533</v>
      </c>
      <c r="F11" t="s">
        <v>242</v>
      </c>
      <c r="G11" t="s">
        <v>241</v>
      </c>
      <c r="H11">
        <v>696</v>
      </c>
    </row>
    <row r="12" spans="1:8">
      <c r="A12" s="25" t="s">
        <v>62</v>
      </c>
      <c r="B12" s="25" t="str">
        <f t="shared" si="0"/>
        <v>NF13-4083-4_6-Cornell_WinterOatPeaIntercrop_2024_Ithaca-PLOT_83</v>
      </c>
      <c r="C12" s="25">
        <f t="shared" si="1"/>
        <v>501</v>
      </c>
      <c r="F12" t="s">
        <v>109</v>
      </c>
      <c r="G12" t="s">
        <v>243</v>
      </c>
      <c r="H12">
        <v>663</v>
      </c>
    </row>
    <row r="13" spans="1:8">
      <c r="A13" s="25" t="s">
        <v>63</v>
      </c>
      <c r="B13" s="25" t="str">
        <f t="shared" si="0"/>
        <v>AURORA-Cornell_WinterOatPeaIntercrop_2024_Ithaca-PLOT_24</v>
      </c>
      <c r="C13" s="25">
        <f t="shared" si="1"/>
        <v>888</v>
      </c>
      <c r="F13" t="s">
        <v>99</v>
      </c>
      <c r="G13" t="s">
        <v>244</v>
      </c>
      <c r="H13">
        <v>868</v>
      </c>
    </row>
    <row r="14" spans="1:8">
      <c r="A14" s="25" t="s">
        <v>64</v>
      </c>
      <c r="B14" s="25" t="str">
        <f t="shared" si="0"/>
        <v>GERARD224-Cornell_WinterOatPeaIntercrop_2024_Ithaca-PLOT_218</v>
      </c>
      <c r="C14" s="25">
        <f t="shared" si="1"/>
        <v>940</v>
      </c>
      <c r="F14" t="s">
        <v>64</v>
      </c>
      <c r="G14" t="s">
        <v>245</v>
      </c>
      <c r="H14">
        <v>940</v>
      </c>
    </row>
    <row r="15" spans="1:8">
      <c r="A15" s="25" t="s">
        <v>67</v>
      </c>
      <c r="B15" s="25" t="str">
        <f t="shared" si="0"/>
        <v>NC20-4551-Cornell_WinterOatPeaIntercrop_2024_Ithaca-PLOT_50</v>
      </c>
      <c r="C15" s="25">
        <f t="shared" si="1"/>
        <v>815</v>
      </c>
      <c r="F15" t="s">
        <v>73</v>
      </c>
      <c r="G15" t="s">
        <v>246</v>
      </c>
      <c r="H15">
        <v>1031</v>
      </c>
    </row>
    <row r="16" spans="1:8">
      <c r="A16" s="25" t="s">
        <v>86</v>
      </c>
      <c r="B16" s="25" t="str">
        <f t="shared" si="0"/>
        <v>NC21-6429-Cornell_WinterOatPeaIntercrop_2024_Ithaca-PLOT_16</v>
      </c>
      <c r="C16" s="25">
        <f t="shared" si="1"/>
        <v>1027</v>
      </c>
      <c r="F16" t="s">
        <v>95</v>
      </c>
      <c r="G16" t="s">
        <v>247</v>
      </c>
      <c r="H16">
        <v>719</v>
      </c>
    </row>
    <row r="17" spans="1:8">
      <c r="A17" s="25" t="s">
        <v>73</v>
      </c>
      <c r="B17" s="25" t="str">
        <f t="shared" si="0"/>
        <v>Gerard 227-Cornell_WinterOatPeaIntercrop_2024_Ithaca-PLOT_250</v>
      </c>
      <c r="C17" s="25">
        <f t="shared" si="1"/>
        <v>1031</v>
      </c>
      <c r="F17" t="s">
        <v>112</v>
      </c>
      <c r="G17" t="s">
        <v>248</v>
      </c>
      <c r="H17">
        <v>759</v>
      </c>
    </row>
    <row r="18" spans="1:8">
      <c r="A18" s="25" t="s">
        <v>70</v>
      </c>
      <c r="B18" s="25" t="str">
        <f t="shared" si="0"/>
        <v>NC20-4526-Cornell_WinterOatPeaIntercrop_2024_Ithaca-PLOT_32</v>
      </c>
      <c r="C18" s="25">
        <f t="shared" si="1"/>
        <v>1055</v>
      </c>
      <c r="F18" t="s">
        <v>66</v>
      </c>
      <c r="G18" t="s">
        <v>249</v>
      </c>
      <c r="H18">
        <v>710</v>
      </c>
    </row>
    <row r="19" spans="1:8">
      <c r="A19" s="25" t="s">
        <v>69</v>
      </c>
      <c r="B19" s="25" t="str">
        <f t="shared" si="0"/>
        <v>NC20-4702-Cornell_WinterOatPeaIntercrop_2024_Ithaca-PLOT_192</v>
      </c>
      <c r="C19" s="25">
        <f t="shared" si="1"/>
        <v>832</v>
      </c>
      <c r="F19" t="s">
        <v>15</v>
      </c>
      <c r="G19" t="s">
        <v>250</v>
      </c>
      <c r="H19">
        <v>732</v>
      </c>
    </row>
    <row r="20" spans="1:8">
      <c r="A20" s="25" t="s">
        <v>93</v>
      </c>
      <c r="B20" s="25" t="str">
        <f t="shared" si="0"/>
        <v>NC21-6475-Cornell_WinterOatPeaIntercrop_2024_Ithaca-PLOT_77</v>
      </c>
      <c r="C20" s="25">
        <f t="shared" si="1"/>
        <v>722</v>
      </c>
      <c r="F20" t="s">
        <v>252</v>
      </c>
      <c r="G20" t="s">
        <v>251</v>
      </c>
      <c r="H20">
        <v>823</v>
      </c>
    </row>
    <row r="21" spans="1:8">
      <c r="A21" s="25" t="s">
        <v>94</v>
      </c>
      <c r="B21" s="25" t="str">
        <f t="shared" si="0"/>
        <v>OKAY-Cornell_WinterOatPeaIntercrop_2024_Ithaca-PLOT_14</v>
      </c>
      <c r="C21" s="25">
        <f t="shared" si="1"/>
        <v>859</v>
      </c>
      <c r="F21" t="s">
        <v>254</v>
      </c>
      <c r="G21" t="s">
        <v>253</v>
      </c>
      <c r="H21">
        <v>763</v>
      </c>
    </row>
    <row r="22" spans="1:8">
      <c r="A22" s="25" t="s">
        <v>95</v>
      </c>
      <c r="B22" s="25" t="str">
        <f t="shared" si="0"/>
        <v>HARRISON-Cornell_WinterOatPeaIntercrop_2024_Ithaca-PLOT_56</v>
      </c>
      <c r="C22" s="25">
        <f t="shared" si="1"/>
        <v>719</v>
      </c>
      <c r="F22" t="s">
        <v>101</v>
      </c>
      <c r="G22" t="s">
        <v>255</v>
      </c>
      <c r="H22">
        <v>845</v>
      </c>
    </row>
    <row r="23" spans="1:8">
      <c r="A23" s="25" t="s">
        <v>96</v>
      </c>
      <c r="B23" s="25" t="str">
        <f t="shared" si="0"/>
        <v>NF99414-1-Cornell_WinterOatPeaIntercrop_2024_Ithaca-PLOT_174</v>
      </c>
      <c r="C23" s="25">
        <f t="shared" si="1"/>
        <v>741</v>
      </c>
      <c r="F23" t="s">
        <v>257</v>
      </c>
      <c r="G23" t="s">
        <v>256</v>
      </c>
      <c r="H23">
        <v>798</v>
      </c>
    </row>
    <row r="24" spans="1:8">
      <c r="A24" s="25" t="s">
        <v>97</v>
      </c>
      <c r="B24" s="25" t="str">
        <f t="shared" si="0"/>
        <v>SCLA17080SBS-4-2-Cornell_WinterOatPeaIntercrop_2024_Ithaca-PLOT_316</v>
      </c>
      <c r="C24" s="25">
        <f t="shared" si="1"/>
        <v>822</v>
      </c>
      <c r="F24" t="s">
        <v>259</v>
      </c>
      <c r="G24" t="s">
        <v>258</v>
      </c>
      <c r="H24">
        <v>860</v>
      </c>
    </row>
    <row r="25" spans="1:8">
      <c r="A25" s="25" t="s">
        <v>98</v>
      </c>
      <c r="B25" s="25" t="str">
        <f t="shared" si="0"/>
        <v>NC20-4700-Cornell_WinterOatPeaIntercrop_2024_Ithaca-PLOT_364</v>
      </c>
      <c r="C25" s="25">
        <f t="shared" si="1"/>
        <v>717</v>
      </c>
      <c r="F25" t="s">
        <v>107</v>
      </c>
      <c r="G25" t="s">
        <v>260</v>
      </c>
      <c r="H25">
        <v>772</v>
      </c>
    </row>
    <row r="26" spans="1:8">
      <c r="A26" s="25" t="s">
        <v>99</v>
      </c>
      <c r="B26" s="25" t="str">
        <f t="shared" si="0"/>
        <v>FLLA17088-77-Cornell_WinterOatPeaIntercrop_2024_Ithaca-PLOT_48</v>
      </c>
      <c r="C26" s="25">
        <f t="shared" si="1"/>
        <v>868</v>
      </c>
      <c r="F26" t="s">
        <v>113</v>
      </c>
      <c r="G26" t="s">
        <v>261</v>
      </c>
      <c r="H26">
        <v>595</v>
      </c>
    </row>
    <row r="27" spans="1:8">
      <c r="A27" s="25" t="s">
        <v>101</v>
      </c>
      <c r="B27" s="25" t="str">
        <f t="shared" si="0"/>
        <v>LA17069SBSS-2-1-Cornell_WinterOatPeaIntercrop_2024_Ithaca-PLOT_244</v>
      </c>
      <c r="C27" s="25">
        <f t="shared" si="1"/>
        <v>845</v>
      </c>
      <c r="F27" t="s">
        <v>263</v>
      </c>
      <c r="G27" t="s">
        <v>262</v>
      </c>
      <c r="H27">
        <v>693</v>
      </c>
    </row>
    <row r="28" spans="1:8">
      <c r="A28" s="25" t="s">
        <v>80</v>
      </c>
      <c r="B28" s="25" t="str">
        <f t="shared" si="0"/>
        <v>NC21-6576-Cornell_WinterOatPeaIntercrop_2024_Ithaca-PLOT_85</v>
      </c>
      <c r="C28" s="25">
        <f t="shared" si="1"/>
        <v>640</v>
      </c>
      <c r="F28" t="s">
        <v>14</v>
      </c>
      <c r="G28" t="s">
        <v>264</v>
      </c>
      <c r="H28">
        <v>997</v>
      </c>
    </row>
    <row r="29" spans="1:8">
      <c r="A29" s="25" t="s">
        <v>102</v>
      </c>
      <c r="B29" s="25" t="str">
        <f t="shared" si="0"/>
        <v>NC19-3542-Cornell_WinterOatPeaIntercrop_2024_Ithaca-PLOT_261</v>
      </c>
      <c r="C29" s="25">
        <f t="shared" si="1"/>
        <v>865</v>
      </c>
      <c r="F29" t="s">
        <v>46</v>
      </c>
      <c r="G29" t="s">
        <v>265</v>
      </c>
      <c r="H29">
        <v>764</v>
      </c>
    </row>
    <row r="30" spans="1:8">
      <c r="A30" s="25" t="s">
        <v>103</v>
      </c>
      <c r="B30" s="25" t="str">
        <f t="shared" si="0"/>
        <v>NF12AS-107-4_4-Cornell_WinterOatPeaIntercrop_2024_Ithaca-PLOT_359</v>
      </c>
      <c r="C30" s="25">
        <f t="shared" si="1"/>
        <v>954</v>
      </c>
      <c r="F30" t="s">
        <v>110</v>
      </c>
      <c r="G30" t="s">
        <v>266</v>
      </c>
      <c r="H30">
        <v>736</v>
      </c>
    </row>
    <row r="31" spans="1:8">
      <c r="A31" s="25" t="s">
        <v>104</v>
      </c>
      <c r="B31" s="25" t="str">
        <f t="shared" si="0"/>
        <v>TX18OCS9104-Cornell_WinterOatPeaIntercrop_2024_Ithaca-PLOT_37</v>
      </c>
      <c r="C31" s="25">
        <f t="shared" si="1"/>
        <v>930</v>
      </c>
      <c r="F31" t="s">
        <v>47</v>
      </c>
      <c r="G31" t="s">
        <v>267</v>
      </c>
      <c r="H31">
        <v>687</v>
      </c>
    </row>
    <row r="32" spans="1:8">
      <c r="A32" s="25" t="s">
        <v>105</v>
      </c>
      <c r="B32" s="25" t="str">
        <f t="shared" si="0"/>
        <v>NF13-4173-4_5-Cornell_WinterOatPeaIntercrop_2024_Ithaca-PLOT_116</v>
      </c>
      <c r="C32" s="25">
        <f t="shared" si="1"/>
        <v>772</v>
      </c>
      <c r="F32" t="s">
        <v>102</v>
      </c>
      <c r="G32" t="s">
        <v>268</v>
      </c>
      <c r="H32">
        <v>865</v>
      </c>
    </row>
    <row r="33" spans="1:8">
      <c r="A33" s="25" t="s">
        <v>90</v>
      </c>
      <c r="B33" s="25" t="str">
        <f t="shared" si="0"/>
        <v>NORA-Cornell_WinterOatPeaIntercrop_2024_Ithaca-PLOT_133</v>
      </c>
      <c r="C33" s="25">
        <f t="shared" si="1"/>
        <v>673</v>
      </c>
      <c r="F33" t="s">
        <v>106</v>
      </c>
      <c r="G33" t="s">
        <v>269</v>
      </c>
      <c r="H33">
        <v>739</v>
      </c>
    </row>
    <row r="34" spans="1:8">
      <c r="A34" s="25" t="s">
        <v>106</v>
      </c>
      <c r="B34" s="25" t="str">
        <f t="shared" si="0"/>
        <v>NC20-4402-Cornell_WinterOatPeaIntercrop_2024_Ithaca-PLOT_142</v>
      </c>
      <c r="C34" s="25">
        <f t="shared" si="1"/>
        <v>739</v>
      </c>
      <c r="F34" t="s">
        <v>59</v>
      </c>
      <c r="G34" t="s">
        <v>270</v>
      </c>
      <c r="H34">
        <v>1151</v>
      </c>
    </row>
    <row r="35" spans="1:8">
      <c r="A35" s="25" t="s">
        <v>81</v>
      </c>
      <c r="B35" s="25" t="str">
        <f t="shared" si="0"/>
        <v>NF13-4126-4_3-Cornell_WinterOatPeaIntercrop_2024_Ithaca-PLOT_145</v>
      </c>
      <c r="C35" s="25">
        <f t="shared" si="1"/>
        <v>757</v>
      </c>
      <c r="F35" t="s">
        <v>70</v>
      </c>
      <c r="G35" t="s">
        <v>271</v>
      </c>
      <c r="H35">
        <v>1055</v>
      </c>
    </row>
    <row r="36" spans="1:8">
      <c r="A36" s="25" t="s">
        <v>83</v>
      </c>
      <c r="B36" s="25" t="str">
        <f t="shared" si="0"/>
        <v>NF12AS-100-4_2-Cornell_WinterOatPeaIntercrop_2024_Ithaca-PLOT_228</v>
      </c>
      <c r="C36" s="25">
        <f t="shared" si="1"/>
        <v>798</v>
      </c>
      <c r="F36" t="s">
        <v>67</v>
      </c>
      <c r="G36" t="s">
        <v>272</v>
      </c>
      <c r="H36">
        <v>815</v>
      </c>
    </row>
    <row r="37" spans="1:8">
      <c r="A37" s="25" t="s">
        <v>107</v>
      </c>
      <c r="B37" s="25" t="str">
        <f t="shared" si="0"/>
        <v>LA17129SBSS-8-1-Cornell_WinterOatPeaIntercrop_2024_Ithaca-PLOT_165</v>
      </c>
      <c r="C37" s="25">
        <f t="shared" si="1"/>
        <v>772</v>
      </c>
      <c r="F37" t="s">
        <v>98</v>
      </c>
      <c r="G37" t="s">
        <v>273</v>
      </c>
      <c r="H37">
        <v>717</v>
      </c>
    </row>
    <row r="38" spans="1:8">
      <c r="A38" s="25" t="s">
        <v>78</v>
      </c>
      <c r="B38" s="25" t="str">
        <f t="shared" si="0"/>
        <v>NF12AS-108-4_1-Cornell_WinterOatPeaIntercrop_2024_Ithaca-PLOT_161</v>
      </c>
      <c r="C38" s="25">
        <f t="shared" si="1"/>
        <v>711</v>
      </c>
      <c r="F38" t="s">
        <v>69</v>
      </c>
      <c r="G38" t="s">
        <v>274</v>
      </c>
      <c r="H38">
        <v>832</v>
      </c>
    </row>
    <row r="39" spans="1:8">
      <c r="A39" s="25" t="s">
        <v>108</v>
      </c>
      <c r="B39" s="25" t="str">
        <f t="shared" si="0"/>
        <v>TX18OCS9125-Cornell_WinterOatPeaIntercrop_2024_Ithaca-PLOT_10</v>
      </c>
      <c r="C39" s="25">
        <f t="shared" si="1"/>
        <v>808</v>
      </c>
      <c r="F39" t="s">
        <v>276</v>
      </c>
      <c r="G39" t="s">
        <v>275</v>
      </c>
      <c r="H39">
        <v>739</v>
      </c>
    </row>
    <row r="40" spans="1:8">
      <c r="A40" s="25" t="s">
        <v>109</v>
      </c>
      <c r="B40" s="25" t="str">
        <f t="shared" si="0"/>
        <v>FLLA17088-61-Cornell_WinterOatPeaIntercrop_2024_Ithaca-PLOT_339</v>
      </c>
      <c r="C40" s="25">
        <f t="shared" si="1"/>
        <v>663</v>
      </c>
      <c r="F40" t="s">
        <v>86</v>
      </c>
      <c r="G40" t="s">
        <v>277</v>
      </c>
      <c r="H40">
        <v>1027</v>
      </c>
    </row>
    <row r="41" spans="1:8">
      <c r="A41" s="25" t="s">
        <v>110</v>
      </c>
      <c r="B41" s="25" t="str">
        <f t="shared" si="0"/>
        <v>NC17-6440-Cornell_WinterOatPeaIntercrop_2024_Ithaca-PLOT_306</v>
      </c>
      <c r="C41" s="25">
        <f t="shared" si="1"/>
        <v>736</v>
      </c>
      <c r="F41" t="s">
        <v>93</v>
      </c>
      <c r="G41" t="s">
        <v>278</v>
      </c>
      <c r="H41">
        <v>722</v>
      </c>
    </row>
    <row r="42" spans="1:8">
      <c r="A42" s="25" t="s">
        <v>68</v>
      </c>
      <c r="B42" s="25" t="str">
        <f t="shared" si="0"/>
        <v>NF12AS-107-4_2-1-Cornell_WinterOatPeaIntercrop_2024_Ithaca-PLOT_258</v>
      </c>
      <c r="C42" s="25">
        <f t="shared" si="1"/>
        <v>728</v>
      </c>
      <c r="F42" t="s">
        <v>52</v>
      </c>
      <c r="G42" t="s">
        <v>279</v>
      </c>
      <c r="H42">
        <v>778</v>
      </c>
    </row>
    <row r="43" spans="1:8">
      <c r="A43" s="25" t="s">
        <v>111</v>
      </c>
      <c r="B43" s="25" t="str">
        <f t="shared" si="0"/>
        <v>NF01404A-Cornell_WinterOatPeaIntercrop_2024_Ithaca-PLOT_160</v>
      </c>
      <c r="C43" s="25">
        <f t="shared" si="1"/>
        <v>800</v>
      </c>
      <c r="F43" t="s">
        <v>65</v>
      </c>
      <c r="G43" t="s">
        <v>280</v>
      </c>
      <c r="H43">
        <v>785</v>
      </c>
    </row>
    <row r="44" spans="1:8">
      <c r="A44" s="25" t="s">
        <v>112</v>
      </c>
      <c r="B44" s="25" t="str">
        <f t="shared" si="0"/>
        <v>HORIZON201-Cornell_WinterOatPeaIntercrop_2024_Ithaca-PLOT_199</v>
      </c>
      <c r="C44" s="25">
        <f t="shared" si="1"/>
        <v>759</v>
      </c>
      <c r="F44" t="s">
        <v>282</v>
      </c>
      <c r="G44" t="s">
        <v>281</v>
      </c>
      <c r="H44">
        <v>666</v>
      </c>
    </row>
    <row r="45" spans="1:8">
      <c r="A45" s="25" t="s">
        <v>113</v>
      </c>
      <c r="B45" s="25" t="str">
        <f t="shared" si="0"/>
        <v>LA17153SBSS-46-1-Cornell_WinterOatPeaIntercrop_2024_Ithaca-PLOT_118</v>
      </c>
      <c r="C45" s="25">
        <f t="shared" si="1"/>
        <v>595</v>
      </c>
      <c r="F45" t="s">
        <v>284</v>
      </c>
      <c r="G45" t="s">
        <v>283</v>
      </c>
      <c r="H45">
        <v>725</v>
      </c>
    </row>
    <row r="46" spans="1:8">
      <c r="A46" s="25" t="s">
        <v>114</v>
      </c>
      <c r="B46" s="25" t="str">
        <f t="shared" si="0"/>
        <v>NC21-6511-Cornell_WinterOatPeaIntercrop_2024_Ithaca-PLOT_367</v>
      </c>
      <c r="C46" s="25">
        <f t="shared" si="1"/>
        <v>765</v>
      </c>
      <c r="F46" t="s">
        <v>114</v>
      </c>
      <c r="G46" t="s">
        <v>285</v>
      </c>
      <c r="H46">
        <v>765</v>
      </c>
    </row>
    <row r="47" spans="1:8">
      <c r="A47" s="25" t="s">
        <v>65</v>
      </c>
      <c r="B47" s="25" t="str">
        <f t="shared" si="0"/>
        <v>NC21-6497-Cornell_WinterOatPeaIntercrop_2024_Ithaca-PLOT_65</v>
      </c>
      <c r="C47" s="25">
        <f t="shared" si="1"/>
        <v>785</v>
      </c>
      <c r="F47" t="s">
        <v>80</v>
      </c>
      <c r="G47" t="s">
        <v>286</v>
      </c>
      <c r="H47">
        <v>640</v>
      </c>
    </row>
    <row r="48" spans="1:8">
      <c r="F48" t="s">
        <v>82</v>
      </c>
      <c r="G48" t="s">
        <v>287</v>
      </c>
      <c r="H48">
        <v>669</v>
      </c>
    </row>
    <row r="49" spans="6:8">
      <c r="F49" t="s">
        <v>60</v>
      </c>
      <c r="G49" t="s">
        <v>288</v>
      </c>
      <c r="H49">
        <v>834</v>
      </c>
    </row>
    <row r="50" spans="6:8">
      <c r="F50" t="s">
        <v>290</v>
      </c>
      <c r="G50" t="s">
        <v>289</v>
      </c>
      <c r="H50">
        <v>769</v>
      </c>
    </row>
    <row r="51" spans="6:8">
      <c r="F51" t="s">
        <v>292</v>
      </c>
      <c r="G51" t="s">
        <v>291</v>
      </c>
      <c r="H51">
        <v>799</v>
      </c>
    </row>
    <row r="52" spans="6:8">
      <c r="F52" t="s">
        <v>111</v>
      </c>
      <c r="G52" t="s">
        <v>293</v>
      </c>
      <c r="H52">
        <v>800</v>
      </c>
    </row>
    <row r="53" spans="6:8">
      <c r="F53" t="s">
        <v>87</v>
      </c>
      <c r="G53" t="s">
        <v>294</v>
      </c>
      <c r="H53">
        <v>558</v>
      </c>
    </row>
    <row r="54" spans="6:8">
      <c r="F54" t="s">
        <v>83</v>
      </c>
      <c r="G54" t="s">
        <v>295</v>
      </c>
      <c r="H54">
        <v>798</v>
      </c>
    </row>
    <row r="55" spans="6:8">
      <c r="F55" t="s">
        <v>68</v>
      </c>
      <c r="G55" t="s">
        <v>296</v>
      </c>
      <c r="H55">
        <v>728</v>
      </c>
    </row>
    <row r="56" spans="6:8">
      <c r="F56" t="s">
        <v>103</v>
      </c>
      <c r="G56" t="s">
        <v>297</v>
      </c>
      <c r="H56">
        <v>954</v>
      </c>
    </row>
    <row r="57" spans="6:8">
      <c r="F57" t="s">
        <v>78</v>
      </c>
      <c r="G57" t="s">
        <v>298</v>
      </c>
      <c r="H57">
        <v>711</v>
      </c>
    </row>
    <row r="58" spans="6:8">
      <c r="F58" t="s">
        <v>77</v>
      </c>
      <c r="G58" t="s">
        <v>299</v>
      </c>
      <c r="H58">
        <v>669</v>
      </c>
    </row>
    <row r="59" spans="6:8">
      <c r="F59" t="s">
        <v>301</v>
      </c>
      <c r="G59" t="s">
        <v>300</v>
      </c>
      <c r="H59">
        <v>767</v>
      </c>
    </row>
    <row r="60" spans="6:8">
      <c r="F60" t="s">
        <v>303</v>
      </c>
      <c r="G60" t="s">
        <v>302</v>
      </c>
      <c r="H60">
        <v>634</v>
      </c>
    </row>
    <row r="61" spans="6:8">
      <c r="F61" t="s">
        <v>53</v>
      </c>
      <c r="G61" t="s">
        <v>304</v>
      </c>
      <c r="H61">
        <v>812</v>
      </c>
    </row>
    <row r="62" spans="6:8">
      <c r="F62" t="s">
        <v>306</v>
      </c>
      <c r="G62" t="s">
        <v>305</v>
      </c>
      <c r="H62">
        <v>815</v>
      </c>
    </row>
    <row r="63" spans="6:8">
      <c r="F63" t="s">
        <v>62</v>
      </c>
      <c r="G63" t="s">
        <v>307</v>
      </c>
      <c r="H63">
        <v>501</v>
      </c>
    </row>
    <row r="64" spans="6:8">
      <c r="F64" t="s">
        <v>71</v>
      </c>
      <c r="G64" t="s">
        <v>308</v>
      </c>
      <c r="H64">
        <v>587</v>
      </c>
    </row>
    <row r="65" spans="6:8">
      <c r="F65" t="s">
        <v>85</v>
      </c>
      <c r="G65" t="s">
        <v>309</v>
      </c>
      <c r="H65">
        <v>760</v>
      </c>
    </row>
    <row r="66" spans="6:8">
      <c r="F66" t="s">
        <v>81</v>
      </c>
      <c r="G66" t="s">
        <v>310</v>
      </c>
      <c r="H66">
        <v>757</v>
      </c>
    </row>
    <row r="67" spans="6:8">
      <c r="F67" t="s">
        <v>76</v>
      </c>
      <c r="G67" t="s">
        <v>311</v>
      </c>
      <c r="H67">
        <v>732</v>
      </c>
    </row>
    <row r="68" spans="6:8">
      <c r="F68" t="s">
        <v>58</v>
      </c>
      <c r="G68" t="s">
        <v>312</v>
      </c>
      <c r="H68">
        <v>792</v>
      </c>
    </row>
    <row r="69" spans="6:8">
      <c r="F69" t="s">
        <v>84</v>
      </c>
      <c r="G69" t="s">
        <v>313</v>
      </c>
      <c r="H69">
        <v>749</v>
      </c>
    </row>
    <row r="70" spans="6:8">
      <c r="F70" t="s">
        <v>105</v>
      </c>
      <c r="G70" t="s">
        <v>314</v>
      </c>
      <c r="H70">
        <v>772</v>
      </c>
    </row>
    <row r="71" spans="6:8">
      <c r="F71" t="s">
        <v>316</v>
      </c>
      <c r="G71" t="s">
        <v>315</v>
      </c>
      <c r="H71">
        <v>728</v>
      </c>
    </row>
    <row r="72" spans="6:8">
      <c r="F72" t="s">
        <v>57</v>
      </c>
      <c r="G72" t="s">
        <v>317</v>
      </c>
      <c r="H72">
        <v>776</v>
      </c>
    </row>
    <row r="73" spans="6:8">
      <c r="F73" t="s">
        <v>54</v>
      </c>
      <c r="G73" t="s">
        <v>318</v>
      </c>
      <c r="H73">
        <v>664</v>
      </c>
    </row>
    <row r="74" spans="6:8">
      <c r="F74" t="s">
        <v>74</v>
      </c>
      <c r="G74" t="s">
        <v>319</v>
      </c>
      <c r="H74">
        <v>918</v>
      </c>
    </row>
    <row r="75" spans="6:8">
      <c r="F75" t="s">
        <v>79</v>
      </c>
      <c r="G75" t="s">
        <v>320</v>
      </c>
      <c r="H75">
        <v>748</v>
      </c>
    </row>
    <row r="76" spans="6:8">
      <c r="F76" t="s">
        <v>72</v>
      </c>
      <c r="G76" t="s">
        <v>321</v>
      </c>
      <c r="H76">
        <v>762</v>
      </c>
    </row>
    <row r="77" spans="6:8">
      <c r="F77" t="s">
        <v>323</v>
      </c>
      <c r="G77" t="s">
        <v>322</v>
      </c>
      <c r="H77">
        <v>776</v>
      </c>
    </row>
    <row r="78" spans="6:8">
      <c r="F78" t="s">
        <v>89</v>
      </c>
      <c r="G78" t="s">
        <v>324</v>
      </c>
      <c r="H78">
        <v>777</v>
      </c>
    </row>
    <row r="79" spans="6:8">
      <c r="F79" t="s">
        <v>88</v>
      </c>
      <c r="G79" t="s">
        <v>325</v>
      </c>
      <c r="H79">
        <v>651</v>
      </c>
    </row>
    <row r="80" spans="6:8">
      <c r="F80" t="s">
        <v>96</v>
      </c>
      <c r="G80" t="s">
        <v>326</v>
      </c>
      <c r="H80">
        <v>741</v>
      </c>
    </row>
    <row r="81" spans="6:8">
      <c r="F81" t="s">
        <v>61</v>
      </c>
      <c r="G81" t="s">
        <v>327</v>
      </c>
      <c r="H81">
        <v>533</v>
      </c>
    </row>
    <row r="82" spans="6:8">
      <c r="F82" t="s">
        <v>90</v>
      </c>
      <c r="G82" t="s">
        <v>328</v>
      </c>
      <c r="H82">
        <v>673</v>
      </c>
    </row>
    <row r="83" spans="6:8">
      <c r="F83" t="s">
        <v>94</v>
      </c>
      <c r="G83" t="s">
        <v>329</v>
      </c>
      <c r="H83">
        <v>859</v>
      </c>
    </row>
    <row r="84" spans="6:8">
      <c r="F84" t="s">
        <v>0</v>
      </c>
      <c r="G84" t="s">
        <v>330</v>
      </c>
      <c r="H84">
        <v>846</v>
      </c>
    </row>
    <row r="85" spans="6:8">
      <c r="F85" t="s">
        <v>56</v>
      </c>
      <c r="G85" t="s">
        <v>331</v>
      </c>
      <c r="H85">
        <v>757</v>
      </c>
    </row>
    <row r="86" spans="6:8">
      <c r="F86" t="s">
        <v>55</v>
      </c>
      <c r="G86" t="s">
        <v>332</v>
      </c>
      <c r="H86">
        <v>634</v>
      </c>
    </row>
    <row r="87" spans="6:8">
      <c r="F87" t="s">
        <v>334</v>
      </c>
      <c r="G87" t="s">
        <v>333</v>
      </c>
      <c r="H87">
        <v>638</v>
      </c>
    </row>
    <row r="88" spans="6:8">
      <c r="F88" t="s">
        <v>75</v>
      </c>
      <c r="G88" t="s">
        <v>335</v>
      </c>
      <c r="H88">
        <v>847</v>
      </c>
    </row>
    <row r="89" spans="6:8">
      <c r="F89" t="s">
        <v>97</v>
      </c>
      <c r="G89" t="s">
        <v>336</v>
      </c>
      <c r="H89">
        <v>822</v>
      </c>
    </row>
    <row r="90" spans="6:8">
      <c r="F90" t="s">
        <v>16</v>
      </c>
      <c r="G90" t="s">
        <v>337</v>
      </c>
      <c r="H90">
        <v>797</v>
      </c>
    </row>
    <row r="91" spans="6:8">
      <c r="F91" t="s">
        <v>339</v>
      </c>
      <c r="G91" t="s">
        <v>338</v>
      </c>
      <c r="H91">
        <v>744</v>
      </c>
    </row>
    <row r="92" spans="6:8">
      <c r="F92" t="s">
        <v>104</v>
      </c>
      <c r="G92" t="s">
        <v>340</v>
      </c>
      <c r="H92">
        <v>930</v>
      </c>
    </row>
    <row r="93" spans="6:8">
      <c r="F93" t="s">
        <v>108</v>
      </c>
      <c r="G93" t="s">
        <v>341</v>
      </c>
      <c r="H93">
        <v>808</v>
      </c>
    </row>
    <row r="94" spans="6:8">
      <c r="F94" t="s">
        <v>17</v>
      </c>
      <c r="G94" t="s">
        <v>342</v>
      </c>
      <c r="H94">
        <v>865</v>
      </c>
    </row>
    <row r="95" spans="6:8">
      <c r="F95" t="s">
        <v>344</v>
      </c>
      <c r="G95" t="s">
        <v>343</v>
      </c>
      <c r="H95">
        <v>838</v>
      </c>
    </row>
  </sheetData>
  <conditionalFormatting sqref="A2:A47">
    <cfRule type="duplicateValues" dxfId="0" priority="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original</vt:lpstr>
      <vt:lpstr>accession_plan</vt:lpstr>
      <vt:lpstr>new seedlots</vt:lpstr>
      <vt:lpstr>accession upload</vt:lpstr>
      <vt:lpstr>pea</vt:lpstr>
      <vt:lpstr>map</vt:lpstr>
      <vt:lpstr>plot_layout</vt:lpstr>
      <vt:lpstr>Guard </vt:lpstr>
      <vt:lpstr>Sheet8</vt:lpstr>
      <vt:lpstr>Sheet1</vt:lpstr>
      <vt:lpstr>Sheet7</vt:lpstr>
      <vt:lpstr>'Guard '!Print_Area</vt:lpstr>
      <vt:lpstr>map!Print_Area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T. Hyde</dc:creator>
  <cp:lastModifiedBy>Peter T. Hyde</cp:lastModifiedBy>
  <cp:lastPrinted>2025-10-16T14:50:53Z</cp:lastPrinted>
  <dcterms:created xsi:type="dcterms:W3CDTF">2025-08-13T16:40:44Z</dcterms:created>
  <dcterms:modified xsi:type="dcterms:W3CDTF">2025-11-19T21:38:04Z</dcterms:modified>
</cp:coreProperties>
</file>