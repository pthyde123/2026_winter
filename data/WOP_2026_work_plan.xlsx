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08222B35-7DA0-4336-833E-A39F8FF8E044}" xr6:coauthVersionLast="47" xr6:coauthVersionMax="47" xr10:uidLastSave="{00000000-0000-0000-0000-000000000000}"/>
  <bookViews>
    <workbookView xWindow="-120" yWindow="-120" windowWidth="38640" windowHeight="21120" xr2:uid="{58B3EBD2-612C-4E71-A750-449DC18E057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<sst xmlns="http://schemas.openxmlformats.org/spreadsheetml/2006/main" count="103" uniqueCount="66">
  <si>
    <t>order</t>
  </si>
  <si>
    <t>time_point</t>
  </si>
  <si>
    <t>name</t>
  </si>
  <si>
    <t>sub_name</t>
  </si>
  <si>
    <t>traits</t>
  </si>
  <si>
    <t>assigned_to</t>
  </si>
  <si>
    <t>start</t>
  </si>
  <si>
    <t>end</t>
  </si>
  <si>
    <t>days</t>
  </si>
  <si>
    <t>comments</t>
  </si>
  <si>
    <t>UAV 0</t>
  </si>
  <si>
    <t>Image</t>
  </si>
  <si>
    <t>Peter</t>
  </si>
  <si>
    <t>Stand Count</t>
  </si>
  <si>
    <t>Stand</t>
  </si>
  <si>
    <t>establishment</t>
  </si>
  <si>
    <t>Growth 1</t>
  </si>
  <si>
    <t>Height</t>
  </si>
  <si>
    <t>oat_height_t1, pea_height_t1</t>
  </si>
  <si>
    <t>UAV 1</t>
  </si>
  <si>
    <t>UAV</t>
  </si>
  <si>
    <t>Research 1</t>
  </si>
  <si>
    <t>Calibrator 1</t>
  </si>
  <si>
    <t>Biomass</t>
  </si>
  <si>
    <t>oat_biomass_t1, pea_biomass_t1, weed_biomass_t1</t>
  </si>
  <si>
    <t>Maintenance 1</t>
  </si>
  <si>
    <t>Data, Field</t>
  </si>
  <si>
    <t>Flowering</t>
  </si>
  <si>
    <t>Phenology</t>
  </si>
  <si>
    <t>pea_flowering</t>
  </si>
  <si>
    <t>Adrian</t>
  </si>
  <si>
    <t>Heading</t>
  </si>
  <si>
    <t>oat_heading</t>
  </si>
  <si>
    <t>Growth 2</t>
  </si>
  <si>
    <t>oat_height_t2, pea_height_t2</t>
  </si>
  <si>
    <t>UAV 2</t>
  </si>
  <si>
    <t>Research 2</t>
  </si>
  <si>
    <t>PM3D Research</t>
  </si>
  <si>
    <t>Calibrator 2</t>
  </si>
  <si>
    <t>PM3D Calibrator</t>
  </si>
  <si>
    <t>oat_biomass_t2, pea_biomass_t2, weed_biomass_t2</t>
  </si>
  <si>
    <t>Maintenance 2</t>
  </si>
  <si>
    <t>Maturity</t>
  </si>
  <si>
    <t>maturity</t>
  </si>
  <si>
    <t>Growth 3</t>
  </si>
  <si>
    <t>Height, canopy</t>
  </si>
  <si>
    <t>oat_height_t3, pea_height_t3</t>
  </si>
  <si>
    <t>UAV 3</t>
  </si>
  <si>
    <t>Research 3</t>
  </si>
  <si>
    <t>Calibrator 3</t>
  </si>
  <si>
    <t>oat_biomass_t3, pea_biomass_t3, weed_biomass_t3</t>
  </si>
  <si>
    <t>Maintenance 3</t>
  </si>
  <si>
    <t>UAV 4</t>
  </si>
  <si>
    <t>Harvest</t>
  </si>
  <si>
    <t>oat_height_t4, pea_height_t4</t>
  </si>
  <si>
    <t>Lodging</t>
  </si>
  <si>
    <t>lodging</t>
  </si>
  <si>
    <t>Grain Harvest</t>
  </si>
  <si>
    <t>Grain Separation</t>
  </si>
  <si>
    <t>oat_grain_weight, pea_grain_weight</t>
  </si>
  <si>
    <t>Jean-Luc</t>
  </si>
  <si>
    <t>Mirza</t>
  </si>
  <si>
    <t xml:space="preserve">Peter </t>
  </si>
  <si>
    <t>Leah</t>
  </si>
  <si>
    <t>Mirza, Adrian, Peter</t>
  </si>
  <si>
    <t>Mirza,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</si>
</sst>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1"/>
    </font>
    <font>
      <sz val="10"/>
      <color theme="1"/>
      <name val="Arial"/>
      <family val="2"/>
    </font>
    <font>
      <sz val="10"/>
      <color theme="1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left" vertical="center" wrapText="1" indent="1"/>
    </xf>
    <xf numFmtId="0" fontId="3" fillId="0" borderId="1" xfId="1" applyFont="1" applyBorder="1" applyAlignment="1">
      <alignment horizontal="left" vertical="center" wrapText="1" indent="1"/>
    </xf>
    <xf numFmtId="14" fontId="0" fillId="0" borderId="1" xfId="0" applyNumberFormat="1" applyBorder="1"/>
    <xf numFmtId="0" fontId="4" fillId="2" borderId="1" xfId="1" applyFont="1" applyFill="1" applyBorder="1" applyAlignment="1">
      <alignment horizontal="left" vertical="center" wrapText="1" indent="1" readingOrder="1"/>
    </xf>
    <xf numFmtId="14" fontId="5" fillId="0" borderId="1" xfId="0" applyNumberFormat="1" applyFont="1" applyBorder="1" applyAlignment="1">
      <alignment wrapText="1"/>
    </xf>
    <xf numFmtId="0" fontId="6" fillId="3" borderId="1" xfId="1" applyFont="1" applyFill="1" applyBorder="1" applyAlignment="1">
      <alignment horizontal="left" vertical="center" wrapText="1" indent="1"/>
    </xf>
    <xf numFmtId="0" fontId="4" fillId="4" borderId="1" xfId="1" applyFont="1" applyFill="1" applyBorder="1" applyAlignment="1">
      <alignment horizontal="left" vertical="center" wrapText="1" indent="1" readingOrder="1"/>
    </xf>
    <xf numFmtId="0" fontId="4" fillId="5" borderId="1" xfId="1" applyFont="1" applyFill="1" applyBorder="1" applyAlignment="1">
      <alignment horizontal="left" vertical="center" wrapText="1" indent="1" readingOrder="1"/>
    </xf>
    <xf numFmtId="0" fontId="4" fillId="6" borderId="1" xfId="1" applyFont="1" applyFill="1" applyBorder="1" applyAlignment="1">
      <alignment horizontal="left" vertical="center" wrapText="1" indent="1" readingOrder="1"/>
    </xf>
    <xf numFmtId="0" fontId="4" fillId="7" borderId="1" xfId="1" applyFont="1" applyFill="1" applyBorder="1" applyAlignment="1">
      <alignment horizontal="left" vertical="center" wrapText="1" indent="1" readingOrder="1"/>
    </xf>
    <xf numFmtId="0" fontId="6" fillId="0" borderId="1" xfId="1" applyFont="1" applyBorder="1" applyAlignment="1">
      <alignment horizontal="left" vertical="center" wrapText="1" indent="1"/>
    </xf>
    <xf numFmtId="0" fontId="4" fillId="3" borderId="1" xfId="1" applyFont="1" applyFill="1" applyBorder="1" applyAlignment="1">
      <alignment horizontal="left" vertical="center" wrapText="1" indent="1" readingOrder="1"/>
    </xf>
    <xf numFmtId="0" fontId="0" fillId="0" borderId="1" xfId="0" applyFill="1" applyBorder="1"/>
  </cellXfs>
  <cellStyles count="2">
    <cellStyle name="Normal" xfId="0" builtinId="0"/>
    <cellStyle name="Normal 3" xfId="1" xr:uid="{EBF19A66-13A7-4BE0-B370-348CDB833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th7\Documents\Intercrop%20JLJ\B4I\B4I_hyde\data\B4I_NY_work_plan.xlsx" TargetMode="External"/><Relationship Id="rId1" Type="http://schemas.openxmlformats.org/officeDocument/2006/relationships/externalLinkPath" Target="/Users/pth7/Documents/Intercrop%20JLJ/B4I/B4I_hyde/data/B4I_NY_work_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  <sheetName val="Sheet1"/>
    </sheetNames>
    <sheetDataSet>
      <sheetData sheetId="0">
        <row r="1">
          <cell r="G1" t="str">
            <v>start</v>
          </cell>
          <cell r="I1" t="str">
            <v>days</v>
          </cell>
        </row>
        <row r="2">
          <cell r="C2" t="str">
            <v>UAV 0</v>
          </cell>
          <cell r="G2">
            <v>45796</v>
          </cell>
          <cell r="I2">
            <v>2</v>
          </cell>
        </row>
        <row r="3">
          <cell r="C3" t="str">
            <v>Stand Count</v>
          </cell>
          <cell r="G3">
            <v>45796</v>
          </cell>
          <cell r="I3">
            <v>2</v>
          </cell>
        </row>
        <row r="4">
          <cell r="C4" t="str">
            <v>Growth 1</v>
          </cell>
          <cell r="G4">
            <v>45807</v>
          </cell>
          <cell r="I4">
            <v>5</v>
          </cell>
        </row>
        <row r="5">
          <cell r="C5" t="str">
            <v>UAV 1</v>
          </cell>
          <cell r="G5">
            <v>45807</v>
          </cell>
          <cell r="I5">
            <v>5</v>
          </cell>
        </row>
        <row r="6">
          <cell r="C6" t="str">
            <v>Research 1</v>
          </cell>
          <cell r="G6">
            <v>45807</v>
          </cell>
          <cell r="I6">
            <v>5</v>
          </cell>
        </row>
        <row r="7">
          <cell r="C7" t="str">
            <v>Calibrator 1</v>
          </cell>
          <cell r="G7">
            <v>45807</v>
          </cell>
          <cell r="I7">
            <v>5</v>
          </cell>
        </row>
        <row r="8">
          <cell r="C8" t="str">
            <v>Maintenance 1</v>
          </cell>
          <cell r="G8">
            <v>45807</v>
          </cell>
          <cell r="I8">
            <v>5</v>
          </cell>
        </row>
        <row r="9">
          <cell r="C9" t="str">
            <v>Flowering</v>
          </cell>
          <cell r="G9">
            <v>45817</v>
          </cell>
          <cell r="I9">
            <v>31</v>
          </cell>
        </row>
        <row r="10">
          <cell r="C10" t="str">
            <v>Heading</v>
          </cell>
          <cell r="G10">
            <v>45817</v>
          </cell>
          <cell r="I10">
            <v>31</v>
          </cell>
        </row>
        <row r="11">
          <cell r="C11" t="str">
            <v>Growth 2</v>
          </cell>
          <cell r="G11">
            <v>45828</v>
          </cell>
          <cell r="I11">
            <v>5</v>
          </cell>
        </row>
        <row r="12">
          <cell r="C12" t="str">
            <v>UAV 2</v>
          </cell>
          <cell r="G12">
            <v>45828</v>
          </cell>
          <cell r="I12">
            <v>5</v>
          </cell>
        </row>
        <row r="13">
          <cell r="C13" t="str">
            <v>Research 2</v>
          </cell>
          <cell r="G13">
            <v>45828</v>
          </cell>
          <cell r="I13">
            <v>5</v>
          </cell>
        </row>
        <row r="14">
          <cell r="C14" t="str">
            <v>Calibrator 2</v>
          </cell>
          <cell r="G14">
            <v>45828</v>
          </cell>
          <cell r="I14">
            <v>5</v>
          </cell>
        </row>
        <row r="15">
          <cell r="C15" t="str">
            <v>Maintenance 2</v>
          </cell>
          <cell r="G15">
            <v>45828</v>
          </cell>
          <cell r="I15">
            <v>5</v>
          </cell>
        </row>
        <row r="16">
          <cell r="C16" t="str">
            <v>Maturity</v>
          </cell>
          <cell r="G16">
            <v>45847</v>
          </cell>
          <cell r="I16">
            <v>24</v>
          </cell>
        </row>
        <row r="17">
          <cell r="C17" t="str">
            <v>Growth 3</v>
          </cell>
          <cell r="G17">
            <v>45849</v>
          </cell>
          <cell r="I17">
            <v>5</v>
          </cell>
        </row>
        <row r="18">
          <cell r="C18" t="str">
            <v>UAV 3</v>
          </cell>
          <cell r="G18">
            <v>45849</v>
          </cell>
          <cell r="I18">
            <v>5</v>
          </cell>
        </row>
        <row r="19">
          <cell r="C19" t="str">
            <v>Research 3</v>
          </cell>
          <cell r="G19">
            <v>45849</v>
          </cell>
          <cell r="I19">
            <v>5</v>
          </cell>
        </row>
        <row r="20">
          <cell r="C20" t="str">
            <v>Calibrator 3</v>
          </cell>
          <cell r="G20">
            <v>45849</v>
          </cell>
          <cell r="I20">
            <v>5</v>
          </cell>
        </row>
        <row r="21">
          <cell r="C21" t="str">
            <v>Maintenance 3</v>
          </cell>
          <cell r="G21">
            <v>45849</v>
          </cell>
          <cell r="I21">
            <v>5</v>
          </cell>
        </row>
        <row r="22">
          <cell r="C22" t="str">
            <v>UAV 4</v>
          </cell>
          <cell r="G22">
            <v>45870</v>
          </cell>
          <cell r="I22">
            <v>5</v>
          </cell>
        </row>
        <row r="23">
          <cell r="C23" t="str">
            <v>Height</v>
          </cell>
          <cell r="G23">
            <v>45870</v>
          </cell>
          <cell r="I23">
            <v>5</v>
          </cell>
        </row>
        <row r="24">
          <cell r="C24" t="str">
            <v>Lodging</v>
          </cell>
          <cell r="G24">
            <v>45870</v>
          </cell>
          <cell r="I24">
            <v>5</v>
          </cell>
        </row>
        <row r="25">
          <cell r="C25" t="str">
            <v>Grain Harvest</v>
          </cell>
          <cell r="G25">
            <v>45873</v>
          </cell>
          <cell r="I25">
            <v>5</v>
          </cell>
        </row>
        <row r="26">
          <cell r="C26" t="str">
            <v>Grain Separation</v>
          </cell>
          <cell r="G26">
            <v>45881</v>
          </cell>
          <cell r="I26">
            <v>5</v>
          </cell>
        </row>
        <row r="27">
          <cell r="C27" t="str">
            <v>Peter Vacation 1</v>
          </cell>
          <cell r="G27">
            <v>45840</v>
          </cell>
          <cell r="I27">
            <v>5</v>
          </cell>
        </row>
        <row r="28">
          <cell r="C28" t="str">
            <v>Peter Vacation 2</v>
          </cell>
          <cell r="G28">
            <v>45885</v>
          </cell>
          <cell r="I28">
            <v>9</v>
          </cell>
        </row>
        <row r="29">
          <cell r="C29" t="str">
            <v>Jean-Luc</v>
          </cell>
        </row>
        <row r="30">
          <cell r="C30" t="str">
            <v xml:space="preserve">Adrian White </v>
          </cell>
        </row>
        <row r="31">
          <cell r="C31" t="str">
            <v xml:space="preserve">Leah Treffer 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4760-B9E0-4C52-91A1-5363B7A1737E}">
  <dimension ref="A1:J31"/>
  <sheetViews>
    <sheetView tabSelected="1" workbookViewId="0">
      <selection activeCell="K29" sqref="K29"/>
    </sheetView>
  </sheetViews>
  <sheetFormatPr defaultColWidth="17.7109375" defaultRowHeight="15" x14ac:dyDescent="0.25"/>
  <cols>
    <col min="1" max="1" width="5.7109375" bestFit="1" customWidth="1"/>
    <col min="2" max="2" width="13.5703125" customWidth="1"/>
    <col min="3" max="3" width="20.28515625" customWidth="1"/>
    <col min="4" max="4" width="19.7109375" bestFit="1" customWidth="1"/>
    <col min="5" max="5" width="37.5703125" bestFit="1" customWidth="1"/>
    <col min="6" max="6" width="23" customWidth="1"/>
    <col min="7" max="8" width="10.42578125" bestFit="1" customWidth="1"/>
    <col min="9" max="9" width="15.140625" customWidth="1"/>
    <col min="10" max="10" width="37.1406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</v>
      </c>
      <c r="B2" s="1">
        <v>0</v>
      </c>
      <c r="C2" s="3" t="s">
        <v>10</v>
      </c>
      <c r="D2" s="3" t="s">
        <v>11</v>
      </c>
      <c r="E2" s="3"/>
      <c r="F2" s="3" t="s">
        <v>12</v>
      </c>
      <c r="G2" s="4">
        <v>45950</v>
      </c>
      <c r="H2" s="4">
        <v>45952</v>
      </c>
      <c r="I2" s="1">
        <f>(H2-G2)+1</f>
        <v>3</v>
      </c>
      <c r="J2" s="2"/>
    </row>
    <row r="3" spans="1:10" x14ac:dyDescent="0.25">
      <c r="A3" s="1">
        <v>2</v>
      </c>
      <c r="B3" s="1">
        <v>0</v>
      </c>
      <c r="C3" s="3" t="s">
        <v>13</v>
      </c>
      <c r="D3" s="3" t="s">
        <v>14</v>
      </c>
      <c r="E3" t="s">
        <v>15</v>
      </c>
      <c r="F3" s="3" t="s">
        <v>64</v>
      </c>
      <c r="G3" s="4">
        <v>45952</v>
      </c>
      <c r="H3" s="4">
        <v>45954</v>
      </c>
      <c r="I3" s="1">
        <f t="shared" ref="I3:I27" si="0">(H3-G3)+1</f>
        <v>3</v>
      </c>
      <c r="J3" s="2"/>
    </row>
    <row r="4" spans="1:10" x14ac:dyDescent="0.25">
      <c r="A4" s="1">
        <v>3</v>
      </c>
      <c r="B4" s="1">
        <v>1</v>
      </c>
      <c r="C4" s="5" t="s">
        <v>16</v>
      </c>
      <c r="D4" s="5" t="s">
        <v>17</v>
      </c>
      <c r="E4" s="5" t="s">
        <v>18</v>
      </c>
      <c r="F4" s="3" t="s">
        <v>64</v>
      </c>
      <c r="G4" s="6">
        <v>45964</v>
      </c>
      <c r="H4" s="4">
        <v>45968</v>
      </c>
      <c r="I4" s="1">
        <f t="shared" si="0"/>
        <v>5</v>
      </c>
      <c r="J4" s="7"/>
    </row>
    <row r="5" spans="1:10" x14ac:dyDescent="0.25">
      <c r="A5" s="1">
        <v>4</v>
      </c>
      <c r="B5" s="1">
        <v>1</v>
      </c>
      <c r="C5" s="5" t="s">
        <v>19</v>
      </c>
      <c r="D5" s="5" t="s">
        <v>20</v>
      </c>
      <c r="E5" s="5"/>
      <c r="F5" s="7" t="s">
        <v>12</v>
      </c>
      <c r="G5" s="6">
        <v>45964</v>
      </c>
      <c r="H5" s="4">
        <v>45968</v>
      </c>
      <c r="I5" s="1">
        <f t="shared" si="0"/>
        <v>5</v>
      </c>
      <c r="J5" s="7"/>
    </row>
    <row r="6" spans="1:10" x14ac:dyDescent="0.25">
      <c r="A6" s="1">
        <v>5</v>
      </c>
      <c r="B6" s="1">
        <v>1</v>
      </c>
      <c r="C6" s="5" t="s">
        <v>21</v>
      </c>
      <c r="D6" s="5" t="s">
        <v>11</v>
      </c>
      <c r="E6" s="5"/>
      <c r="F6" s="3" t="s">
        <v>65</v>
      </c>
      <c r="G6" s="6">
        <v>45964</v>
      </c>
      <c r="H6" s="4">
        <v>45968</v>
      </c>
      <c r="I6" s="1">
        <f t="shared" si="0"/>
        <v>5</v>
      </c>
      <c r="J6" s="3"/>
    </row>
    <row r="7" spans="1:10" ht="27" x14ac:dyDescent="0.25">
      <c r="A7" s="1">
        <v>6</v>
      </c>
      <c r="B7" s="1">
        <v>1</v>
      </c>
      <c r="C7" s="5" t="s">
        <v>22</v>
      </c>
      <c r="D7" s="5" t="s">
        <v>23</v>
      </c>
      <c r="E7" s="5" t="s">
        <v>24</v>
      </c>
      <c r="F7" s="3" t="s">
        <v>64</v>
      </c>
      <c r="G7" s="6">
        <v>45964</v>
      </c>
      <c r="H7" s="4">
        <v>45968</v>
      </c>
      <c r="I7" s="1">
        <f t="shared" si="0"/>
        <v>5</v>
      </c>
      <c r="J7" s="7"/>
    </row>
    <row r="8" spans="1:10" x14ac:dyDescent="0.25">
      <c r="A8" s="1">
        <v>7</v>
      </c>
      <c r="B8" s="1">
        <v>1</v>
      </c>
      <c r="C8" s="5" t="s">
        <v>25</v>
      </c>
      <c r="D8" s="5" t="s">
        <v>26</v>
      </c>
      <c r="E8" s="5"/>
      <c r="F8" s="3" t="s">
        <v>64</v>
      </c>
      <c r="G8" s="6">
        <v>45964</v>
      </c>
      <c r="H8" s="4">
        <v>45968</v>
      </c>
      <c r="I8" s="1">
        <f t="shared" si="0"/>
        <v>5</v>
      </c>
      <c r="J8" s="7"/>
    </row>
    <row r="9" spans="1:10" x14ac:dyDescent="0.25">
      <c r="A9" s="1">
        <v>8</v>
      </c>
      <c r="B9" s="1">
        <v>1.5</v>
      </c>
      <c r="C9" s="8" t="s">
        <v>27</v>
      </c>
      <c r="D9" s="8" t="s">
        <v>28</v>
      </c>
      <c r="E9" s="8" t="s">
        <v>29</v>
      </c>
      <c r="F9" s="7" t="s">
        <v>61</v>
      </c>
      <c r="G9" s="4">
        <v>46178</v>
      </c>
      <c r="H9" s="4">
        <v>46198</v>
      </c>
      <c r="I9" s="1">
        <f>(H9-G9)+1</f>
        <v>21</v>
      </c>
      <c r="J9" s="7"/>
    </row>
    <row r="10" spans="1:10" x14ac:dyDescent="0.25">
      <c r="A10" s="1">
        <v>9</v>
      </c>
      <c r="B10" s="1">
        <v>1.5</v>
      </c>
      <c r="C10" s="8" t="s">
        <v>31</v>
      </c>
      <c r="D10" s="8" t="s">
        <v>28</v>
      </c>
      <c r="E10" s="8" t="s">
        <v>32</v>
      </c>
      <c r="F10" s="7" t="s">
        <v>61</v>
      </c>
      <c r="G10" s="4">
        <v>46178</v>
      </c>
      <c r="H10" s="4">
        <v>46198</v>
      </c>
      <c r="I10" s="1">
        <f>(H10-G10)+1</f>
        <v>21</v>
      </c>
      <c r="J10" s="7"/>
    </row>
    <row r="11" spans="1:10" x14ac:dyDescent="0.25">
      <c r="A11" s="1">
        <v>10</v>
      </c>
      <c r="B11" s="1">
        <v>2</v>
      </c>
      <c r="C11" s="9" t="s">
        <v>33</v>
      </c>
      <c r="D11" s="9" t="s">
        <v>17</v>
      </c>
      <c r="E11" s="9" t="s">
        <v>34</v>
      </c>
      <c r="F11" s="3" t="s">
        <v>64</v>
      </c>
      <c r="G11" s="6">
        <v>46162</v>
      </c>
      <c r="H11" s="6">
        <v>46170</v>
      </c>
      <c r="I11" s="1">
        <f t="shared" si="0"/>
        <v>9</v>
      </c>
      <c r="J11" s="7"/>
    </row>
    <row r="12" spans="1:10" x14ac:dyDescent="0.25">
      <c r="A12" s="1">
        <v>11</v>
      </c>
      <c r="B12" s="1">
        <v>2</v>
      </c>
      <c r="C12" s="9" t="s">
        <v>35</v>
      </c>
      <c r="D12" s="9" t="s">
        <v>20</v>
      </c>
      <c r="E12" s="9"/>
      <c r="F12" s="7" t="s">
        <v>12</v>
      </c>
      <c r="G12" s="6">
        <v>46162</v>
      </c>
      <c r="H12" s="6">
        <v>46170</v>
      </c>
      <c r="I12" s="1">
        <f t="shared" si="0"/>
        <v>9</v>
      </c>
      <c r="J12" s="7"/>
    </row>
    <row r="13" spans="1:10" x14ac:dyDescent="0.25">
      <c r="A13" s="1">
        <v>12</v>
      </c>
      <c r="B13" s="1">
        <v>2</v>
      </c>
      <c r="C13" s="9" t="s">
        <v>36</v>
      </c>
      <c r="D13" s="9" t="s">
        <v>37</v>
      </c>
      <c r="E13" s="9"/>
      <c r="F13" s="3" t="s">
        <v>65</v>
      </c>
      <c r="G13" s="6">
        <v>46162</v>
      </c>
      <c r="H13" s="6">
        <v>46170</v>
      </c>
      <c r="I13" s="1">
        <f t="shared" si="0"/>
        <v>9</v>
      </c>
      <c r="J13" s="7"/>
    </row>
    <row r="14" spans="1:10" ht="27" x14ac:dyDescent="0.25">
      <c r="A14" s="1">
        <v>13</v>
      </c>
      <c r="B14" s="1">
        <v>2</v>
      </c>
      <c r="C14" s="9" t="s">
        <v>38</v>
      </c>
      <c r="D14" s="9" t="s">
        <v>39</v>
      </c>
      <c r="E14" s="9" t="s">
        <v>40</v>
      </c>
      <c r="F14" s="3" t="s">
        <v>64</v>
      </c>
      <c r="G14" s="6">
        <v>46162</v>
      </c>
      <c r="H14" s="6">
        <v>46170</v>
      </c>
      <c r="I14" s="1">
        <f t="shared" si="0"/>
        <v>9</v>
      </c>
      <c r="J14" s="7"/>
    </row>
    <row r="15" spans="1:10" x14ac:dyDescent="0.25">
      <c r="A15" s="1">
        <v>14</v>
      </c>
      <c r="B15" s="1">
        <v>2</v>
      </c>
      <c r="C15" s="9" t="s">
        <v>41</v>
      </c>
      <c r="D15" s="9" t="s">
        <v>26</v>
      </c>
      <c r="E15" s="9"/>
      <c r="F15" s="3" t="s">
        <v>64</v>
      </c>
      <c r="G15" s="6">
        <v>46162</v>
      </c>
      <c r="H15" s="6">
        <v>46170</v>
      </c>
      <c r="I15" s="1">
        <f t="shared" si="0"/>
        <v>9</v>
      </c>
      <c r="J15" s="7"/>
    </row>
    <row r="16" spans="1:10" x14ac:dyDescent="0.25">
      <c r="A16" s="1">
        <v>15</v>
      </c>
      <c r="B16" s="1">
        <v>2.5</v>
      </c>
      <c r="C16" s="8" t="s">
        <v>42</v>
      </c>
      <c r="D16" s="8" t="s">
        <v>28</v>
      </c>
      <c r="E16" s="8" t="s">
        <v>43</v>
      </c>
      <c r="F16" s="7" t="s">
        <v>61</v>
      </c>
      <c r="G16" s="4">
        <v>46191</v>
      </c>
      <c r="H16" s="4">
        <v>46211</v>
      </c>
      <c r="I16" s="1">
        <f t="shared" si="0"/>
        <v>21</v>
      </c>
      <c r="J16" s="7"/>
    </row>
    <row r="17" spans="1:10" x14ac:dyDescent="0.25">
      <c r="A17" s="1">
        <v>16</v>
      </c>
      <c r="B17" s="1">
        <v>3</v>
      </c>
      <c r="C17" s="10" t="s">
        <v>44</v>
      </c>
      <c r="D17" s="10" t="s">
        <v>45</v>
      </c>
      <c r="E17" s="10" t="s">
        <v>46</v>
      </c>
      <c r="F17" s="3" t="s">
        <v>64</v>
      </c>
      <c r="G17" s="6">
        <v>46183</v>
      </c>
      <c r="H17" s="6">
        <v>46191</v>
      </c>
      <c r="I17" s="1">
        <f t="shared" si="0"/>
        <v>9</v>
      </c>
      <c r="J17" s="7"/>
    </row>
    <row r="18" spans="1:10" x14ac:dyDescent="0.25">
      <c r="A18" s="1">
        <v>17</v>
      </c>
      <c r="B18" s="1">
        <v>3</v>
      </c>
      <c r="C18" s="10" t="s">
        <v>47</v>
      </c>
      <c r="D18" s="10" t="s">
        <v>20</v>
      </c>
      <c r="E18" s="10"/>
      <c r="F18" s="7" t="s">
        <v>12</v>
      </c>
      <c r="G18" s="6">
        <v>46183</v>
      </c>
      <c r="H18" s="6">
        <v>46191</v>
      </c>
      <c r="I18" s="1">
        <f t="shared" si="0"/>
        <v>9</v>
      </c>
      <c r="J18" s="7"/>
    </row>
    <row r="19" spans="1:10" x14ac:dyDescent="0.25">
      <c r="A19" s="1">
        <v>18</v>
      </c>
      <c r="B19" s="1">
        <v>3</v>
      </c>
      <c r="C19" s="10" t="s">
        <v>48</v>
      </c>
      <c r="D19" s="10" t="s">
        <v>11</v>
      </c>
      <c r="E19" s="10"/>
      <c r="F19" s="3" t="s">
        <v>65</v>
      </c>
      <c r="G19" s="6">
        <v>46183</v>
      </c>
      <c r="H19" s="6">
        <v>46191</v>
      </c>
      <c r="I19" s="1">
        <f t="shared" si="0"/>
        <v>9</v>
      </c>
      <c r="J19" s="7"/>
    </row>
    <row r="20" spans="1:10" ht="27" x14ac:dyDescent="0.25">
      <c r="A20" s="1">
        <v>19</v>
      </c>
      <c r="B20" s="1">
        <v>3</v>
      </c>
      <c r="C20" s="10" t="s">
        <v>49</v>
      </c>
      <c r="D20" s="10" t="s">
        <v>23</v>
      </c>
      <c r="E20" s="10" t="s">
        <v>50</v>
      </c>
      <c r="F20" s="3" t="s">
        <v>64</v>
      </c>
      <c r="G20" s="6">
        <v>46183</v>
      </c>
      <c r="H20" s="6">
        <v>46191</v>
      </c>
      <c r="I20" s="1">
        <f t="shared" si="0"/>
        <v>9</v>
      </c>
      <c r="J20" s="7"/>
    </row>
    <row r="21" spans="1:10" x14ac:dyDescent="0.25">
      <c r="A21" s="1">
        <v>20</v>
      </c>
      <c r="B21" s="1">
        <v>3</v>
      </c>
      <c r="C21" s="10" t="s">
        <v>51</v>
      </c>
      <c r="D21" s="10" t="s">
        <v>26</v>
      </c>
      <c r="E21" s="10"/>
      <c r="F21" s="3" t="s">
        <v>64</v>
      </c>
      <c r="G21" s="6">
        <v>46183</v>
      </c>
      <c r="H21" s="6">
        <v>46191</v>
      </c>
      <c r="I21" s="1">
        <f t="shared" si="0"/>
        <v>9</v>
      </c>
      <c r="J21" s="7"/>
    </row>
    <row r="22" spans="1:10" x14ac:dyDescent="0.25">
      <c r="A22" s="1">
        <v>21</v>
      </c>
      <c r="B22" s="1">
        <v>4</v>
      </c>
      <c r="C22" s="11" t="s">
        <v>52</v>
      </c>
      <c r="D22" s="11" t="s">
        <v>20</v>
      </c>
      <c r="E22" s="11"/>
      <c r="F22" s="3" t="s">
        <v>64</v>
      </c>
      <c r="G22" s="4">
        <v>46213</v>
      </c>
      <c r="H22" s="4">
        <v>46218</v>
      </c>
      <c r="I22" s="1">
        <f t="shared" si="0"/>
        <v>6</v>
      </c>
      <c r="J22" s="7"/>
    </row>
    <row r="23" spans="1:10" x14ac:dyDescent="0.25">
      <c r="A23" s="1">
        <v>22</v>
      </c>
      <c r="B23" s="1">
        <v>4</v>
      </c>
      <c r="C23" s="11" t="s">
        <v>17</v>
      </c>
      <c r="D23" s="11" t="s">
        <v>53</v>
      </c>
      <c r="E23" s="11" t="s">
        <v>54</v>
      </c>
      <c r="F23" s="7" t="s">
        <v>12</v>
      </c>
      <c r="G23" s="4">
        <v>46213</v>
      </c>
      <c r="H23" s="4">
        <v>46218</v>
      </c>
      <c r="I23" s="1">
        <f t="shared" si="0"/>
        <v>6</v>
      </c>
      <c r="J23" s="7"/>
    </row>
    <row r="24" spans="1:10" x14ac:dyDescent="0.25">
      <c r="A24" s="1">
        <v>23</v>
      </c>
      <c r="B24" s="1">
        <v>4</v>
      </c>
      <c r="C24" s="11" t="s">
        <v>55</v>
      </c>
      <c r="D24" s="11" t="s">
        <v>53</v>
      </c>
      <c r="E24" s="11" t="s">
        <v>56</v>
      </c>
      <c r="F24" s="3" t="s">
        <v>65</v>
      </c>
      <c r="G24" s="4">
        <v>46213</v>
      </c>
      <c r="H24" s="4">
        <v>46218</v>
      </c>
      <c r="I24" s="1">
        <f t="shared" si="0"/>
        <v>6</v>
      </c>
      <c r="J24" s="7"/>
    </row>
    <row r="25" spans="1:10" x14ac:dyDescent="0.25">
      <c r="A25" s="1">
        <v>24</v>
      </c>
      <c r="B25" s="1">
        <v>4</v>
      </c>
      <c r="C25" s="11" t="s">
        <v>57</v>
      </c>
      <c r="D25" s="11" t="s">
        <v>53</v>
      </c>
      <c r="E25" s="11"/>
      <c r="F25" s="3" t="s">
        <v>64</v>
      </c>
      <c r="G25" s="4">
        <v>46213</v>
      </c>
      <c r="H25" s="4">
        <v>46218</v>
      </c>
      <c r="I25" s="1">
        <f t="shared" si="0"/>
        <v>6</v>
      </c>
      <c r="J25" s="7"/>
    </row>
    <row r="26" spans="1:10" x14ac:dyDescent="0.25">
      <c r="A26" s="1">
        <v>25</v>
      </c>
      <c r="B26" s="1">
        <v>5</v>
      </c>
      <c r="C26" s="11" t="s">
        <v>58</v>
      </c>
      <c r="D26" s="11" t="s">
        <v>53</v>
      </c>
      <c r="E26" s="11" t="s">
        <v>59</v>
      </c>
      <c r="F26" s="3" t="s">
        <v>64</v>
      </c>
      <c r="G26" s="4">
        <v>46223</v>
      </c>
      <c r="H26" s="4">
        <v>46235</v>
      </c>
      <c r="I26" s="1">
        <f t="shared" si="0"/>
        <v>13</v>
      </c>
      <c r="J26" s="7"/>
    </row>
    <row r="27" spans="1:10" x14ac:dyDescent="0.25">
      <c r="A27" s="1">
        <v>26</v>
      </c>
      <c r="B27" s="1">
        <v>6</v>
      </c>
      <c r="C27" s="7" t="s">
        <v>62</v>
      </c>
      <c r="D27" s="7"/>
      <c r="E27" s="7"/>
      <c r="F27" s="12"/>
      <c r="G27" s="4"/>
      <c r="H27" s="4"/>
      <c r="I27" s="1"/>
      <c r="J27" s="7"/>
    </row>
    <row r="28" spans="1:10" x14ac:dyDescent="0.25">
      <c r="A28" s="1">
        <v>27</v>
      </c>
      <c r="B28" s="1">
        <v>6</v>
      </c>
      <c r="C28" s="7" t="s">
        <v>60</v>
      </c>
      <c r="D28" s="7"/>
      <c r="E28" s="7"/>
      <c r="F28" s="12"/>
      <c r="G28" s="4"/>
      <c r="H28" s="4"/>
      <c r="I28" s="1"/>
      <c r="J28" s="7"/>
    </row>
    <row r="29" spans="1:10" x14ac:dyDescent="0.25">
      <c r="A29" s="1">
        <v>28</v>
      </c>
      <c r="B29" s="1">
        <v>6</v>
      </c>
      <c r="C29" s="7" t="s">
        <v>61</v>
      </c>
      <c r="D29" s="13"/>
      <c r="E29" s="13"/>
      <c r="F29" s="12"/>
      <c r="G29" s="4"/>
      <c r="H29" s="4"/>
      <c r="I29" s="1"/>
      <c r="J29" s="7"/>
    </row>
    <row r="30" spans="1:10" x14ac:dyDescent="0.25">
      <c r="A30" s="1">
        <v>29</v>
      </c>
      <c r="B30" s="1">
        <v>6</v>
      </c>
      <c r="C30" s="7" t="s">
        <v>63</v>
      </c>
      <c r="D30" s="1"/>
      <c r="E30" s="1"/>
      <c r="F30" s="1"/>
      <c r="G30" s="4"/>
      <c r="H30" s="4"/>
      <c r="I30" s="1"/>
      <c r="J30" s="1"/>
    </row>
    <row r="31" spans="1:10" x14ac:dyDescent="0.25">
      <c r="A31" s="14">
        <v>30</v>
      </c>
      <c r="B31" s="14">
        <v>6</v>
      </c>
      <c r="C31" s="7" t="s">
        <v>30</v>
      </c>
      <c r="D31" s="1"/>
      <c r="E31" s="1"/>
      <c r="F31" s="1"/>
      <c r="G31" s="1"/>
      <c r="H31" s="1"/>
      <c r="I31" s="1"/>
      <c r="J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2025-10-22T15:02:31Z</dcterms:created>
  <dcterms:modified xsi:type="dcterms:W3CDTF">2025-10-22T15:26:37Z</dcterms:modified>
</cp:coreProperties>
</file>